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cuments\PROJECT_FINAL\"/>
    </mc:Choice>
  </mc:AlternateContent>
  <xr:revisionPtr revIDLastSave="0" documentId="13_ncr:1_{453D2259-D6C3-4BBB-8654-1E3E15749B9C}" xr6:coauthVersionLast="47" xr6:coauthVersionMax="47" xr10:uidLastSave="{00000000-0000-0000-0000-000000000000}"/>
  <bookViews>
    <workbookView xWindow="-103" yWindow="-103" windowWidth="22149" windowHeight="11829" xr2:uid="{8964F4A4-5147-4273-8E8E-F32F85BA695A}"/>
  </bookViews>
  <sheets>
    <sheet name="CLIENT_CHURN" sheetId="2" r:id="rId1"/>
    <sheet name="REGISTRE VS LOGS " sheetId="1" r:id="rId2"/>
    <sheet name="TCD " sheetId="5" r:id="rId3"/>
  </sheets>
  <externalReferences>
    <externalReference r:id="rId4"/>
  </externalReferences>
  <definedNames>
    <definedName name="DonnéesExternes_1" localSheetId="0" hidden="1">CLIENT_CHURN!$B$1:$K$747</definedName>
    <definedName name="DonnéesExternes_1" localSheetId="1" hidden="1">'REGISTRE VS LOGS '!$B$1:$F$1909</definedName>
  </definedNames>
  <calcPr calcId="191029"/>
  <pivotCaches>
    <pivotCache cacheId="4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5" l="1"/>
  <c r="A4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A16" i="1"/>
  <c r="F2" i="2"/>
  <c r="I2" i="2" s="1"/>
  <c r="J2" i="2" s="1"/>
  <c r="F3" i="2"/>
  <c r="I3" i="2" s="1"/>
  <c r="J3" i="2" s="1"/>
  <c r="F4" i="2"/>
  <c r="I4" i="2" s="1"/>
  <c r="J4" i="2" s="1"/>
  <c r="F5" i="2"/>
  <c r="I5" i="2" s="1"/>
  <c r="J5" i="2" s="1"/>
  <c r="F6" i="2"/>
  <c r="I6" i="2" s="1"/>
  <c r="J6" i="2" s="1"/>
  <c r="F7" i="2"/>
  <c r="I7" i="2" s="1"/>
  <c r="J7" i="2" s="1"/>
  <c r="F8" i="2"/>
  <c r="I8" i="2" s="1"/>
  <c r="J8" i="2" s="1"/>
  <c r="F9" i="2"/>
  <c r="I9" i="2" s="1"/>
  <c r="J9" i="2" s="1"/>
  <c r="F10" i="2"/>
  <c r="I10" i="2" s="1"/>
  <c r="J10" i="2" s="1"/>
  <c r="F11" i="2"/>
  <c r="I11" i="2" s="1"/>
  <c r="J11" i="2" s="1"/>
  <c r="F12" i="2"/>
  <c r="I12" i="2" s="1"/>
  <c r="J12" i="2" s="1"/>
  <c r="F13" i="2"/>
  <c r="I13" i="2" s="1"/>
  <c r="J13" i="2" s="1"/>
  <c r="F14" i="2"/>
  <c r="I14" i="2" s="1"/>
  <c r="J14" i="2" s="1"/>
  <c r="F15" i="2"/>
  <c r="I15" i="2" s="1"/>
  <c r="J15" i="2" s="1"/>
  <c r="F16" i="2"/>
  <c r="I16" i="2" s="1"/>
  <c r="J16" i="2" s="1"/>
  <c r="F17" i="2"/>
  <c r="I17" i="2" s="1"/>
  <c r="J17" i="2" s="1"/>
  <c r="F18" i="2"/>
  <c r="I18" i="2" s="1"/>
  <c r="J18" i="2" s="1"/>
  <c r="F19" i="2"/>
  <c r="I19" i="2" s="1"/>
  <c r="J19" i="2" s="1"/>
  <c r="F20" i="2"/>
  <c r="I20" i="2" s="1"/>
  <c r="J20" i="2" s="1"/>
  <c r="F21" i="2"/>
  <c r="I21" i="2" s="1"/>
  <c r="J21" i="2" s="1"/>
  <c r="F22" i="2"/>
  <c r="I22" i="2" s="1"/>
  <c r="J22" i="2" s="1"/>
  <c r="F23" i="2"/>
  <c r="I23" i="2" s="1"/>
  <c r="J23" i="2" s="1"/>
  <c r="F24" i="2"/>
  <c r="I24" i="2" s="1"/>
  <c r="J24" i="2" s="1"/>
  <c r="F25" i="2"/>
  <c r="I25" i="2" s="1"/>
  <c r="J25" i="2" s="1"/>
  <c r="F26" i="2"/>
  <c r="I26" i="2" s="1"/>
  <c r="J26" i="2" s="1"/>
  <c r="F27" i="2"/>
  <c r="I27" i="2" s="1"/>
  <c r="J27" i="2" s="1"/>
  <c r="F28" i="2"/>
  <c r="I28" i="2" s="1"/>
  <c r="J28" i="2" s="1"/>
  <c r="F29" i="2"/>
  <c r="I29" i="2" s="1"/>
  <c r="J29" i="2" s="1"/>
  <c r="F30" i="2"/>
  <c r="I30" i="2" s="1"/>
  <c r="J30" i="2" s="1"/>
  <c r="F31" i="2"/>
  <c r="I31" i="2" s="1"/>
  <c r="J31" i="2" s="1"/>
  <c r="F32" i="2"/>
  <c r="I32" i="2" s="1"/>
  <c r="J32" i="2" s="1"/>
  <c r="F33" i="2"/>
  <c r="I33" i="2" s="1"/>
  <c r="J33" i="2" s="1"/>
  <c r="F34" i="2"/>
  <c r="I34" i="2" s="1"/>
  <c r="J34" i="2" s="1"/>
  <c r="F35" i="2"/>
  <c r="I35" i="2" s="1"/>
  <c r="J35" i="2" s="1"/>
  <c r="F36" i="2"/>
  <c r="I36" i="2" s="1"/>
  <c r="J36" i="2" s="1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I41" i="2" s="1"/>
  <c r="J41" i="2" s="1"/>
  <c r="F42" i="2"/>
  <c r="I42" i="2" s="1"/>
  <c r="J42" i="2" s="1"/>
  <c r="F43" i="2"/>
  <c r="I43" i="2" s="1"/>
  <c r="J43" i="2" s="1"/>
  <c r="F44" i="2"/>
  <c r="I44" i="2" s="1"/>
  <c r="J44" i="2" s="1"/>
  <c r="F45" i="2"/>
  <c r="I45" i="2" s="1"/>
  <c r="J45" i="2" s="1"/>
  <c r="F46" i="2"/>
  <c r="I46" i="2" s="1"/>
  <c r="J46" i="2" s="1"/>
  <c r="F47" i="2"/>
  <c r="I47" i="2" s="1"/>
  <c r="J47" i="2" s="1"/>
  <c r="F48" i="2"/>
  <c r="I48" i="2" s="1"/>
  <c r="J48" i="2" s="1"/>
  <c r="F49" i="2"/>
  <c r="I49" i="2" s="1"/>
  <c r="J49" i="2" s="1"/>
  <c r="F50" i="2"/>
  <c r="I50" i="2" s="1"/>
  <c r="J50" i="2" s="1"/>
  <c r="F51" i="2"/>
  <c r="I51" i="2" s="1"/>
  <c r="J51" i="2" s="1"/>
  <c r="F52" i="2"/>
  <c r="I52" i="2" s="1"/>
  <c r="J52" i="2" s="1"/>
  <c r="F53" i="2"/>
  <c r="I53" i="2" s="1"/>
  <c r="J53" i="2" s="1"/>
  <c r="F54" i="2"/>
  <c r="I54" i="2" s="1"/>
  <c r="J54" i="2" s="1"/>
  <c r="F55" i="2"/>
  <c r="I55" i="2" s="1"/>
  <c r="J55" i="2" s="1"/>
  <c r="F56" i="2"/>
  <c r="I56" i="2" s="1"/>
  <c r="J56" i="2" s="1"/>
  <c r="F57" i="2"/>
  <c r="I57" i="2" s="1"/>
  <c r="J57" i="2" s="1"/>
  <c r="F58" i="2"/>
  <c r="I58" i="2" s="1"/>
  <c r="J58" i="2" s="1"/>
  <c r="F59" i="2"/>
  <c r="I59" i="2" s="1"/>
  <c r="J59" i="2" s="1"/>
  <c r="F60" i="2"/>
  <c r="I60" i="2" s="1"/>
  <c r="J60" i="2" s="1"/>
  <c r="F61" i="2"/>
  <c r="I61" i="2" s="1"/>
  <c r="J61" i="2" s="1"/>
  <c r="F62" i="2"/>
  <c r="I62" i="2" s="1"/>
  <c r="J62" i="2" s="1"/>
  <c r="F63" i="2"/>
  <c r="I63" i="2" s="1"/>
  <c r="J63" i="2" s="1"/>
  <c r="F64" i="2"/>
  <c r="I64" i="2" s="1"/>
  <c r="J64" i="2" s="1"/>
  <c r="F65" i="2"/>
  <c r="I65" i="2" s="1"/>
  <c r="J65" i="2" s="1"/>
  <c r="F66" i="2"/>
  <c r="I66" i="2" s="1"/>
  <c r="J66" i="2" s="1"/>
  <c r="F67" i="2"/>
  <c r="I67" i="2" s="1"/>
  <c r="J67" i="2" s="1"/>
  <c r="F68" i="2"/>
  <c r="I68" i="2" s="1"/>
  <c r="J68" i="2" s="1"/>
  <c r="F69" i="2"/>
  <c r="I69" i="2" s="1"/>
  <c r="J69" i="2" s="1"/>
  <c r="F70" i="2"/>
  <c r="I70" i="2" s="1"/>
  <c r="J70" i="2" s="1"/>
  <c r="F71" i="2"/>
  <c r="I71" i="2" s="1"/>
  <c r="J71" i="2" s="1"/>
  <c r="F72" i="2"/>
  <c r="I72" i="2" s="1"/>
  <c r="J72" i="2" s="1"/>
  <c r="F73" i="2"/>
  <c r="I73" i="2" s="1"/>
  <c r="J73" i="2" s="1"/>
  <c r="F74" i="2"/>
  <c r="I74" i="2" s="1"/>
  <c r="J74" i="2" s="1"/>
  <c r="F75" i="2"/>
  <c r="I75" i="2" s="1"/>
  <c r="J75" i="2" s="1"/>
  <c r="F76" i="2"/>
  <c r="I76" i="2" s="1"/>
  <c r="J76" i="2" s="1"/>
  <c r="F77" i="2"/>
  <c r="I77" i="2" s="1"/>
  <c r="J77" i="2" s="1"/>
  <c r="F78" i="2"/>
  <c r="I78" i="2" s="1"/>
  <c r="J78" i="2" s="1"/>
  <c r="F79" i="2"/>
  <c r="I79" i="2" s="1"/>
  <c r="J79" i="2" s="1"/>
  <c r="F80" i="2"/>
  <c r="I80" i="2" s="1"/>
  <c r="J80" i="2" s="1"/>
  <c r="F81" i="2"/>
  <c r="I81" i="2" s="1"/>
  <c r="J81" i="2" s="1"/>
  <c r="F82" i="2"/>
  <c r="I82" i="2" s="1"/>
  <c r="J82" i="2" s="1"/>
  <c r="F83" i="2"/>
  <c r="I83" i="2" s="1"/>
  <c r="J83" i="2" s="1"/>
  <c r="F84" i="2"/>
  <c r="I84" i="2" s="1"/>
  <c r="J84" i="2" s="1"/>
  <c r="F85" i="2"/>
  <c r="I85" i="2" s="1"/>
  <c r="J85" i="2" s="1"/>
  <c r="F86" i="2"/>
  <c r="I86" i="2" s="1"/>
  <c r="J86" i="2" s="1"/>
  <c r="F87" i="2"/>
  <c r="I87" i="2" s="1"/>
  <c r="J87" i="2" s="1"/>
  <c r="F88" i="2"/>
  <c r="I88" i="2" s="1"/>
  <c r="J88" i="2" s="1"/>
  <c r="F89" i="2"/>
  <c r="I89" i="2" s="1"/>
  <c r="J89" i="2" s="1"/>
  <c r="F90" i="2"/>
  <c r="I90" i="2" s="1"/>
  <c r="J90" i="2" s="1"/>
  <c r="F91" i="2"/>
  <c r="I91" i="2" s="1"/>
  <c r="J91" i="2" s="1"/>
  <c r="F92" i="2"/>
  <c r="I92" i="2" s="1"/>
  <c r="J92" i="2" s="1"/>
  <c r="F93" i="2"/>
  <c r="I93" i="2" s="1"/>
  <c r="J93" i="2" s="1"/>
  <c r="F94" i="2"/>
  <c r="I94" i="2" s="1"/>
  <c r="J94" i="2" s="1"/>
  <c r="F95" i="2"/>
  <c r="I95" i="2" s="1"/>
  <c r="J95" i="2" s="1"/>
  <c r="F96" i="2"/>
  <c r="I96" i="2" s="1"/>
  <c r="J96" i="2" s="1"/>
  <c r="F97" i="2"/>
  <c r="I97" i="2" s="1"/>
  <c r="J97" i="2" s="1"/>
  <c r="F98" i="2"/>
  <c r="I98" i="2" s="1"/>
  <c r="J98" i="2" s="1"/>
  <c r="F99" i="2"/>
  <c r="I99" i="2" s="1"/>
  <c r="J99" i="2" s="1"/>
  <c r="F100" i="2"/>
  <c r="I100" i="2" s="1"/>
  <c r="J100" i="2" s="1"/>
  <c r="F101" i="2"/>
  <c r="I101" i="2" s="1"/>
  <c r="J101" i="2" s="1"/>
  <c r="F102" i="2"/>
  <c r="I102" i="2" s="1"/>
  <c r="J102" i="2" s="1"/>
  <c r="F103" i="2"/>
  <c r="I103" i="2" s="1"/>
  <c r="J103" i="2" s="1"/>
  <c r="F104" i="2"/>
  <c r="I104" i="2" s="1"/>
  <c r="J104" i="2" s="1"/>
  <c r="F105" i="2"/>
  <c r="I105" i="2" s="1"/>
  <c r="J105" i="2" s="1"/>
  <c r="F106" i="2"/>
  <c r="I106" i="2" s="1"/>
  <c r="J106" i="2" s="1"/>
  <c r="F107" i="2"/>
  <c r="I107" i="2" s="1"/>
  <c r="J107" i="2" s="1"/>
  <c r="F108" i="2"/>
  <c r="I108" i="2" s="1"/>
  <c r="J108" i="2" s="1"/>
  <c r="F109" i="2"/>
  <c r="I109" i="2" s="1"/>
  <c r="J109" i="2" s="1"/>
  <c r="F110" i="2"/>
  <c r="I110" i="2" s="1"/>
  <c r="J110" i="2" s="1"/>
  <c r="F111" i="2"/>
  <c r="I111" i="2" s="1"/>
  <c r="J111" i="2" s="1"/>
  <c r="F112" i="2"/>
  <c r="I112" i="2" s="1"/>
  <c r="J112" i="2" s="1"/>
  <c r="F113" i="2"/>
  <c r="I113" i="2" s="1"/>
  <c r="J113" i="2" s="1"/>
  <c r="F114" i="2"/>
  <c r="I114" i="2" s="1"/>
  <c r="J114" i="2" s="1"/>
  <c r="F115" i="2"/>
  <c r="I115" i="2" s="1"/>
  <c r="J115" i="2" s="1"/>
  <c r="F116" i="2"/>
  <c r="I116" i="2" s="1"/>
  <c r="J116" i="2" s="1"/>
  <c r="F117" i="2"/>
  <c r="I117" i="2" s="1"/>
  <c r="J117" i="2" s="1"/>
  <c r="F118" i="2"/>
  <c r="I118" i="2" s="1"/>
  <c r="J118" i="2" s="1"/>
  <c r="F119" i="2"/>
  <c r="I119" i="2" s="1"/>
  <c r="J119" i="2" s="1"/>
  <c r="F120" i="2"/>
  <c r="I120" i="2" s="1"/>
  <c r="J120" i="2" s="1"/>
  <c r="F121" i="2"/>
  <c r="I121" i="2" s="1"/>
  <c r="J121" i="2" s="1"/>
  <c r="F122" i="2"/>
  <c r="I122" i="2" s="1"/>
  <c r="J122" i="2" s="1"/>
  <c r="F123" i="2"/>
  <c r="I123" i="2" s="1"/>
  <c r="J123" i="2" s="1"/>
  <c r="F124" i="2"/>
  <c r="I124" i="2" s="1"/>
  <c r="J124" i="2" s="1"/>
  <c r="F125" i="2"/>
  <c r="I125" i="2" s="1"/>
  <c r="J125" i="2" s="1"/>
  <c r="F126" i="2"/>
  <c r="I126" i="2" s="1"/>
  <c r="J126" i="2" s="1"/>
  <c r="F127" i="2"/>
  <c r="I127" i="2" s="1"/>
  <c r="J127" i="2" s="1"/>
  <c r="F128" i="2"/>
  <c r="I128" i="2" s="1"/>
  <c r="J128" i="2" s="1"/>
  <c r="F129" i="2"/>
  <c r="I129" i="2" s="1"/>
  <c r="J129" i="2" s="1"/>
  <c r="F130" i="2"/>
  <c r="I130" i="2" s="1"/>
  <c r="J130" i="2" s="1"/>
  <c r="F131" i="2"/>
  <c r="I131" i="2" s="1"/>
  <c r="J131" i="2" s="1"/>
  <c r="F132" i="2"/>
  <c r="I132" i="2" s="1"/>
  <c r="J132" i="2" s="1"/>
  <c r="F133" i="2"/>
  <c r="I133" i="2" s="1"/>
  <c r="J133" i="2" s="1"/>
  <c r="F134" i="2"/>
  <c r="I134" i="2" s="1"/>
  <c r="J134" i="2" s="1"/>
  <c r="F135" i="2"/>
  <c r="I135" i="2" s="1"/>
  <c r="J135" i="2" s="1"/>
  <c r="F136" i="2"/>
  <c r="I136" i="2" s="1"/>
  <c r="J136" i="2" s="1"/>
  <c r="F137" i="2"/>
  <c r="I137" i="2" s="1"/>
  <c r="J137" i="2" s="1"/>
  <c r="F138" i="2"/>
  <c r="I138" i="2" s="1"/>
  <c r="J138" i="2" s="1"/>
  <c r="F139" i="2"/>
  <c r="I139" i="2" s="1"/>
  <c r="J139" i="2" s="1"/>
  <c r="F140" i="2"/>
  <c r="I140" i="2" s="1"/>
  <c r="J140" i="2" s="1"/>
  <c r="F141" i="2"/>
  <c r="I141" i="2" s="1"/>
  <c r="J141" i="2" s="1"/>
  <c r="F142" i="2"/>
  <c r="I142" i="2" s="1"/>
  <c r="J142" i="2" s="1"/>
  <c r="F143" i="2"/>
  <c r="I143" i="2" s="1"/>
  <c r="J143" i="2" s="1"/>
  <c r="F144" i="2"/>
  <c r="I144" i="2" s="1"/>
  <c r="J144" i="2" s="1"/>
  <c r="F145" i="2"/>
  <c r="I145" i="2" s="1"/>
  <c r="J145" i="2" s="1"/>
  <c r="F146" i="2"/>
  <c r="I146" i="2" s="1"/>
  <c r="J146" i="2" s="1"/>
  <c r="F147" i="2"/>
  <c r="I147" i="2" s="1"/>
  <c r="J147" i="2" s="1"/>
  <c r="F148" i="2"/>
  <c r="I148" i="2" s="1"/>
  <c r="J148" i="2" s="1"/>
  <c r="F149" i="2"/>
  <c r="I149" i="2" s="1"/>
  <c r="J149" i="2" s="1"/>
  <c r="F150" i="2"/>
  <c r="I150" i="2" s="1"/>
  <c r="J150" i="2" s="1"/>
  <c r="F151" i="2"/>
  <c r="I151" i="2" s="1"/>
  <c r="J151" i="2" s="1"/>
  <c r="F152" i="2"/>
  <c r="I152" i="2" s="1"/>
  <c r="J152" i="2" s="1"/>
  <c r="F153" i="2"/>
  <c r="I153" i="2" s="1"/>
  <c r="J153" i="2" s="1"/>
  <c r="F154" i="2"/>
  <c r="I154" i="2" s="1"/>
  <c r="J154" i="2" s="1"/>
  <c r="F155" i="2"/>
  <c r="I155" i="2" s="1"/>
  <c r="J155" i="2" s="1"/>
  <c r="F156" i="2"/>
  <c r="I156" i="2" s="1"/>
  <c r="J156" i="2" s="1"/>
  <c r="F157" i="2"/>
  <c r="I157" i="2" s="1"/>
  <c r="J157" i="2" s="1"/>
  <c r="F158" i="2"/>
  <c r="I158" i="2" s="1"/>
  <c r="J158" i="2" s="1"/>
  <c r="F159" i="2"/>
  <c r="I159" i="2" s="1"/>
  <c r="J159" i="2" s="1"/>
  <c r="F160" i="2"/>
  <c r="I160" i="2" s="1"/>
  <c r="J160" i="2" s="1"/>
  <c r="F161" i="2"/>
  <c r="I161" i="2" s="1"/>
  <c r="J161" i="2" s="1"/>
  <c r="F162" i="2"/>
  <c r="I162" i="2" s="1"/>
  <c r="J162" i="2" s="1"/>
  <c r="F163" i="2"/>
  <c r="I163" i="2" s="1"/>
  <c r="J163" i="2" s="1"/>
  <c r="F164" i="2"/>
  <c r="I164" i="2" s="1"/>
  <c r="J164" i="2" s="1"/>
  <c r="F165" i="2"/>
  <c r="I165" i="2" s="1"/>
  <c r="J165" i="2" s="1"/>
  <c r="F166" i="2"/>
  <c r="I166" i="2" s="1"/>
  <c r="J166" i="2" s="1"/>
  <c r="F167" i="2"/>
  <c r="I167" i="2" s="1"/>
  <c r="J167" i="2" s="1"/>
  <c r="F168" i="2"/>
  <c r="I168" i="2" s="1"/>
  <c r="J168" i="2" s="1"/>
  <c r="F169" i="2"/>
  <c r="I169" i="2" s="1"/>
  <c r="J169" i="2" s="1"/>
  <c r="F170" i="2"/>
  <c r="I170" i="2" s="1"/>
  <c r="J170" i="2" s="1"/>
  <c r="F171" i="2"/>
  <c r="I171" i="2" s="1"/>
  <c r="J171" i="2" s="1"/>
  <c r="F172" i="2"/>
  <c r="I172" i="2" s="1"/>
  <c r="J172" i="2" s="1"/>
  <c r="F173" i="2"/>
  <c r="I173" i="2" s="1"/>
  <c r="J173" i="2" s="1"/>
  <c r="F174" i="2"/>
  <c r="I174" i="2" s="1"/>
  <c r="J174" i="2" s="1"/>
  <c r="F175" i="2"/>
  <c r="I175" i="2" s="1"/>
  <c r="J175" i="2" s="1"/>
  <c r="F176" i="2"/>
  <c r="I176" i="2" s="1"/>
  <c r="J176" i="2" s="1"/>
  <c r="F177" i="2"/>
  <c r="I177" i="2" s="1"/>
  <c r="J177" i="2" s="1"/>
  <c r="F178" i="2"/>
  <c r="I178" i="2" s="1"/>
  <c r="J178" i="2" s="1"/>
  <c r="F179" i="2"/>
  <c r="I179" i="2" s="1"/>
  <c r="J179" i="2" s="1"/>
  <c r="F180" i="2"/>
  <c r="I180" i="2" s="1"/>
  <c r="J180" i="2" s="1"/>
  <c r="F181" i="2"/>
  <c r="I181" i="2" s="1"/>
  <c r="J181" i="2" s="1"/>
  <c r="F182" i="2"/>
  <c r="I182" i="2" s="1"/>
  <c r="J182" i="2" s="1"/>
  <c r="F183" i="2"/>
  <c r="I183" i="2" s="1"/>
  <c r="J183" i="2" s="1"/>
  <c r="F184" i="2"/>
  <c r="I184" i="2" s="1"/>
  <c r="J184" i="2" s="1"/>
  <c r="F185" i="2"/>
  <c r="I185" i="2" s="1"/>
  <c r="J185" i="2" s="1"/>
  <c r="F186" i="2"/>
  <c r="I186" i="2" s="1"/>
  <c r="J186" i="2" s="1"/>
  <c r="F187" i="2"/>
  <c r="I187" i="2" s="1"/>
  <c r="J187" i="2" s="1"/>
  <c r="F188" i="2"/>
  <c r="I188" i="2" s="1"/>
  <c r="J188" i="2" s="1"/>
  <c r="F189" i="2"/>
  <c r="I189" i="2" s="1"/>
  <c r="J189" i="2" s="1"/>
  <c r="F190" i="2"/>
  <c r="I190" i="2" s="1"/>
  <c r="J190" i="2" s="1"/>
  <c r="F191" i="2"/>
  <c r="I191" i="2" s="1"/>
  <c r="J191" i="2" s="1"/>
  <c r="F192" i="2"/>
  <c r="I192" i="2" s="1"/>
  <c r="J192" i="2" s="1"/>
  <c r="F193" i="2"/>
  <c r="I193" i="2" s="1"/>
  <c r="J193" i="2" s="1"/>
  <c r="F194" i="2"/>
  <c r="I194" i="2" s="1"/>
  <c r="J194" i="2" s="1"/>
  <c r="F195" i="2"/>
  <c r="I195" i="2" s="1"/>
  <c r="J195" i="2" s="1"/>
  <c r="F196" i="2"/>
  <c r="I196" i="2" s="1"/>
  <c r="J196" i="2" s="1"/>
  <c r="F197" i="2"/>
  <c r="I197" i="2" s="1"/>
  <c r="J197" i="2" s="1"/>
  <c r="F198" i="2"/>
  <c r="I198" i="2" s="1"/>
  <c r="J198" i="2" s="1"/>
  <c r="F199" i="2"/>
  <c r="I199" i="2" s="1"/>
  <c r="J199" i="2" s="1"/>
  <c r="F200" i="2"/>
  <c r="I200" i="2" s="1"/>
  <c r="J200" i="2" s="1"/>
  <c r="F201" i="2"/>
  <c r="I201" i="2" s="1"/>
  <c r="J201" i="2" s="1"/>
  <c r="F202" i="2"/>
  <c r="I202" i="2" s="1"/>
  <c r="J202" i="2" s="1"/>
  <c r="F203" i="2"/>
  <c r="I203" i="2" s="1"/>
  <c r="J203" i="2" s="1"/>
  <c r="F204" i="2"/>
  <c r="I204" i="2" s="1"/>
  <c r="J204" i="2" s="1"/>
  <c r="F205" i="2"/>
  <c r="I205" i="2" s="1"/>
  <c r="J205" i="2" s="1"/>
  <c r="F206" i="2"/>
  <c r="I206" i="2" s="1"/>
  <c r="J206" i="2" s="1"/>
  <c r="F207" i="2"/>
  <c r="I207" i="2" s="1"/>
  <c r="J207" i="2" s="1"/>
  <c r="F208" i="2"/>
  <c r="I208" i="2" s="1"/>
  <c r="J208" i="2" s="1"/>
  <c r="F209" i="2"/>
  <c r="I209" i="2" s="1"/>
  <c r="J209" i="2" s="1"/>
  <c r="F210" i="2"/>
  <c r="I210" i="2" s="1"/>
  <c r="J210" i="2" s="1"/>
  <c r="F211" i="2"/>
  <c r="I211" i="2" s="1"/>
  <c r="J211" i="2" s="1"/>
  <c r="F212" i="2"/>
  <c r="I212" i="2" s="1"/>
  <c r="J212" i="2" s="1"/>
  <c r="F213" i="2"/>
  <c r="I213" i="2" s="1"/>
  <c r="J213" i="2" s="1"/>
  <c r="F214" i="2"/>
  <c r="I214" i="2" s="1"/>
  <c r="J214" i="2" s="1"/>
  <c r="F215" i="2"/>
  <c r="I215" i="2" s="1"/>
  <c r="J215" i="2" s="1"/>
  <c r="F216" i="2"/>
  <c r="I216" i="2" s="1"/>
  <c r="J216" i="2" s="1"/>
  <c r="F217" i="2"/>
  <c r="I217" i="2" s="1"/>
  <c r="J217" i="2" s="1"/>
  <c r="F218" i="2"/>
  <c r="I218" i="2" s="1"/>
  <c r="J218" i="2" s="1"/>
  <c r="F219" i="2"/>
  <c r="I219" i="2" s="1"/>
  <c r="J219" i="2" s="1"/>
  <c r="F220" i="2"/>
  <c r="I220" i="2" s="1"/>
  <c r="J220" i="2" s="1"/>
  <c r="F221" i="2"/>
  <c r="I221" i="2" s="1"/>
  <c r="J221" i="2" s="1"/>
  <c r="F222" i="2"/>
  <c r="I222" i="2" s="1"/>
  <c r="J222" i="2" s="1"/>
  <c r="F223" i="2"/>
  <c r="I223" i="2" s="1"/>
  <c r="J223" i="2" s="1"/>
  <c r="F224" i="2"/>
  <c r="I224" i="2" s="1"/>
  <c r="J224" i="2" s="1"/>
  <c r="F225" i="2"/>
  <c r="I225" i="2" s="1"/>
  <c r="J225" i="2" s="1"/>
  <c r="F226" i="2"/>
  <c r="I226" i="2" s="1"/>
  <c r="J226" i="2" s="1"/>
  <c r="F227" i="2"/>
  <c r="I227" i="2" s="1"/>
  <c r="J227" i="2" s="1"/>
  <c r="F228" i="2"/>
  <c r="I228" i="2" s="1"/>
  <c r="J228" i="2" s="1"/>
  <c r="F229" i="2"/>
  <c r="I229" i="2" s="1"/>
  <c r="J229" i="2" s="1"/>
  <c r="F230" i="2"/>
  <c r="I230" i="2" s="1"/>
  <c r="J230" i="2" s="1"/>
  <c r="F231" i="2"/>
  <c r="I231" i="2" s="1"/>
  <c r="J231" i="2" s="1"/>
  <c r="F232" i="2"/>
  <c r="I232" i="2" s="1"/>
  <c r="J232" i="2" s="1"/>
  <c r="F233" i="2"/>
  <c r="I233" i="2" s="1"/>
  <c r="J233" i="2" s="1"/>
  <c r="F234" i="2"/>
  <c r="I234" i="2" s="1"/>
  <c r="J234" i="2" s="1"/>
  <c r="F235" i="2"/>
  <c r="I235" i="2" s="1"/>
  <c r="J235" i="2" s="1"/>
  <c r="F236" i="2"/>
  <c r="I236" i="2" s="1"/>
  <c r="J236" i="2" s="1"/>
  <c r="F237" i="2"/>
  <c r="I237" i="2" s="1"/>
  <c r="J237" i="2" s="1"/>
  <c r="F238" i="2"/>
  <c r="I238" i="2" s="1"/>
  <c r="J238" i="2" s="1"/>
  <c r="F239" i="2"/>
  <c r="I239" i="2" s="1"/>
  <c r="J239" i="2" s="1"/>
  <c r="F240" i="2"/>
  <c r="I240" i="2" s="1"/>
  <c r="J240" i="2" s="1"/>
  <c r="F241" i="2"/>
  <c r="I241" i="2" s="1"/>
  <c r="J241" i="2" s="1"/>
  <c r="F242" i="2"/>
  <c r="I242" i="2" s="1"/>
  <c r="J242" i="2" s="1"/>
  <c r="F243" i="2"/>
  <c r="I243" i="2" s="1"/>
  <c r="J243" i="2" s="1"/>
  <c r="F244" i="2"/>
  <c r="I244" i="2" s="1"/>
  <c r="J244" i="2" s="1"/>
  <c r="F245" i="2"/>
  <c r="I245" i="2" s="1"/>
  <c r="J245" i="2" s="1"/>
  <c r="F246" i="2"/>
  <c r="I246" i="2" s="1"/>
  <c r="J246" i="2" s="1"/>
  <c r="F247" i="2"/>
  <c r="I247" i="2" s="1"/>
  <c r="J247" i="2" s="1"/>
  <c r="F248" i="2"/>
  <c r="I248" i="2" s="1"/>
  <c r="J248" i="2" s="1"/>
  <c r="F249" i="2"/>
  <c r="I249" i="2" s="1"/>
  <c r="J249" i="2" s="1"/>
  <c r="F250" i="2"/>
  <c r="I250" i="2" s="1"/>
  <c r="J250" i="2" s="1"/>
  <c r="F251" i="2"/>
  <c r="I251" i="2" s="1"/>
  <c r="J251" i="2" s="1"/>
  <c r="F252" i="2"/>
  <c r="I252" i="2" s="1"/>
  <c r="J252" i="2" s="1"/>
  <c r="F253" i="2"/>
  <c r="I253" i="2" s="1"/>
  <c r="J253" i="2" s="1"/>
  <c r="F254" i="2"/>
  <c r="I254" i="2" s="1"/>
  <c r="J254" i="2" s="1"/>
  <c r="F255" i="2"/>
  <c r="I255" i="2" s="1"/>
  <c r="J255" i="2" s="1"/>
  <c r="F256" i="2"/>
  <c r="I256" i="2" s="1"/>
  <c r="J256" i="2" s="1"/>
  <c r="F257" i="2"/>
  <c r="I257" i="2" s="1"/>
  <c r="J257" i="2" s="1"/>
  <c r="F258" i="2"/>
  <c r="I258" i="2" s="1"/>
  <c r="J258" i="2" s="1"/>
  <c r="F259" i="2"/>
  <c r="I259" i="2" s="1"/>
  <c r="J259" i="2" s="1"/>
  <c r="F260" i="2"/>
  <c r="I260" i="2" s="1"/>
  <c r="J260" i="2" s="1"/>
  <c r="F261" i="2"/>
  <c r="I261" i="2" s="1"/>
  <c r="J261" i="2" s="1"/>
  <c r="F262" i="2"/>
  <c r="I262" i="2" s="1"/>
  <c r="J262" i="2" s="1"/>
  <c r="F263" i="2"/>
  <c r="I263" i="2" s="1"/>
  <c r="J263" i="2" s="1"/>
  <c r="F264" i="2"/>
  <c r="I264" i="2" s="1"/>
  <c r="J264" i="2" s="1"/>
  <c r="F265" i="2"/>
  <c r="I265" i="2" s="1"/>
  <c r="J265" i="2" s="1"/>
  <c r="F266" i="2"/>
  <c r="I266" i="2" s="1"/>
  <c r="J266" i="2" s="1"/>
  <c r="F267" i="2"/>
  <c r="I267" i="2" s="1"/>
  <c r="J267" i="2" s="1"/>
  <c r="F268" i="2"/>
  <c r="I268" i="2" s="1"/>
  <c r="J268" i="2" s="1"/>
  <c r="F269" i="2"/>
  <c r="I269" i="2" s="1"/>
  <c r="J269" i="2" s="1"/>
  <c r="F270" i="2"/>
  <c r="I270" i="2" s="1"/>
  <c r="J270" i="2" s="1"/>
  <c r="F271" i="2"/>
  <c r="I271" i="2" s="1"/>
  <c r="J271" i="2" s="1"/>
  <c r="F272" i="2"/>
  <c r="I272" i="2" s="1"/>
  <c r="J272" i="2" s="1"/>
  <c r="F273" i="2"/>
  <c r="I273" i="2" s="1"/>
  <c r="J273" i="2" s="1"/>
  <c r="F274" i="2"/>
  <c r="I274" i="2" s="1"/>
  <c r="J274" i="2" s="1"/>
  <c r="F275" i="2"/>
  <c r="I275" i="2" s="1"/>
  <c r="J275" i="2" s="1"/>
  <c r="F276" i="2"/>
  <c r="I276" i="2" s="1"/>
  <c r="J276" i="2" s="1"/>
  <c r="F277" i="2"/>
  <c r="I277" i="2" s="1"/>
  <c r="J277" i="2" s="1"/>
  <c r="F278" i="2"/>
  <c r="I278" i="2" s="1"/>
  <c r="J278" i="2" s="1"/>
  <c r="F279" i="2"/>
  <c r="I279" i="2" s="1"/>
  <c r="J279" i="2" s="1"/>
  <c r="F280" i="2"/>
  <c r="I280" i="2" s="1"/>
  <c r="J280" i="2" s="1"/>
  <c r="F281" i="2"/>
  <c r="I281" i="2" s="1"/>
  <c r="J281" i="2" s="1"/>
  <c r="F282" i="2"/>
  <c r="I282" i="2" s="1"/>
  <c r="J282" i="2" s="1"/>
  <c r="F283" i="2"/>
  <c r="I283" i="2" s="1"/>
  <c r="J283" i="2" s="1"/>
  <c r="F284" i="2"/>
  <c r="I284" i="2" s="1"/>
  <c r="J284" i="2" s="1"/>
  <c r="F285" i="2"/>
  <c r="I285" i="2" s="1"/>
  <c r="J285" i="2" s="1"/>
  <c r="F286" i="2"/>
  <c r="I286" i="2" s="1"/>
  <c r="J286" i="2" s="1"/>
  <c r="F287" i="2"/>
  <c r="I287" i="2" s="1"/>
  <c r="J287" i="2" s="1"/>
  <c r="F288" i="2"/>
  <c r="I288" i="2" s="1"/>
  <c r="J288" i="2" s="1"/>
  <c r="F289" i="2"/>
  <c r="I289" i="2" s="1"/>
  <c r="J289" i="2" s="1"/>
  <c r="F290" i="2"/>
  <c r="I290" i="2" s="1"/>
  <c r="J290" i="2" s="1"/>
  <c r="F291" i="2"/>
  <c r="I291" i="2" s="1"/>
  <c r="J291" i="2" s="1"/>
  <c r="F292" i="2"/>
  <c r="I292" i="2" s="1"/>
  <c r="J292" i="2" s="1"/>
  <c r="F293" i="2"/>
  <c r="I293" i="2" s="1"/>
  <c r="J293" i="2" s="1"/>
  <c r="F294" i="2"/>
  <c r="I294" i="2" s="1"/>
  <c r="J294" i="2" s="1"/>
  <c r="F295" i="2"/>
  <c r="I295" i="2" s="1"/>
  <c r="J295" i="2" s="1"/>
  <c r="F296" i="2"/>
  <c r="I296" i="2" s="1"/>
  <c r="J296" i="2" s="1"/>
  <c r="F297" i="2"/>
  <c r="I297" i="2" s="1"/>
  <c r="J297" i="2" s="1"/>
  <c r="F298" i="2"/>
  <c r="I298" i="2" s="1"/>
  <c r="J298" i="2" s="1"/>
  <c r="F299" i="2"/>
  <c r="I299" i="2" s="1"/>
  <c r="J299" i="2" s="1"/>
  <c r="F300" i="2"/>
  <c r="I300" i="2" s="1"/>
  <c r="J300" i="2" s="1"/>
  <c r="F301" i="2"/>
  <c r="I301" i="2" s="1"/>
  <c r="J301" i="2" s="1"/>
  <c r="F302" i="2"/>
  <c r="I302" i="2" s="1"/>
  <c r="J302" i="2" s="1"/>
  <c r="F303" i="2"/>
  <c r="I303" i="2" s="1"/>
  <c r="J303" i="2" s="1"/>
  <c r="F304" i="2"/>
  <c r="I304" i="2" s="1"/>
  <c r="J304" i="2" s="1"/>
  <c r="F305" i="2"/>
  <c r="I305" i="2" s="1"/>
  <c r="J305" i="2" s="1"/>
  <c r="F306" i="2"/>
  <c r="I306" i="2" s="1"/>
  <c r="J306" i="2" s="1"/>
  <c r="F307" i="2"/>
  <c r="I307" i="2" s="1"/>
  <c r="J307" i="2" s="1"/>
  <c r="F308" i="2"/>
  <c r="I308" i="2" s="1"/>
  <c r="J308" i="2" s="1"/>
  <c r="F309" i="2"/>
  <c r="I309" i="2" s="1"/>
  <c r="J309" i="2" s="1"/>
  <c r="F310" i="2"/>
  <c r="I310" i="2" s="1"/>
  <c r="J310" i="2" s="1"/>
  <c r="F311" i="2"/>
  <c r="I311" i="2" s="1"/>
  <c r="J311" i="2" s="1"/>
  <c r="F312" i="2"/>
  <c r="I312" i="2" s="1"/>
  <c r="J312" i="2" s="1"/>
  <c r="F313" i="2"/>
  <c r="I313" i="2" s="1"/>
  <c r="J313" i="2" s="1"/>
  <c r="F314" i="2"/>
  <c r="I314" i="2" s="1"/>
  <c r="J314" i="2" s="1"/>
  <c r="F315" i="2"/>
  <c r="I315" i="2" s="1"/>
  <c r="J315" i="2" s="1"/>
  <c r="F316" i="2"/>
  <c r="I316" i="2" s="1"/>
  <c r="J316" i="2" s="1"/>
  <c r="F317" i="2"/>
  <c r="I317" i="2" s="1"/>
  <c r="J317" i="2" s="1"/>
  <c r="F318" i="2"/>
  <c r="I318" i="2" s="1"/>
  <c r="J318" i="2" s="1"/>
  <c r="F319" i="2"/>
  <c r="I319" i="2" s="1"/>
  <c r="J319" i="2" s="1"/>
  <c r="F320" i="2"/>
  <c r="I320" i="2" s="1"/>
  <c r="J320" i="2" s="1"/>
  <c r="F321" i="2"/>
  <c r="I321" i="2" s="1"/>
  <c r="J321" i="2" s="1"/>
  <c r="F322" i="2"/>
  <c r="I322" i="2" s="1"/>
  <c r="J322" i="2" s="1"/>
  <c r="F323" i="2"/>
  <c r="I323" i="2" s="1"/>
  <c r="J323" i="2" s="1"/>
  <c r="F324" i="2"/>
  <c r="I324" i="2" s="1"/>
  <c r="J324" i="2" s="1"/>
  <c r="F325" i="2"/>
  <c r="I325" i="2" s="1"/>
  <c r="J325" i="2" s="1"/>
  <c r="F326" i="2"/>
  <c r="I326" i="2" s="1"/>
  <c r="J326" i="2" s="1"/>
  <c r="F327" i="2"/>
  <c r="I327" i="2" s="1"/>
  <c r="J327" i="2" s="1"/>
  <c r="F328" i="2"/>
  <c r="I328" i="2" s="1"/>
  <c r="J328" i="2" s="1"/>
  <c r="F329" i="2"/>
  <c r="I329" i="2" s="1"/>
  <c r="J329" i="2" s="1"/>
  <c r="F330" i="2"/>
  <c r="I330" i="2" s="1"/>
  <c r="J330" i="2" s="1"/>
  <c r="F331" i="2"/>
  <c r="I331" i="2" s="1"/>
  <c r="J331" i="2" s="1"/>
  <c r="F332" i="2"/>
  <c r="I332" i="2" s="1"/>
  <c r="J332" i="2" s="1"/>
  <c r="F333" i="2"/>
  <c r="I333" i="2" s="1"/>
  <c r="J333" i="2" s="1"/>
  <c r="F334" i="2"/>
  <c r="I334" i="2" s="1"/>
  <c r="J334" i="2" s="1"/>
  <c r="F335" i="2"/>
  <c r="I335" i="2" s="1"/>
  <c r="J335" i="2" s="1"/>
  <c r="F336" i="2"/>
  <c r="I336" i="2" s="1"/>
  <c r="J336" i="2" s="1"/>
  <c r="F337" i="2"/>
  <c r="I337" i="2" s="1"/>
  <c r="J337" i="2" s="1"/>
  <c r="F338" i="2"/>
  <c r="I338" i="2" s="1"/>
  <c r="J338" i="2" s="1"/>
  <c r="F339" i="2"/>
  <c r="I339" i="2" s="1"/>
  <c r="J339" i="2" s="1"/>
  <c r="F340" i="2"/>
  <c r="I340" i="2" s="1"/>
  <c r="J340" i="2" s="1"/>
  <c r="F341" i="2"/>
  <c r="I341" i="2" s="1"/>
  <c r="J341" i="2" s="1"/>
  <c r="F342" i="2"/>
  <c r="I342" i="2" s="1"/>
  <c r="J342" i="2" s="1"/>
  <c r="F343" i="2"/>
  <c r="I343" i="2" s="1"/>
  <c r="J343" i="2" s="1"/>
  <c r="F344" i="2"/>
  <c r="I344" i="2" s="1"/>
  <c r="J344" i="2" s="1"/>
  <c r="F345" i="2"/>
  <c r="I345" i="2" s="1"/>
  <c r="J345" i="2" s="1"/>
  <c r="F346" i="2"/>
  <c r="I346" i="2" s="1"/>
  <c r="J346" i="2" s="1"/>
  <c r="F347" i="2"/>
  <c r="I347" i="2" s="1"/>
  <c r="J347" i="2" s="1"/>
  <c r="F348" i="2"/>
  <c r="I348" i="2" s="1"/>
  <c r="J348" i="2" s="1"/>
  <c r="F349" i="2"/>
  <c r="I349" i="2" s="1"/>
  <c r="J349" i="2" s="1"/>
  <c r="F350" i="2"/>
  <c r="I350" i="2" s="1"/>
  <c r="J350" i="2" s="1"/>
  <c r="F351" i="2"/>
  <c r="I351" i="2" s="1"/>
  <c r="J351" i="2" s="1"/>
  <c r="F352" i="2"/>
  <c r="I352" i="2" s="1"/>
  <c r="J352" i="2" s="1"/>
  <c r="F353" i="2"/>
  <c r="I353" i="2" s="1"/>
  <c r="J353" i="2" s="1"/>
  <c r="F354" i="2"/>
  <c r="I354" i="2" s="1"/>
  <c r="J354" i="2" s="1"/>
  <c r="F355" i="2"/>
  <c r="I355" i="2" s="1"/>
  <c r="J355" i="2" s="1"/>
  <c r="F356" i="2"/>
  <c r="I356" i="2" s="1"/>
  <c r="J356" i="2" s="1"/>
  <c r="F357" i="2"/>
  <c r="I357" i="2" s="1"/>
  <c r="J357" i="2" s="1"/>
  <c r="F358" i="2"/>
  <c r="I358" i="2" s="1"/>
  <c r="J358" i="2" s="1"/>
  <c r="F359" i="2"/>
  <c r="I359" i="2" s="1"/>
  <c r="J359" i="2" s="1"/>
  <c r="F360" i="2"/>
  <c r="I360" i="2" s="1"/>
  <c r="J360" i="2" s="1"/>
  <c r="F361" i="2"/>
  <c r="I361" i="2" s="1"/>
  <c r="J361" i="2" s="1"/>
  <c r="F362" i="2"/>
  <c r="I362" i="2" s="1"/>
  <c r="J362" i="2" s="1"/>
  <c r="F363" i="2"/>
  <c r="I363" i="2" s="1"/>
  <c r="J363" i="2" s="1"/>
  <c r="F364" i="2"/>
  <c r="I364" i="2" s="1"/>
  <c r="J364" i="2" s="1"/>
  <c r="F365" i="2"/>
  <c r="I365" i="2" s="1"/>
  <c r="J365" i="2" s="1"/>
  <c r="F366" i="2"/>
  <c r="I366" i="2" s="1"/>
  <c r="J366" i="2" s="1"/>
  <c r="F367" i="2"/>
  <c r="I367" i="2" s="1"/>
  <c r="J367" i="2" s="1"/>
  <c r="F368" i="2"/>
  <c r="I368" i="2" s="1"/>
  <c r="J368" i="2" s="1"/>
  <c r="F369" i="2"/>
  <c r="I369" i="2" s="1"/>
  <c r="J369" i="2" s="1"/>
  <c r="F370" i="2"/>
  <c r="I370" i="2" s="1"/>
  <c r="J370" i="2" s="1"/>
  <c r="F371" i="2"/>
  <c r="I371" i="2" s="1"/>
  <c r="J371" i="2" s="1"/>
  <c r="F372" i="2"/>
  <c r="I372" i="2" s="1"/>
  <c r="J372" i="2" s="1"/>
  <c r="F373" i="2"/>
  <c r="I373" i="2" s="1"/>
  <c r="J373" i="2" s="1"/>
  <c r="F374" i="2"/>
  <c r="I374" i="2" s="1"/>
  <c r="J374" i="2" s="1"/>
  <c r="F375" i="2"/>
  <c r="I375" i="2" s="1"/>
  <c r="J375" i="2" s="1"/>
  <c r="F376" i="2"/>
  <c r="I376" i="2" s="1"/>
  <c r="J376" i="2" s="1"/>
  <c r="F377" i="2"/>
  <c r="I377" i="2" s="1"/>
  <c r="J377" i="2" s="1"/>
  <c r="F378" i="2"/>
  <c r="I378" i="2" s="1"/>
  <c r="J378" i="2" s="1"/>
  <c r="F379" i="2"/>
  <c r="I379" i="2" s="1"/>
  <c r="J379" i="2" s="1"/>
  <c r="F380" i="2"/>
  <c r="I380" i="2" s="1"/>
  <c r="J380" i="2" s="1"/>
  <c r="F381" i="2"/>
  <c r="I381" i="2" s="1"/>
  <c r="J381" i="2" s="1"/>
  <c r="F382" i="2"/>
  <c r="I382" i="2" s="1"/>
  <c r="J382" i="2" s="1"/>
  <c r="F383" i="2"/>
  <c r="I383" i="2" s="1"/>
  <c r="J383" i="2" s="1"/>
  <c r="F384" i="2"/>
  <c r="I384" i="2" s="1"/>
  <c r="J384" i="2" s="1"/>
  <c r="F385" i="2"/>
  <c r="I385" i="2" s="1"/>
  <c r="J385" i="2" s="1"/>
  <c r="F386" i="2"/>
  <c r="I386" i="2" s="1"/>
  <c r="J386" i="2" s="1"/>
  <c r="F387" i="2"/>
  <c r="I387" i="2" s="1"/>
  <c r="J387" i="2" s="1"/>
  <c r="F388" i="2"/>
  <c r="I388" i="2" s="1"/>
  <c r="J388" i="2" s="1"/>
  <c r="F389" i="2"/>
  <c r="I389" i="2" s="1"/>
  <c r="J389" i="2" s="1"/>
  <c r="F390" i="2"/>
  <c r="I390" i="2" s="1"/>
  <c r="J390" i="2" s="1"/>
  <c r="F391" i="2"/>
  <c r="I391" i="2" s="1"/>
  <c r="J391" i="2" s="1"/>
  <c r="F392" i="2"/>
  <c r="I392" i="2" s="1"/>
  <c r="J392" i="2" s="1"/>
  <c r="F393" i="2"/>
  <c r="I393" i="2" s="1"/>
  <c r="J393" i="2" s="1"/>
  <c r="F394" i="2"/>
  <c r="I394" i="2" s="1"/>
  <c r="J394" i="2" s="1"/>
  <c r="F395" i="2"/>
  <c r="I395" i="2" s="1"/>
  <c r="J395" i="2" s="1"/>
  <c r="F396" i="2"/>
  <c r="I396" i="2" s="1"/>
  <c r="J396" i="2" s="1"/>
  <c r="F397" i="2"/>
  <c r="I397" i="2" s="1"/>
  <c r="J397" i="2" s="1"/>
  <c r="F398" i="2"/>
  <c r="I398" i="2" s="1"/>
  <c r="J398" i="2" s="1"/>
  <c r="F399" i="2"/>
  <c r="I399" i="2" s="1"/>
  <c r="J399" i="2" s="1"/>
  <c r="F400" i="2"/>
  <c r="I400" i="2" s="1"/>
  <c r="J400" i="2" s="1"/>
  <c r="F401" i="2"/>
  <c r="I401" i="2" s="1"/>
  <c r="J401" i="2" s="1"/>
  <c r="F402" i="2"/>
  <c r="I402" i="2" s="1"/>
  <c r="J402" i="2" s="1"/>
  <c r="F403" i="2"/>
  <c r="I403" i="2" s="1"/>
  <c r="J403" i="2" s="1"/>
  <c r="F404" i="2"/>
  <c r="I404" i="2" s="1"/>
  <c r="J404" i="2" s="1"/>
  <c r="F405" i="2"/>
  <c r="I405" i="2" s="1"/>
  <c r="J405" i="2" s="1"/>
  <c r="F406" i="2"/>
  <c r="I406" i="2" s="1"/>
  <c r="J406" i="2" s="1"/>
  <c r="F407" i="2"/>
  <c r="I407" i="2" s="1"/>
  <c r="J407" i="2" s="1"/>
  <c r="F408" i="2"/>
  <c r="I408" i="2" s="1"/>
  <c r="J408" i="2" s="1"/>
  <c r="F409" i="2"/>
  <c r="I409" i="2" s="1"/>
  <c r="J409" i="2" s="1"/>
  <c r="F410" i="2"/>
  <c r="I410" i="2" s="1"/>
  <c r="J410" i="2" s="1"/>
  <c r="F411" i="2"/>
  <c r="I411" i="2" s="1"/>
  <c r="J411" i="2" s="1"/>
  <c r="F412" i="2"/>
  <c r="I412" i="2" s="1"/>
  <c r="J412" i="2" s="1"/>
  <c r="F413" i="2"/>
  <c r="I413" i="2" s="1"/>
  <c r="J413" i="2" s="1"/>
  <c r="F414" i="2"/>
  <c r="I414" i="2" s="1"/>
  <c r="J414" i="2" s="1"/>
  <c r="F415" i="2"/>
  <c r="I415" i="2" s="1"/>
  <c r="J415" i="2" s="1"/>
  <c r="F416" i="2"/>
  <c r="I416" i="2" s="1"/>
  <c r="J416" i="2" s="1"/>
  <c r="F417" i="2"/>
  <c r="I417" i="2" s="1"/>
  <c r="J417" i="2" s="1"/>
  <c r="F418" i="2"/>
  <c r="I418" i="2" s="1"/>
  <c r="J418" i="2" s="1"/>
  <c r="F419" i="2"/>
  <c r="I419" i="2" s="1"/>
  <c r="J419" i="2" s="1"/>
  <c r="F420" i="2"/>
  <c r="I420" i="2" s="1"/>
  <c r="J420" i="2" s="1"/>
  <c r="F421" i="2"/>
  <c r="I421" i="2" s="1"/>
  <c r="J421" i="2" s="1"/>
  <c r="F422" i="2"/>
  <c r="I422" i="2" s="1"/>
  <c r="J422" i="2" s="1"/>
  <c r="F423" i="2"/>
  <c r="I423" i="2" s="1"/>
  <c r="J423" i="2" s="1"/>
  <c r="F424" i="2"/>
  <c r="I424" i="2" s="1"/>
  <c r="J424" i="2" s="1"/>
  <c r="F425" i="2"/>
  <c r="I425" i="2" s="1"/>
  <c r="J425" i="2" s="1"/>
  <c r="F426" i="2"/>
  <c r="I426" i="2" s="1"/>
  <c r="J426" i="2" s="1"/>
  <c r="F427" i="2"/>
  <c r="I427" i="2" s="1"/>
  <c r="J427" i="2" s="1"/>
  <c r="F428" i="2"/>
  <c r="I428" i="2" s="1"/>
  <c r="J428" i="2" s="1"/>
  <c r="F429" i="2"/>
  <c r="I429" i="2" s="1"/>
  <c r="J429" i="2" s="1"/>
  <c r="F430" i="2"/>
  <c r="I430" i="2" s="1"/>
  <c r="J430" i="2" s="1"/>
  <c r="F431" i="2"/>
  <c r="I431" i="2" s="1"/>
  <c r="J431" i="2" s="1"/>
  <c r="F432" i="2"/>
  <c r="I432" i="2" s="1"/>
  <c r="J432" i="2" s="1"/>
  <c r="F433" i="2"/>
  <c r="I433" i="2" s="1"/>
  <c r="J433" i="2" s="1"/>
  <c r="F434" i="2"/>
  <c r="I434" i="2" s="1"/>
  <c r="J434" i="2" s="1"/>
  <c r="F435" i="2"/>
  <c r="I435" i="2" s="1"/>
  <c r="J435" i="2" s="1"/>
  <c r="F436" i="2"/>
  <c r="I436" i="2" s="1"/>
  <c r="J436" i="2" s="1"/>
  <c r="F437" i="2"/>
  <c r="I437" i="2" s="1"/>
  <c r="J437" i="2" s="1"/>
  <c r="F438" i="2"/>
  <c r="I438" i="2" s="1"/>
  <c r="J438" i="2" s="1"/>
  <c r="F439" i="2"/>
  <c r="I439" i="2" s="1"/>
  <c r="J439" i="2" s="1"/>
  <c r="F440" i="2"/>
  <c r="I440" i="2" s="1"/>
  <c r="J440" i="2" s="1"/>
  <c r="F441" i="2"/>
  <c r="I441" i="2" s="1"/>
  <c r="J441" i="2" s="1"/>
  <c r="F442" i="2"/>
  <c r="I442" i="2" s="1"/>
  <c r="J442" i="2" s="1"/>
  <c r="F443" i="2"/>
  <c r="I443" i="2" s="1"/>
  <c r="J443" i="2" s="1"/>
  <c r="F444" i="2"/>
  <c r="I444" i="2" s="1"/>
  <c r="J444" i="2" s="1"/>
  <c r="F445" i="2"/>
  <c r="I445" i="2" s="1"/>
  <c r="J445" i="2" s="1"/>
  <c r="F446" i="2"/>
  <c r="I446" i="2" s="1"/>
  <c r="J446" i="2" s="1"/>
  <c r="F447" i="2"/>
  <c r="I447" i="2" s="1"/>
  <c r="J447" i="2" s="1"/>
  <c r="F448" i="2"/>
  <c r="I448" i="2" s="1"/>
  <c r="J448" i="2" s="1"/>
  <c r="F449" i="2"/>
  <c r="I449" i="2" s="1"/>
  <c r="J449" i="2" s="1"/>
  <c r="F450" i="2"/>
  <c r="I450" i="2" s="1"/>
  <c r="J450" i="2" s="1"/>
  <c r="F451" i="2"/>
  <c r="I451" i="2" s="1"/>
  <c r="J451" i="2" s="1"/>
  <c r="F452" i="2"/>
  <c r="I452" i="2" s="1"/>
  <c r="J452" i="2" s="1"/>
  <c r="F453" i="2"/>
  <c r="I453" i="2" s="1"/>
  <c r="J453" i="2" s="1"/>
  <c r="F454" i="2"/>
  <c r="I454" i="2" s="1"/>
  <c r="J454" i="2" s="1"/>
  <c r="F455" i="2"/>
  <c r="I455" i="2" s="1"/>
  <c r="J455" i="2" s="1"/>
  <c r="F456" i="2"/>
  <c r="I456" i="2" s="1"/>
  <c r="J456" i="2" s="1"/>
  <c r="F457" i="2"/>
  <c r="I457" i="2" s="1"/>
  <c r="J457" i="2" s="1"/>
  <c r="F458" i="2"/>
  <c r="I458" i="2" s="1"/>
  <c r="J458" i="2" s="1"/>
  <c r="F459" i="2"/>
  <c r="I459" i="2" s="1"/>
  <c r="J459" i="2" s="1"/>
  <c r="F460" i="2"/>
  <c r="I460" i="2" s="1"/>
  <c r="J460" i="2" s="1"/>
  <c r="F461" i="2"/>
  <c r="I461" i="2" s="1"/>
  <c r="J461" i="2" s="1"/>
  <c r="F462" i="2"/>
  <c r="I462" i="2" s="1"/>
  <c r="J462" i="2" s="1"/>
  <c r="F463" i="2"/>
  <c r="I463" i="2" s="1"/>
  <c r="J463" i="2" s="1"/>
  <c r="F464" i="2"/>
  <c r="I464" i="2" s="1"/>
  <c r="J464" i="2" s="1"/>
  <c r="F465" i="2"/>
  <c r="I465" i="2" s="1"/>
  <c r="J465" i="2" s="1"/>
  <c r="F466" i="2"/>
  <c r="I466" i="2" s="1"/>
  <c r="J466" i="2" s="1"/>
  <c r="F467" i="2"/>
  <c r="I467" i="2" s="1"/>
  <c r="J467" i="2" s="1"/>
  <c r="F468" i="2"/>
  <c r="I468" i="2" s="1"/>
  <c r="J468" i="2" s="1"/>
  <c r="F469" i="2"/>
  <c r="I469" i="2" s="1"/>
  <c r="J469" i="2" s="1"/>
  <c r="F470" i="2"/>
  <c r="I470" i="2" s="1"/>
  <c r="J470" i="2" s="1"/>
  <c r="F471" i="2"/>
  <c r="I471" i="2" s="1"/>
  <c r="J471" i="2" s="1"/>
  <c r="F472" i="2"/>
  <c r="I472" i="2" s="1"/>
  <c r="J472" i="2" s="1"/>
  <c r="F473" i="2"/>
  <c r="I473" i="2" s="1"/>
  <c r="J473" i="2" s="1"/>
  <c r="F474" i="2"/>
  <c r="I474" i="2" s="1"/>
  <c r="J474" i="2" s="1"/>
  <c r="F475" i="2"/>
  <c r="I475" i="2" s="1"/>
  <c r="J475" i="2" s="1"/>
  <c r="F476" i="2"/>
  <c r="I476" i="2" s="1"/>
  <c r="J476" i="2" s="1"/>
  <c r="F477" i="2"/>
  <c r="I477" i="2" s="1"/>
  <c r="J477" i="2" s="1"/>
  <c r="F478" i="2"/>
  <c r="I478" i="2" s="1"/>
  <c r="J478" i="2" s="1"/>
  <c r="F479" i="2"/>
  <c r="I479" i="2" s="1"/>
  <c r="J479" i="2" s="1"/>
  <c r="F480" i="2"/>
  <c r="I480" i="2" s="1"/>
  <c r="J480" i="2" s="1"/>
  <c r="F481" i="2"/>
  <c r="I481" i="2" s="1"/>
  <c r="J481" i="2" s="1"/>
  <c r="F482" i="2"/>
  <c r="I482" i="2" s="1"/>
  <c r="J482" i="2" s="1"/>
  <c r="F483" i="2"/>
  <c r="I483" i="2" s="1"/>
  <c r="J483" i="2" s="1"/>
  <c r="F484" i="2"/>
  <c r="I484" i="2" s="1"/>
  <c r="J484" i="2" s="1"/>
  <c r="F485" i="2"/>
  <c r="I485" i="2" s="1"/>
  <c r="J485" i="2" s="1"/>
  <c r="F486" i="2"/>
  <c r="I486" i="2" s="1"/>
  <c r="J486" i="2" s="1"/>
  <c r="F487" i="2"/>
  <c r="I487" i="2" s="1"/>
  <c r="J487" i="2" s="1"/>
  <c r="F488" i="2"/>
  <c r="I488" i="2" s="1"/>
  <c r="J488" i="2" s="1"/>
  <c r="F489" i="2"/>
  <c r="I489" i="2" s="1"/>
  <c r="J489" i="2" s="1"/>
  <c r="F490" i="2"/>
  <c r="I490" i="2" s="1"/>
  <c r="J490" i="2" s="1"/>
  <c r="F491" i="2"/>
  <c r="I491" i="2" s="1"/>
  <c r="J491" i="2" s="1"/>
  <c r="F492" i="2"/>
  <c r="I492" i="2" s="1"/>
  <c r="J492" i="2" s="1"/>
  <c r="F493" i="2"/>
  <c r="I493" i="2" s="1"/>
  <c r="J493" i="2" s="1"/>
  <c r="F494" i="2"/>
  <c r="I494" i="2" s="1"/>
  <c r="J494" i="2" s="1"/>
  <c r="F495" i="2"/>
  <c r="I495" i="2" s="1"/>
  <c r="J495" i="2" s="1"/>
  <c r="F496" i="2"/>
  <c r="I496" i="2" s="1"/>
  <c r="J496" i="2" s="1"/>
  <c r="F497" i="2"/>
  <c r="I497" i="2" s="1"/>
  <c r="J497" i="2" s="1"/>
  <c r="F498" i="2"/>
  <c r="I498" i="2" s="1"/>
  <c r="J498" i="2" s="1"/>
  <c r="F499" i="2"/>
  <c r="I499" i="2" s="1"/>
  <c r="J499" i="2" s="1"/>
  <c r="F500" i="2"/>
  <c r="I500" i="2" s="1"/>
  <c r="J500" i="2" s="1"/>
  <c r="F501" i="2"/>
  <c r="I501" i="2" s="1"/>
  <c r="J501" i="2" s="1"/>
  <c r="F502" i="2"/>
  <c r="I502" i="2" s="1"/>
  <c r="J502" i="2" s="1"/>
  <c r="F503" i="2"/>
  <c r="I503" i="2" s="1"/>
  <c r="J503" i="2" s="1"/>
  <c r="F504" i="2"/>
  <c r="I504" i="2" s="1"/>
  <c r="J504" i="2" s="1"/>
  <c r="F505" i="2"/>
  <c r="I505" i="2" s="1"/>
  <c r="J505" i="2" s="1"/>
  <c r="F506" i="2"/>
  <c r="I506" i="2" s="1"/>
  <c r="J506" i="2" s="1"/>
  <c r="F507" i="2"/>
  <c r="I507" i="2" s="1"/>
  <c r="J507" i="2" s="1"/>
  <c r="F508" i="2"/>
  <c r="I508" i="2" s="1"/>
  <c r="J508" i="2" s="1"/>
  <c r="F509" i="2"/>
  <c r="I509" i="2" s="1"/>
  <c r="J509" i="2" s="1"/>
  <c r="F510" i="2"/>
  <c r="I510" i="2" s="1"/>
  <c r="J510" i="2" s="1"/>
  <c r="F511" i="2"/>
  <c r="I511" i="2" s="1"/>
  <c r="J511" i="2" s="1"/>
  <c r="F512" i="2"/>
  <c r="I512" i="2" s="1"/>
  <c r="J512" i="2" s="1"/>
  <c r="F513" i="2"/>
  <c r="I513" i="2" s="1"/>
  <c r="J513" i="2" s="1"/>
  <c r="F514" i="2"/>
  <c r="I514" i="2" s="1"/>
  <c r="J514" i="2" s="1"/>
  <c r="F515" i="2"/>
  <c r="I515" i="2" s="1"/>
  <c r="J515" i="2" s="1"/>
  <c r="F516" i="2"/>
  <c r="I516" i="2" s="1"/>
  <c r="J516" i="2" s="1"/>
  <c r="F517" i="2"/>
  <c r="I517" i="2" s="1"/>
  <c r="J517" i="2" s="1"/>
  <c r="F518" i="2"/>
  <c r="I518" i="2" s="1"/>
  <c r="J518" i="2" s="1"/>
  <c r="F519" i="2"/>
  <c r="I519" i="2" s="1"/>
  <c r="J519" i="2" s="1"/>
  <c r="F520" i="2"/>
  <c r="I520" i="2" s="1"/>
  <c r="J520" i="2" s="1"/>
  <c r="F521" i="2"/>
  <c r="I521" i="2" s="1"/>
  <c r="J521" i="2" s="1"/>
  <c r="F522" i="2"/>
  <c r="I522" i="2" s="1"/>
  <c r="J522" i="2" s="1"/>
  <c r="F523" i="2"/>
  <c r="I523" i="2" s="1"/>
  <c r="J523" i="2" s="1"/>
  <c r="F524" i="2"/>
  <c r="I524" i="2" s="1"/>
  <c r="J524" i="2" s="1"/>
  <c r="F525" i="2"/>
  <c r="I525" i="2" s="1"/>
  <c r="J525" i="2" s="1"/>
  <c r="F526" i="2"/>
  <c r="I526" i="2" s="1"/>
  <c r="J526" i="2" s="1"/>
  <c r="F527" i="2"/>
  <c r="I527" i="2" s="1"/>
  <c r="J527" i="2" s="1"/>
  <c r="F528" i="2"/>
  <c r="I528" i="2" s="1"/>
  <c r="J528" i="2" s="1"/>
  <c r="F529" i="2"/>
  <c r="I529" i="2" s="1"/>
  <c r="J529" i="2" s="1"/>
  <c r="F530" i="2"/>
  <c r="I530" i="2" s="1"/>
  <c r="J530" i="2" s="1"/>
  <c r="F531" i="2"/>
  <c r="I531" i="2" s="1"/>
  <c r="J531" i="2" s="1"/>
  <c r="F532" i="2"/>
  <c r="I532" i="2" s="1"/>
  <c r="J532" i="2" s="1"/>
  <c r="F533" i="2"/>
  <c r="I533" i="2" s="1"/>
  <c r="J533" i="2" s="1"/>
  <c r="F534" i="2"/>
  <c r="I534" i="2" s="1"/>
  <c r="J534" i="2" s="1"/>
  <c r="F535" i="2"/>
  <c r="I535" i="2" s="1"/>
  <c r="J535" i="2" s="1"/>
  <c r="F536" i="2"/>
  <c r="I536" i="2" s="1"/>
  <c r="J536" i="2" s="1"/>
  <c r="F537" i="2"/>
  <c r="I537" i="2" s="1"/>
  <c r="J537" i="2" s="1"/>
  <c r="F538" i="2"/>
  <c r="I538" i="2" s="1"/>
  <c r="J538" i="2" s="1"/>
  <c r="F539" i="2"/>
  <c r="I539" i="2" s="1"/>
  <c r="J539" i="2" s="1"/>
  <c r="F540" i="2"/>
  <c r="I540" i="2" s="1"/>
  <c r="J540" i="2" s="1"/>
  <c r="F541" i="2"/>
  <c r="I541" i="2" s="1"/>
  <c r="J541" i="2" s="1"/>
  <c r="F542" i="2"/>
  <c r="I542" i="2" s="1"/>
  <c r="J542" i="2" s="1"/>
  <c r="F543" i="2"/>
  <c r="I543" i="2" s="1"/>
  <c r="J543" i="2" s="1"/>
  <c r="F544" i="2"/>
  <c r="I544" i="2" s="1"/>
  <c r="J544" i="2" s="1"/>
  <c r="F545" i="2"/>
  <c r="I545" i="2" s="1"/>
  <c r="J545" i="2" s="1"/>
  <c r="F546" i="2"/>
  <c r="I546" i="2" s="1"/>
  <c r="J546" i="2" s="1"/>
  <c r="F547" i="2"/>
  <c r="I547" i="2" s="1"/>
  <c r="J547" i="2" s="1"/>
  <c r="F548" i="2"/>
  <c r="I548" i="2" s="1"/>
  <c r="J548" i="2" s="1"/>
  <c r="F549" i="2"/>
  <c r="I549" i="2" s="1"/>
  <c r="J549" i="2" s="1"/>
  <c r="F550" i="2"/>
  <c r="I550" i="2" s="1"/>
  <c r="J550" i="2" s="1"/>
  <c r="F551" i="2"/>
  <c r="I551" i="2" s="1"/>
  <c r="J551" i="2" s="1"/>
  <c r="F552" i="2"/>
  <c r="I552" i="2" s="1"/>
  <c r="J552" i="2" s="1"/>
  <c r="F553" i="2"/>
  <c r="I553" i="2" s="1"/>
  <c r="J553" i="2" s="1"/>
  <c r="F554" i="2"/>
  <c r="I554" i="2" s="1"/>
  <c r="J554" i="2" s="1"/>
  <c r="F555" i="2"/>
  <c r="I555" i="2" s="1"/>
  <c r="J555" i="2" s="1"/>
  <c r="F556" i="2"/>
  <c r="I556" i="2" s="1"/>
  <c r="J556" i="2" s="1"/>
  <c r="F557" i="2"/>
  <c r="I557" i="2" s="1"/>
  <c r="J557" i="2" s="1"/>
  <c r="F558" i="2"/>
  <c r="I558" i="2" s="1"/>
  <c r="J558" i="2" s="1"/>
  <c r="F559" i="2"/>
  <c r="I559" i="2" s="1"/>
  <c r="J559" i="2" s="1"/>
  <c r="F560" i="2"/>
  <c r="I560" i="2" s="1"/>
  <c r="J560" i="2" s="1"/>
  <c r="F561" i="2"/>
  <c r="I561" i="2" s="1"/>
  <c r="J561" i="2" s="1"/>
  <c r="F562" i="2"/>
  <c r="I562" i="2" s="1"/>
  <c r="J562" i="2" s="1"/>
  <c r="F563" i="2"/>
  <c r="I563" i="2" s="1"/>
  <c r="J563" i="2" s="1"/>
  <c r="F564" i="2"/>
  <c r="I564" i="2" s="1"/>
  <c r="J564" i="2" s="1"/>
  <c r="F565" i="2"/>
  <c r="I565" i="2" s="1"/>
  <c r="J565" i="2" s="1"/>
  <c r="F566" i="2"/>
  <c r="I566" i="2" s="1"/>
  <c r="J566" i="2" s="1"/>
  <c r="F567" i="2"/>
  <c r="I567" i="2" s="1"/>
  <c r="J567" i="2" s="1"/>
  <c r="F568" i="2"/>
  <c r="I568" i="2" s="1"/>
  <c r="J568" i="2" s="1"/>
  <c r="F569" i="2"/>
  <c r="I569" i="2" s="1"/>
  <c r="J569" i="2" s="1"/>
  <c r="F570" i="2"/>
  <c r="I570" i="2" s="1"/>
  <c r="J570" i="2" s="1"/>
  <c r="F571" i="2"/>
  <c r="I571" i="2" s="1"/>
  <c r="J571" i="2" s="1"/>
  <c r="F572" i="2"/>
  <c r="I572" i="2" s="1"/>
  <c r="J572" i="2" s="1"/>
  <c r="F573" i="2"/>
  <c r="I573" i="2" s="1"/>
  <c r="J573" i="2" s="1"/>
  <c r="F574" i="2"/>
  <c r="I574" i="2" s="1"/>
  <c r="J574" i="2" s="1"/>
  <c r="F575" i="2"/>
  <c r="I575" i="2" s="1"/>
  <c r="J575" i="2" s="1"/>
  <c r="F576" i="2"/>
  <c r="I576" i="2" s="1"/>
  <c r="J576" i="2" s="1"/>
  <c r="F577" i="2"/>
  <c r="I577" i="2" s="1"/>
  <c r="J577" i="2" s="1"/>
  <c r="F578" i="2"/>
  <c r="I578" i="2" s="1"/>
  <c r="J578" i="2" s="1"/>
  <c r="F579" i="2"/>
  <c r="I579" i="2" s="1"/>
  <c r="J579" i="2" s="1"/>
  <c r="F580" i="2"/>
  <c r="I580" i="2" s="1"/>
  <c r="J580" i="2" s="1"/>
  <c r="F581" i="2"/>
  <c r="I581" i="2" s="1"/>
  <c r="J581" i="2" s="1"/>
  <c r="F582" i="2"/>
  <c r="I582" i="2" s="1"/>
  <c r="J582" i="2" s="1"/>
  <c r="F583" i="2"/>
  <c r="I583" i="2" s="1"/>
  <c r="J583" i="2" s="1"/>
  <c r="F584" i="2"/>
  <c r="I584" i="2" s="1"/>
  <c r="J584" i="2" s="1"/>
  <c r="F585" i="2"/>
  <c r="I585" i="2" s="1"/>
  <c r="J585" i="2" s="1"/>
  <c r="F586" i="2"/>
  <c r="I586" i="2" s="1"/>
  <c r="J586" i="2" s="1"/>
  <c r="F587" i="2"/>
  <c r="I587" i="2" s="1"/>
  <c r="J587" i="2" s="1"/>
  <c r="F588" i="2"/>
  <c r="I588" i="2" s="1"/>
  <c r="J588" i="2" s="1"/>
  <c r="F589" i="2"/>
  <c r="I589" i="2" s="1"/>
  <c r="J589" i="2" s="1"/>
  <c r="F590" i="2"/>
  <c r="I590" i="2" s="1"/>
  <c r="J590" i="2" s="1"/>
  <c r="F591" i="2"/>
  <c r="I591" i="2" s="1"/>
  <c r="J591" i="2" s="1"/>
  <c r="F592" i="2"/>
  <c r="I592" i="2" s="1"/>
  <c r="J592" i="2" s="1"/>
  <c r="F593" i="2"/>
  <c r="I593" i="2" s="1"/>
  <c r="J593" i="2" s="1"/>
  <c r="F594" i="2"/>
  <c r="I594" i="2" s="1"/>
  <c r="J594" i="2" s="1"/>
  <c r="F595" i="2"/>
  <c r="I595" i="2" s="1"/>
  <c r="J595" i="2" s="1"/>
  <c r="F596" i="2"/>
  <c r="I596" i="2" s="1"/>
  <c r="J596" i="2" s="1"/>
  <c r="F597" i="2"/>
  <c r="I597" i="2" s="1"/>
  <c r="J597" i="2" s="1"/>
  <c r="F598" i="2"/>
  <c r="I598" i="2" s="1"/>
  <c r="J598" i="2" s="1"/>
  <c r="F599" i="2"/>
  <c r="I599" i="2" s="1"/>
  <c r="J599" i="2" s="1"/>
  <c r="F600" i="2"/>
  <c r="I600" i="2" s="1"/>
  <c r="J600" i="2" s="1"/>
  <c r="F601" i="2"/>
  <c r="I601" i="2" s="1"/>
  <c r="J601" i="2" s="1"/>
  <c r="F602" i="2"/>
  <c r="I602" i="2" s="1"/>
  <c r="J602" i="2" s="1"/>
  <c r="F603" i="2"/>
  <c r="I603" i="2" s="1"/>
  <c r="J603" i="2" s="1"/>
  <c r="F604" i="2"/>
  <c r="I604" i="2" s="1"/>
  <c r="J604" i="2" s="1"/>
  <c r="F605" i="2"/>
  <c r="I605" i="2" s="1"/>
  <c r="J605" i="2" s="1"/>
  <c r="F606" i="2"/>
  <c r="I606" i="2" s="1"/>
  <c r="J606" i="2" s="1"/>
  <c r="F607" i="2"/>
  <c r="I607" i="2" s="1"/>
  <c r="J607" i="2" s="1"/>
  <c r="F608" i="2"/>
  <c r="I608" i="2" s="1"/>
  <c r="J608" i="2" s="1"/>
  <c r="F609" i="2"/>
  <c r="I609" i="2" s="1"/>
  <c r="J609" i="2" s="1"/>
  <c r="F610" i="2"/>
  <c r="I610" i="2" s="1"/>
  <c r="J610" i="2" s="1"/>
  <c r="F611" i="2"/>
  <c r="I611" i="2" s="1"/>
  <c r="J611" i="2" s="1"/>
  <c r="F612" i="2"/>
  <c r="I612" i="2" s="1"/>
  <c r="J612" i="2" s="1"/>
  <c r="F613" i="2"/>
  <c r="I613" i="2" s="1"/>
  <c r="J613" i="2" s="1"/>
  <c r="F614" i="2"/>
  <c r="I614" i="2" s="1"/>
  <c r="J614" i="2" s="1"/>
  <c r="F615" i="2"/>
  <c r="I615" i="2" s="1"/>
  <c r="J615" i="2" s="1"/>
  <c r="F616" i="2"/>
  <c r="I616" i="2" s="1"/>
  <c r="J616" i="2" s="1"/>
  <c r="F617" i="2"/>
  <c r="I617" i="2" s="1"/>
  <c r="J617" i="2" s="1"/>
  <c r="F618" i="2"/>
  <c r="I618" i="2" s="1"/>
  <c r="J618" i="2" s="1"/>
  <c r="F619" i="2"/>
  <c r="I619" i="2" s="1"/>
  <c r="J619" i="2" s="1"/>
  <c r="F620" i="2"/>
  <c r="I620" i="2" s="1"/>
  <c r="J620" i="2" s="1"/>
  <c r="F621" i="2"/>
  <c r="I621" i="2" s="1"/>
  <c r="J621" i="2" s="1"/>
  <c r="F622" i="2"/>
  <c r="I622" i="2" s="1"/>
  <c r="J622" i="2" s="1"/>
  <c r="F623" i="2"/>
  <c r="I623" i="2" s="1"/>
  <c r="J623" i="2" s="1"/>
  <c r="F624" i="2"/>
  <c r="I624" i="2" s="1"/>
  <c r="J624" i="2" s="1"/>
  <c r="F625" i="2"/>
  <c r="I625" i="2" s="1"/>
  <c r="J625" i="2" s="1"/>
  <c r="F626" i="2"/>
  <c r="I626" i="2" s="1"/>
  <c r="J626" i="2" s="1"/>
  <c r="F627" i="2"/>
  <c r="I627" i="2" s="1"/>
  <c r="J627" i="2" s="1"/>
  <c r="F628" i="2"/>
  <c r="I628" i="2" s="1"/>
  <c r="J628" i="2" s="1"/>
  <c r="F629" i="2"/>
  <c r="I629" i="2" s="1"/>
  <c r="J629" i="2" s="1"/>
  <c r="F630" i="2"/>
  <c r="I630" i="2" s="1"/>
  <c r="J630" i="2" s="1"/>
  <c r="F631" i="2"/>
  <c r="I631" i="2" s="1"/>
  <c r="J631" i="2" s="1"/>
  <c r="F632" i="2"/>
  <c r="I632" i="2" s="1"/>
  <c r="J632" i="2" s="1"/>
  <c r="F633" i="2"/>
  <c r="I633" i="2" s="1"/>
  <c r="J633" i="2" s="1"/>
  <c r="F634" i="2"/>
  <c r="I634" i="2" s="1"/>
  <c r="J634" i="2" s="1"/>
  <c r="F635" i="2"/>
  <c r="I635" i="2" s="1"/>
  <c r="J635" i="2" s="1"/>
  <c r="F636" i="2"/>
  <c r="I636" i="2" s="1"/>
  <c r="J636" i="2" s="1"/>
  <c r="F637" i="2"/>
  <c r="I637" i="2" s="1"/>
  <c r="J637" i="2" s="1"/>
  <c r="F638" i="2"/>
  <c r="I638" i="2" s="1"/>
  <c r="J638" i="2" s="1"/>
  <c r="F639" i="2"/>
  <c r="I639" i="2" s="1"/>
  <c r="J639" i="2" s="1"/>
  <c r="F640" i="2"/>
  <c r="I640" i="2" s="1"/>
  <c r="J640" i="2" s="1"/>
  <c r="F641" i="2"/>
  <c r="I641" i="2" s="1"/>
  <c r="J641" i="2" s="1"/>
  <c r="F642" i="2"/>
  <c r="I642" i="2" s="1"/>
  <c r="J642" i="2" s="1"/>
  <c r="F643" i="2"/>
  <c r="I643" i="2" s="1"/>
  <c r="J643" i="2" s="1"/>
  <c r="F644" i="2"/>
  <c r="I644" i="2" s="1"/>
  <c r="J644" i="2" s="1"/>
  <c r="F645" i="2"/>
  <c r="I645" i="2" s="1"/>
  <c r="J645" i="2" s="1"/>
  <c r="F646" i="2"/>
  <c r="I646" i="2" s="1"/>
  <c r="J646" i="2" s="1"/>
  <c r="F647" i="2"/>
  <c r="I647" i="2" s="1"/>
  <c r="J647" i="2" s="1"/>
  <c r="F648" i="2"/>
  <c r="I648" i="2" s="1"/>
  <c r="J648" i="2" s="1"/>
  <c r="F649" i="2"/>
  <c r="I649" i="2" s="1"/>
  <c r="J649" i="2" s="1"/>
  <c r="F650" i="2"/>
  <c r="I650" i="2" s="1"/>
  <c r="J650" i="2" s="1"/>
  <c r="F651" i="2"/>
  <c r="I651" i="2" s="1"/>
  <c r="J651" i="2" s="1"/>
  <c r="F652" i="2"/>
  <c r="I652" i="2" s="1"/>
  <c r="J652" i="2" s="1"/>
  <c r="F653" i="2"/>
  <c r="I653" i="2" s="1"/>
  <c r="J653" i="2" s="1"/>
  <c r="F654" i="2"/>
  <c r="I654" i="2" s="1"/>
  <c r="J654" i="2" s="1"/>
  <c r="F655" i="2"/>
  <c r="I655" i="2" s="1"/>
  <c r="J655" i="2" s="1"/>
  <c r="F656" i="2"/>
  <c r="I656" i="2" s="1"/>
  <c r="J656" i="2" s="1"/>
  <c r="F657" i="2"/>
  <c r="I657" i="2" s="1"/>
  <c r="J657" i="2" s="1"/>
  <c r="F658" i="2"/>
  <c r="I658" i="2" s="1"/>
  <c r="J658" i="2" s="1"/>
  <c r="F659" i="2"/>
  <c r="I659" i="2" s="1"/>
  <c r="J659" i="2" s="1"/>
  <c r="F660" i="2"/>
  <c r="I660" i="2" s="1"/>
  <c r="J660" i="2" s="1"/>
  <c r="F661" i="2"/>
  <c r="I661" i="2" s="1"/>
  <c r="J661" i="2" s="1"/>
  <c r="F662" i="2"/>
  <c r="I662" i="2" s="1"/>
  <c r="J662" i="2" s="1"/>
  <c r="F663" i="2"/>
  <c r="I663" i="2" s="1"/>
  <c r="J663" i="2" s="1"/>
  <c r="F664" i="2"/>
  <c r="I664" i="2" s="1"/>
  <c r="J664" i="2" s="1"/>
  <c r="F665" i="2"/>
  <c r="I665" i="2" s="1"/>
  <c r="J665" i="2" s="1"/>
  <c r="F666" i="2"/>
  <c r="I666" i="2" s="1"/>
  <c r="J666" i="2" s="1"/>
  <c r="F667" i="2"/>
  <c r="I667" i="2" s="1"/>
  <c r="J667" i="2" s="1"/>
  <c r="F668" i="2"/>
  <c r="I668" i="2" s="1"/>
  <c r="J668" i="2" s="1"/>
  <c r="F669" i="2"/>
  <c r="I669" i="2" s="1"/>
  <c r="J669" i="2" s="1"/>
  <c r="F670" i="2"/>
  <c r="I670" i="2" s="1"/>
  <c r="J670" i="2" s="1"/>
  <c r="F671" i="2"/>
  <c r="I671" i="2" s="1"/>
  <c r="J671" i="2" s="1"/>
  <c r="F672" i="2"/>
  <c r="I672" i="2" s="1"/>
  <c r="J672" i="2" s="1"/>
  <c r="F673" i="2"/>
  <c r="I673" i="2" s="1"/>
  <c r="J673" i="2" s="1"/>
  <c r="F674" i="2"/>
  <c r="I674" i="2" s="1"/>
  <c r="J674" i="2" s="1"/>
  <c r="F675" i="2"/>
  <c r="I675" i="2" s="1"/>
  <c r="J675" i="2" s="1"/>
  <c r="F676" i="2"/>
  <c r="I676" i="2" s="1"/>
  <c r="J676" i="2" s="1"/>
  <c r="F677" i="2"/>
  <c r="I677" i="2" s="1"/>
  <c r="J677" i="2" s="1"/>
  <c r="F678" i="2"/>
  <c r="I678" i="2" s="1"/>
  <c r="J678" i="2" s="1"/>
  <c r="F679" i="2"/>
  <c r="I679" i="2" s="1"/>
  <c r="J679" i="2" s="1"/>
  <c r="F680" i="2"/>
  <c r="I680" i="2" s="1"/>
  <c r="J680" i="2" s="1"/>
  <c r="F681" i="2"/>
  <c r="I681" i="2" s="1"/>
  <c r="J681" i="2" s="1"/>
  <c r="F682" i="2"/>
  <c r="I682" i="2" s="1"/>
  <c r="J682" i="2" s="1"/>
  <c r="F683" i="2"/>
  <c r="I683" i="2" s="1"/>
  <c r="J683" i="2" s="1"/>
  <c r="F684" i="2"/>
  <c r="I684" i="2" s="1"/>
  <c r="J684" i="2" s="1"/>
  <c r="F685" i="2"/>
  <c r="I685" i="2" s="1"/>
  <c r="J685" i="2" s="1"/>
  <c r="F686" i="2"/>
  <c r="I686" i="2" s="1"/>
  <c r="J686" i="2" s="1"/>
  <c r="F687" i="2"/>
  <c r="I687" i="2" s="1"/>
  <c r="J687" i="2" s="1"/>
  <c r="F688" i="2"/>
  <c r="I688" i="2" s="1"/>
  <c r="J688" i="2" s="1"/>
  <c r="F689" i="2"/>
  <c r="I689" i="2" s="1"/>
  <c r="J689" i="2" s="1"/>
  <c r="F690" i="2"/>
  <c r="I690" i="2" s="1"/>
  <c r="J690" i="2" s="1"/>
  <c r="F691" i="2"/>
  <c r="I691" i="2" s="1"/>
  <c r="J691" i="2" s="1"/>
  <c r="F692" i="2"/>
  <c r="I692" i="2" s="1"/>
  <c r="J692" i="2" s="1"/>
  <c r="F693" i="2"/>
  <c r="I693" i="2" s="1"/>
  <c r="J693" i="2" s="1"/>
  <c r="F694" i="2"/>
  <c r="I694" i="2" s="1"/>
  <c r="J694" i="2" s="1"/>
  <c r="F695" i="2"/>
  <c r="I695" i="2" s="1"/>
  <c r="J695" i="2" s="1"/>
  <c r="F696" i="2"/>
  <c r="I696" i="2" s="1"/>
  <c r="J696" i="2" s="1"/>
  <c r="F697" i="2"/>
  <c r="I697" i="2" s="1"/>
  <c r="J697" i="2" s="1"/>
  <c r="F698" i="2"/>
  <c r="I698" i="2" s="1"/>
  <c r="J698" i="2" s="1"/>
  <c r="F699" i="2"/>
  <c r="I699" i="2" s="1"/>
  <c r="J699" i="2" s="1"/>
  <c r="F700" i="2"/>
  <c r="I700" i="2" s="1"/>
  <c r="J700" i="2" s="1"/>
  <c r="F701" i="2"/>
  <c r="I701" i="2" s="1"/>
  <c r="J701" i="2" s="1"/>
  <c r="F702" i="2"/>
  <c r="I702" i="2" s="1"/>
  <c r="J702" i="2" s="1"/>
  <c r="F703" i="2"/>
  <c r="I703" i="2" s="1"/>
  <c r="J703" i="2" s="1"/>
  <c r="F704" i="2"/>
  <c r="I704" i="2" s="1"/>
  <c r="J704" i="2" s="1"/>
  <c r="F705" i="2"/>
  <c r="I705" i="2" s="1"/>
  <c r="J705" i="2" s="1"/>
  <c r="F706" i="2"/>
  <c r="I706" i="2" s="1"/>
  <c r="J706" i="2" s="1"/>
  <c r="F707" i="2"/>
  <c r="I707" i="2" s="1"/>
  <c r="J707" i="2" s="1"/>
  <c r="F708" i="2"/>
  <c r="I708" i="2" s="1"/>
  <c r="J708" i="2" s="1"/>
  <c r="F709" i="2"/>
  <c r="I709" i="2" s="1"/>
  <c r="J709" i="2" s="1"/>
  <c r="F710" i="2"/>
  <c r="I710" i="2" s="1"/>
  <c r="J710" i="2" s="1"/>
  <c r="F711" i="2"/>
  <c r="I711" i="2" s="1"/>
  <c r="J711" i="2" s="1"/>
  <c r="F712" i="2"/>
  <c r="I712" i="2" s="1"/>
  <c r="J712" i="2" s="1"/>
  <c r="F713" i="2"/>
  <c r="I713" i="2" s="1"/>
  <c r="J713" i="2" s="1"/>
  <c r="F714" i="2"/>
  <c r="I714" i="2" s="1"/>
  <c r="J714" i="2" s="1"/>
  <c r="F715" i="2"/>
  <c r="I715" i="2" s="1"/>
  <c r="J715" i="2" s="1"/>
  <c r="F716" i="2"/>
  <c r="I716" i="2" s="1"/>
  <c r="J716" i="2" s="1"/>
  <c r="F717" i="2"/>
  <c r="I717" i="2" s="1"/>
  <c r="J717" i="2" s="1"/>
  <c r="F718" i="2"/>
  <c r="I718" i="2" s="1"/>
  <c r="J718" i="2" s="1"/>
  <c r="F719" i="2"/>
  <c r="I719" i="2" s="1"/>
  <c r="J719" i="2" s="1"/>
  <c r="F720" i="2"/>
  <c r="I720" i="2" s="1"/>
  <c r="J720" i="2" s="1"/>
  <c r="F721" i="2"/>
  <c r="I721" i="2" s="1"/>
  <c r="J721" i="2" s="1"/>
  <c r="F722" i="2"/>
  <c r="I722" i="2" s="1"/>
  <c r="J722" i="2" s="1"/>
  <c r="F723" i="2"/>
  <c r="I723" i="2" s="1"/>
  <c r="J723" i="2" s="1"/>
  <c r="F724" i="2"/>
  <c r="I724" i="2" s="1"/>
  <c r="J724" i="2" s="1"/>
  <c r="F725" i="2"/>
  <c r="I725" i="2" s="1"/>
  <c r="J725" i="2" s="1"/>
  <c r="F726" i="2"/>
  <c r="I726" i="2" s="1"/>
  <c r="J726" i="2" s="1"/>
  <c r="F727" i="2"/>
  <c r="I727" i="2" s="1"/>
  <c r="J727" i="2" s="1"/>
  <c r="F728" i="2"/>
  <c r="I728" i="2" s="1"/>
  <c r="J728" i="2" s="1"/>
  <c r="F729" i="2"/>
  <c r="I729" i="2" s="1"/>
  <c r="J729" i="2" s="1"/>
  <c r="F730" i="2"/>
  <c r="I730" i="2" s="1"/>
  <c r="J730" i="2" s="1"/>
  <c r="F731" i="2"/>
  <c r="I731" i="2" s="1"/>
  <c r="J731" i="2" s="1"/>
  <c r="F732" i="2"/>
  <c r="I732" i="2" s="1"/>
  <c r="J732" i="2" s="1"/>
  <c r="F733" i="2"/>
  <c r="I733" i="2" s="1"/>
  <c r="J733" i="2" s="1"/>
  <c r="F734" i="2"/>
  <c r="I734" i="2" s="1"/>
  <c r="J734" i="2" s="1"/>
  <c r="F735" i="2"/>
  <c r="I735" i="2" s="1"/>
  <c r="J735" i="2" s="1"/>
  <c r="F736" i="2"/>
  <c r="I736" i="2" s="1"/>
  <c r="J736" i="2" s="1"/>
  <c r="F737" i="2"/>
  <c r="I737" i="2" s="1"/>
  <c r="J737" i="2" s="1"/>
  <c r="F738" i="2"/>
  <c r="I738" i="2" s="1"/>
  <c r="J738" i="2" s="1"/>
  <c r="F739" i="2"/>
  <c r="I739" i="2" s="1"/>
  <c r="J739" i="2" s="1"/>
  <c r="F740" i="2"/>
  <c r="I740" i="2" s="1"/>
  <c r="J740" i="2" s="1"/>
  <c r="F741" i="2"/>
  <c r="I741" i="2" s="1"/>
  <c r="J741" i="2" s="1"/>
  <c r="F742" i="2"/>
  <c r="I742" i="2" s="1"/>
  <c r="J742" i="2" s="1"/>
  <c r="F743" i="2"/>
  <c r="I743" i="2" s="1"/>
  <c r="J743" i="2" s="1"/>
  <c r="F744" i="2"/>
  <c r="I744" i="2" s="1"/>
  <c r="J744" i="2" s="1"/>
  <c r="F745" i="2"/>
  <c r="I745" i="2" s="1"/>
  <c r="J745" i="2" s="1"/>
  <c r="F746" i="2"/>
  <c r="I746" i="2" s="1"/>
  <c r="J746" i="2" s="1"/>
  <c r="F747" i="2"/>
  <c r="I747" i="2" s="1"/>
  <c r="J747" i="2" s="1"/>
  <c r="J1909" i="1"/>
  <c r="I1909" i="1"/>
  <c r="H1909" i="1"/>
  <c r="G1909" i="1"/>
  <c r="A1909" i="1"/>
  <c r="J1908" i="1"/>
  <c r="I1908" i="1"/>
  <c r="H1908" i="1"/>
  <c r="G1908" i="1"/>
  <c r="A1908" i="1"/>
  <c r="J1907" i="1"/>
  <c r="I1907" i="1"/>
  <c r="H1907" i="1"/>
  <c r="G1907" i="1"/>
  <c r="A1907" i="1"/>
  <c r="J1906" i="1"/>
  <c r="I1906" i="1"/>
  <c r="H1906" i="1"/>
  <c r="G1906" i="1"/>
  <c r="A1906" i="1"/>
  <c r="J1905" i="1"/>
  <c r="I1905" i="1"/>
  <c r="H1905" i="1"/>
  <c r="G1905" i="1"/>
  <c r="A1905" i="1"/>
  <c r="J1904" i="1"/>
  <c r="I1904" i="1"/>
  <c r="H1904" i="1"/>
  <c r="G1904" i="1"/>
  <c r="A1904" i="1"/>
  <c r="J1903" i="1"/>
  <c r="I1903" i="1"/>
  <c r="H1903" i="1"/>
  <c r="G1903" i="1"/>
  <c r="A1903" i="1"/>
  <c r="J1902" i="1"/>
  <c r="I1902" i="1"/>
  <c r="H1902" i="1"/>
  <c r="G1902" i="1"/>
  <c r="A1902" i="1"/>
  <c r="J1901" i="1"/>
  <c r="I1901" i="1"/>
  <c r="H1901" i="1"/>
  <c r="G1901" i="1"/>
  <c r="A1901" i="1"/>
  <c r="J1900" i="1"/>
  <c r="I1900" i="1"/>
  <c r="H1900" i="1"/>
  <c r="G1900" i="1"/>
  <c r="A1900" i="1"/>
  <c r="J1899" i="1"/>
  <c r="I1899" i="1"/>
  <c r="H1899" i="1"/>
  <c r="G1899" i="1"/>
  <c r="A1899" i="1"/>
  <c r="J1898" i="1"/>
  <c r="I1898" i="1"/>
  <c r="H1898" i="1"/>
  <c r="G1898" i="1"/>
  <c r="A1898" i="1"/>
  <c r="J1897" i="1"/>
  <c r="I1897" i="1"/>
  <c r="H1897" i="1"/>
  <c r="G1897" i="1"/>
  <c r="A1897" i="1"/>
  <c r="J1896" i="1"/>
  <c r="I1896" i="1"/>
  <c r="H1896" i="1"/>
  <c r="G1896" i="1"/>
  <c r="A1896" i="1"/>
  <c r="J1895" i="1"/>
  <c r="I1895" i="1"/>
  <c r="H1895" i="1"/>
  <c r="G1895" i="1"/>
  <c r="A1895" i="1"/>
  <c r="J1894" i="1"/>
  <c r="I1894" i="1"/>
  <c r="H1894" i="1"/>
  <c r="G1894" i="1"/>
  <c r="A1894" i="1"/>
  <c r="J1893" i="1"/>
  <c r="I1893" i="1"/>
  <c r="H1893" i="1"/>
  <c r="G1893" i="1"/>
  <c r="A1893" i="1"/>
  <c r="J1892" i="1"/>
  <c r="I1892" i="1"/>
  <c r="H1892" i="1"/>
  <c r="G1892" i="1"/>
  <c r="A1892" i="1"/>
  <c r="J1891" i="1"/>
  <c r="I1891" i="1"/>
  <c r="H1891" i="1"/>
  <c r="G1891" i="1"/>
  <c r="A1891" i="1"/>
  <c r="J1890" i="1"/>
  <c r="I1890" i="1"/>
  <c r="H1890" i="1"/>
  <c r="G1890" i="1"/>
  <c r="A1890" i="1"/>
  <c r="J1889" i="1"/>
  <c r="I1889" i="1"/>
  <c r="H1889" i="1"/>
  <c r="G1889" i="1"/>
  <c r="A1889" i="1"/>
  <c r="J1888" i="1"/>
  <c r="I1888" i="1"/>
  <c r="H1888" i="1"/>
  <c r="G1888" i="1"/>
  <c r="A1888" i="1"/>
  <c r="J1887" i="1"/>
  <c r="I1887" i="1"/>
  <c r="H1887" i="1"/>
  <c r="G1887" i="1"/>
  <c r="A1887" i="1"/>
  <c r="J1886" i="1"/>
  <c r="I1886" i="1"/>
  <c r="H1886" i="1"/>
  <c r="G1886" i="1"/>
  <c r="A1886" i="1"/>
  <c r="J1885" i="1"/>
  <c r="I1885" i="1"/>
  <c r="H1885" i="1"/>
  <c r="G1885" i="1"/>
  <c r="A1885" i="1"/>
  <c r="J1884" i="1"/>
  <c r="I1884" i="1"/>
  <c r="H1884" i="1"/>
  <c r="G1884" i="1"/>
  <c r="A1884" i="1"/>
  <c r="J1883" i="1"/>
  <c r="I1883" i="1"/>
  <c r="H1883" i="1"/>
  <c r="G1883" i="1"/>
  <c r="A1883" i="1"/>
  <c r="J1882" i="1"/>
  <c r="I1882" i="1"/>
  <c r="H1882" i="1"/>
  <c r="G1882" i="1"/>
  <c r="A1882" i="1"/>
  <c r="J1881" i="1"/>
  <c r="I1881" i="1"/>
  <c r="H1881" i="1"/>
  <c r="G1881" i="1"/>
  <c r="A1881" i="1"/>
  <c r="J1880" i="1"/>
  <c r="I1880" i="1"/>
  <c r="H1880" i="1"/>
  <c r="G1880" i="1"/>
  <c r="A1880" i="1"/>
  <c r="J1879" i="1"/>
  <c r="I1879" i="1"/>
  <c r="H1879" i="1"/>
  <c r="G1879" i="1"/>
  <c r="A1879" i="1"/>
  <c r="J1878" i="1"/>
  <c r="I1878" i="1"/>
  <c r="H1878" i="1"/>
  <c r="G1878" i="1"/>
  <c r="A1878" i="1"/>
  <c r="J1877" i="1"/>
  <c r="I1877" i="1"/>
  <c r="H1877" i="1"/>
  <c r="G1877" i="1"/>
  <c r="A1877" i="1"/>
  <c r="J1876" i="1"/>
  <c r="I1876" i="1"/>
  <c r="H1876" i="1"/>
  <c r="G1876" i="1"/>
  <c r="A1876" i="1"/>
  <c r="J1875" i="1"/>
  <c r="I1875" i="1"/>
  <c r="H1875" i="1"/>
  <c r="G1875" i="1"/>
  <c r="A1875" i="1"/>
  <c r="J1874" i="1"/>
  <c r="I1874" i="1"/>
  <c r="H1874" i="1"/>
  <c r="G1874" i="1"/>
  <c r="A1874" i="1"/>
  <c r="J1873" i="1"/>
  <c r="I1873" i="1"/>
  <c r="H1873" i="1"/>
  <c r="G1873" i="1"/>
  <c r="A1873" i="1"/>
  <c r="J1872" i="1"/>
  <c r="I1872" i="1"/>
  <c r="H1872" i="1"/>
  <c r="G1872" i="1"/>
  <c r="A1872" i="1"/>
  <c r="J1871" i="1"/>
  <c r="I1871" i="1"/>
  <c r="H1871" i="1"/>
  <c r="G1871" i="1"/>
  <c r="A1871" i="1"/>
  <c r="J1870" i="1"/>
  <c r="I1870" i="1"/>
  <c r="H1870" i="1"/>
  <c r="G1870" i="1"/>
  <c r="A1870" i="1"/>
  <c r="J1869" i="1"/>
  <c r="I1869" i="1"/>
  <c r="H1869" i="1"/>
  <c r="G1869" i="1"/>
  <c r="A1869" i="1"/>
  <c r="J1868" i="1"/>
  <c r="I1868" i="1"/>
  <c r="H1868" i="1"/>
  <c r="G1868" i="1"/>
  <c r="A1868" i="1"/>
  <c r="J1867" i="1"/>
  <c r="I1867" i="1"/>
  <c r="H1867" i="1"/>
  <c r="G1867" i="1"/>
  <c r="A1867" i="1"/>
  <c r="J1866" i="1"/>
  <c r="I1866" i="1"/>
  <c r="H1866" i="1"/>
  <c r="G1866" i="1"/>
  <c r="A1866" i="1"/>
  <c r="J1865" i="1"/>
  <c r="I1865" i="1"/>
  <c r="H1865" i="1"/>
  <c r="G1865" i="1"/>
  <c r="A1865" i="1"/>
  <c r="J1864" i="1"/>
  <c r="I1864" i="1"/>
  <c r="H1864" i="1"/>
  <c r="G1864" i="1"/>
  <c r="A1864" i="1"/>
  <c r="J1863" i="1"/>
  <c r="I1863" i="1"/>
  <c r="H1863" i="1"/>
  <c r="G1863" i="1"/>
  <c r="A1863" i="1"/>
  <c r="J1862" i="1"/>
  <c r="I1862" i="1"/>
  <c r="H1862" i="1"/>
  <c r="G1862" i="1"/>
  <c r="A1862" i="1"/>
  <c r="J1861" i="1"/>
  <c r="I1861" i="1"/>
  <c r="H1861" i="1"/>
  <c r="G1861" i="1"/>
  <c r="A1861" i="1"/>
  <c r="J1860" i="1"/>
  <c r="I1860" i="1"/>
  <c r="H1860" i="1"/>
  <c r="G1860" i="1"/>
  <c r="A1860" i="1"/>
  <c r="J1859" i="1"/>
  <c r="I1859" i="1"/>
  <c r="H1859" i="1"/>
  <c r="G1859" i="1"/>
  <c r="A1859" i="1"/>
  <c r="J1858" i="1"/>
  <c r="I1858" i="1"/>
  <c r="H1858" i="1"/>
  <c r="G1858" i="1"/>
  <c r="A1858" i="1"/>
  <c r="J1857" i="1"/>
  <c r="I1857" i="1"/>
  <c r="H1857" i="1"/>
  <c r="G1857" i="1"/>
  <c r="A1857" i="1"/>
  <c r="J1856" i="1"/>
  <c r="I1856" i="1"/>
  <c r="H1856" i="1"/>
  <c r="G1856" i="1"/>
  <c r="A1856" i="1"/>
  <c r="J1855" i="1"/>
  <c r="I1855" i="1"/>
  <c r="H1855" i="1"/>
  <c r="G1855" i="1"/>
  <c r="A1855" i="1"/>
  <c r="J1854" i="1"/>
  <c r="I1854" i="1"/>
  <c r="H1854" i="1"/>
  <c r="G1854" i="1"/>
  <c r="A1854" i="1"/>
  <c r="J1853" i="1"/>
  <c r="I1853" i="1"/>
  <c r="H1853" i="1"/>
  <c r="G1853" i="1"/>
  <c r="A1853" i="1"/>
  <c r="J1852" i="1"/>
  <c r="I1852" i="1"/>
  <c r="H1852" i="1"/>
  <c r="G1852" i="1"/>
  <c r="A1852" i="1"/>
  <c r="J1851" i="1"/>
  <c r="I1851" i="1"/>
  <c r="H1851" i="1"/>
  <c r="G1851" i="1"/>
  <c r="A1851" i="1"/>
  <c r="J1850" i="1"/>
  <c r="I1850" i="1"/>
  <c r="H1850" i="1"/>
  <c r="G1850" i="1"/>
  <c r="A1850" i="1"/>
  <c r="J1849" i="1"/>
  <c r="I1849" i="1"/>
  <c r="H1849" i="1"/>
  <c r="G1849" i="1"/>
  <c r="A1849" i="1"/>
  <c r="J1848" i="1"/>
  <c r="I1848" i="1"/>
  <c r="H1848" i="1"/>
  <c r="G1848" i="1"/>
  <c r="A1848" i="1"/>
  <c r="J1847" i="1"/>
  <c r="I1847" i="1"/>
  <c r="H1847" i="1"/>
  <c r="G1847" i="1"/>
  <c r="A1847" i="1"/>
  <c r="J1846" i="1"/>
  <c r="I1846" i="1"/>
  <c r="H1846" i="1"/>
  <c r="G1846" i="1"/>
  <c r="A1846" i="1"/>
  <c r="J1845" i="1"/>
  <c r="I1845" i="1"/>
  <c r="H1845" i="1"/>
  <c r="G1845" i="1"/>
  <c r="A1845" i="1"/>
  <c r="J1844" i="1"/>
  <c r="I1844" i="1"/>
  <c r="H1844" i="1"/>
  <c r="G1844" i="1"/>
  <c r="A1844" i="1"/>
  <c r="J1843" i="1"/>
  <c r="I1843" i="1"/>
  <c r="H1843" i="1"/>
  <c r="G1843" i="1"/>
  <c r="A1843" i="1"/>
  <c r="J1842" i="1"/>
  <c r="I1842" i="1"/>
  <c r="H1842" i="1"/>
  <c r="G1842" i="1"/>
  <c r="A1842" i="1"/>
  <c r="J1841" i="1"/>
  <c r="I1841" i="1"/>
  <c r="H1841" i="1"/>
  <c r="G1841" i="1"/>
  <c r="A1841" i="1"/>
  <c r="J1840" i="1"/>
  <c r="I1840" i="1"/>
  <c r="H1840" i="1"/>
  <c r="G1840" i="1"/>
  <c r="A1840" i="1"/>
  <c r="J1839" i="1"/>
  <c r="I1839" i="1"/>
  <c r="H1839" i="1"/>
  <c r="G1839" i="1"/>
  <c r="A1839" i="1"/>
  <c r="J1838" i="1"/>
  <c r="I1838" i="1"/>
  <c r="H1838" i="1"/>
  <c r="G1838" i="1"/>
  <c r="A1838" i="1"/>
  <c r="J1837" i="1"/>
  <c r="I1837" i="1"/>
  <c r="H1837" i="1"/>
  <c r="G1837" i="1"/>
  <c r="A1837" i="1"/>
  <c r="J1836" i="1"/>
  <c r="I1836" i="1"/>
  <c r="H1836" i="1"/>
  <c r="G1836" i="1"/>
  <c r="A1836" i="1"/>
  <c r="J1835" i="1"/>
  <c r="I1835" i="1"/>
  <c r="H1835" i="1"/>
  <c r="G1835" i="1"/>
  <c r="A1835" i="1"/>
  <c r="J1834" i="1"/>
  <c r="I1834" i="1"/>
  <c r="H1834" i="1"/>
  <c r="G1834" i="1"/>
  <c r="A1834" i="1"/>
  <c r="J1833" i="1"/>
  <c r="I1833" i="1"/>
  <c r="H1833" i="1"/>
  <c r="G1833" i="1"/>
  <c r="A1833" i="1"/>
  <c r="J1832" i="1"/>
  <c r="I1832" i="1"/>
  <c r="H1832" i="1"/>
  <c r="G1832" i="1"/>
  <c r="A1832" i="1"/>
  <c r="J1831" i="1"/>
  <c r="I1831" i="1"/>
  <c r="H1831" i="1"/>
  <c r="G1831" i="1"/>
  <c r="A1831" i="1"/>
  <c r="J1830" i="1"/>
  <c r="I1830" i="1"/>
  <c r="H1830" i="1"/>
  <c r="G1830" i="1"/>
  <c r="A1830" i="1"/>
  <c r="J1829" i="1"/>
  <c r="I1829" i="1"/>
  <c r="H1829" i="1"/>
  <c r="G1829" i="1"/>
  <c r="A1829" i="1"/>
  <c r="J1828" i="1"/>
  <c r="I1828" i="1"/>
  <c r="H1828" i="1"/>
  <c r="G1828" i="1"/>
  <c r="A1828" i="1"/>
  <c r="J1827" i="1"/>
  <c r="I1827" i="1"/>
  <c r="H1827" i="1"/>
  <c r="G1827" i="1"/>
  <c r="A1827" i="1"/>
  <c r="J1826" i="1"/>
  <c r="I1826" i="1"/>
  <c r="H1826" i="1"/>
  <c r="G1826" i="1"/>
  <c r="A1826" i="1"/>
  <c r="J1825" i="1"/>
  <c r="I1825" i="1"/>
  <c r="H1825" i="1"/>
  <c r="G1825" i="1"/>
  <c r="A1825" i="1"/>
  <c r="J1824" i="1"/>
  <c r="I1824" i="1"/>
  <c r="H1824" i="1"/>
  <c r="G1824" i="1"/>
  <c r="A1824" i="1"/>
  <c r="J1823" i="1"/>
  <c r="I1823" i="1"/>
  <c r="H1823" i="1"/>
  <c r="G1823" i="1"/>
  <c r="A1823" i="1"/>
  <c r="J1822" i="1"/>
  <c r="I1822" i="1"/>
  <c r="H1822" i="1"/>
  <c r="G1822" i="1"/>
  <c r="A1822" i="1"/>
  <c r="J1821" i="1"/>
  <c r="I1821" i="1"/>
  <c r="H1821" i="1"/>
  <c r="G1821" i="1"/>
  <c r="A1821" i="1"/>
  <c r="J1820" i="1"/>
  <c r="I1820" i="1"/>
  <c r="H1820" i="1"/>
  <c r="G1820" i="1"/>
  <c r="A1820" i="1"/>
  <c r="J1819" i="1"/>
  <c r="I1819" i="1"/>
  <c r="H1819" i="1"/>
  <c r="G1819" i="1"/>
  <c r="A1819" i="1"/>
  <c r="J1818" i="1"/>
  <c r="I1818" i="1"/>
  <c r="H1818" i="1"/>
  <c r="G1818" i="1"/>
  <c r="A1818" i="1"/>
  <c r="J1817" i="1"/>
  <c r="I1817" i="1"/>
  <c r="H1817" i="1"/>
  <c r="G1817" i="1"/>
  <c r="A1817" i="1"/>
  <c r="J1816" i="1"/>
  <c r="I1816" i="1"/>
  <c r="H1816" i="1"/>
  <c r="G1816" i="1"/>
  <c r="A1816" i="1"/>
  <c r="J1815" i="1"/>
  <c r="I1815" i="1"/>
  <c r="H1815" i="1"/>
  <c r="G1815" i="1"/>
  <c r="A1815" i="1"/>
  <c r="J1814" i="1"/>
  <c r="I1814" i="1"/>
  <c r="H1814" i="1"/>
  <c r="G1814" i="1"/>
  <c r="A1814" i="1"/>
  <c r="J1813" i="1"/>
  <c r="I1813" i="1"/>
  <c r="H1813" i="1"/>
  <c r="G1813" i="1"/>
  <c r="A1813" i="1"/>
  <c r="J1812" i="1"/>
  <c r="I1812" i="1"/>
  <c r="H1812" i="1"/>
  <c r="G1812" i="1"/>
  <c r="A1812" i="1"/>
  <c r="J1811" i="1"/>
  <c r="I1811" i="1"/>
  <c r="H1811" i="1"/>
  <c r="G1811" i="1"/>
  <c r="A1811" i="1"/>
  <c r="J1810" i="1"/>
  <c r="I1810" i="1"/>
  <c r="H1810" i="1"/>
  <c r="G1810" i="1"/>
  <c r="A1810" i="1"/>
  <c r="J1809" i="1"/>
  <c r="I1809" i="1"/>
  <c r="H1809" i="1"/>
  <c r="G1809" i="1"/>
  <c r="A1809" i="1"/>
  <c r="J1808" i="1"/>
  <c r="I1808" i="1"/>
  <c r="H1808" i="1"/>
  <c r="G1808" i="1"/>
  <c r="A1808" i="1"/>
  <c r="J1807" i="1"/>
  <c r="I1807" i="1"/>
  <c r="H1807" i="1"/>
  <c r="G1807" i="1"/>
  <c r="A1807" i="1"/>
  <c r="J1806" i="1"/>
  <c r="I1806" i="1"/>
  <c r="H1806" i="1"/>
  <c r="G1806" i="1"/>
  <c r="A1806" i="1"/>
  <c r="J1805" i="1"/>
  <c r="I1805" i="1"/>
  <c r="H1805" i="1"/>
  <c r="G1805" i="1"/>
  <c r="A1805" i="1"/>
  <c r="J1804" i="1"/>
  <c r="I1804" i="1"/>
  <c r="H1804" i="1"/>
  <c r="G1804" i="1"/>
  <c r="A1804" i="1"/>
  <c r="J1803" i="1"/>
  <c r="I1803" i="1"/>
  <c r="H1803" i="1"/>
  <c r="G1803" i="1"/>
  <c r="A1803" i="1"/>
  <c r="J1802" i="1"/>
  <c r="I1802" i="1"/>
  <c r="H1802" i="1"/>
  <c r="G1802" i="1"/>
  <c r="A1802" i="1"/>
  <c r="J1801" i="1"/>
  <c r="I1801" i="1"/>
  <c r="H1801" i="1"/>
  <c r="G1801" i="1"/>
  <c r="A1801" i="1"/>
  <c r="J1800" i="1"/>
  <c r="I1800" i="1"/>
  <c r="H1800" i="1"/>
  <c r="G1800" i="1"/>
  <c r="A1800" i="1"/>
  <c r="J1799" i="1"/>
  <c r="I1799" i="1"/>
  <c r="H1799" i="1"/>
  <c r="G1799" i="1"/>
  <c r="A1799" i="1"/>
  <c r="J1798" i="1"/>
  <c r="I1798" i="1"/>
  <c r="H1798" i="1"/>
  <c r="G1798" i="1"/>
  <c r="A1798" i="1"/>
  <c r="J1797" i="1"/>
  <c r="I1797" i="1"/>
  <c r="H1797" i="1"/>
  <c r="G1797" i="1"/>
  <c r="A1797" i="1"/>
  <c r="J1796" i="1"/>
  <c r="I1796" i="1"/>
  <c r="H1796" i="1"/>
  <c r="G1796" i="1"/>
  <c r="A1796" i="1"/>
  <c r="J1795" i="1"/>
  <c r="I1795" i="1"/>
  <c r="H1795" i="1"/>
  <c r="G1795" i="1"/>
  <c r="A1795" i="1"/>
  <c r="J1794" i="1"/>
  <c r="I1794" i="1"/>
  <c r="H1794" i="1"/>
  <c r="G1794" i="1"/>
  <c r="A1794" i="1"/>
  <c r="J1793" i="1"/>
  <c r="I1793" i="1"/>
  <c r="H1793" i="1"/>
  <c r="G1793" i="1"/>
  <c r="A1793" i="1"/>
  <c r="J1792" i="1"/>
  <c r="I1792" i="1"/>
  <c r="H1792" i="1"/>
  <c r="G1792" i="1"/>
  <c r="A1792" i="1"/>
  <c r="J1791" i="1"/>
  <c r="I1791" i="1"/>
  <c r="H1791" i="1"/>
  <c r="G1791" i="1"/>
  <c r="A1791" i="1"/>
  <c r="J1790" i="1"/>
  <c r="I1790" i="1"/>
  <c r="H1790" i="1"/>
  <c r="G1790" i="1"/>
  <c r="A1790" i="1"/>
  <c r="J1789" i="1"/>
  <c r="I1789" i="1"/>
  <c r="H1789" i="1"/>
  <c r="G1789" i="1"/>
  <c r="A1789" i="1"/>
  <c r="J1788" i="1"/>
  <c r="I1788" i="1"/>
  <c r="H1788" i="1"/>
  <c r="G1788" i="1"/>
  <c r="A1788" i="1"/>
  <c r="J1787" i="1"/>
  <c r="I1787" i="1"/>
  <c r="H1787" i="1"/>
  <c r="G1787" i="1"/>
  <c r="A1787" i="1"/>
  <c r="J1786" i="1"/>
  <c r="I1786" i="1"/>
  <c r="H1786" i="1"/>
  <c r="G1786" i="1"/>
  <c r="A1786" i="1"/>
  <c r="J1785" i="1"/>
  <c r="I1785" i="1"/>
  <c r="H1785" i="1"/>
  <c r="G1785" i="1"/>
  <c r="A1785" i="1"/>
  <c r="J1784" i="1"/>
  <c r="I1784" i="1"/>
  <c r="H1784" i="1"/>
  <c r="G1784" i="1"/>
  <c r="A1784" i="1"/>
  <c r="J1783" i="1"/>
  <c r="I1783" i="1"/>
  <c r="H1783" i="1"/>
  <c r="G1783" i="1"/>
  <c r="A1783" i="1"/>
  <c r="J1782" i="1"/>
  <c r="I1782" i="1"/>
  <c r="H1782" i="1"/>
  <c r="G1782" i="1"/>
  <c r="A1782" i="1"/>
  <c r="J1781" i="1"/>
  <c r="I1781" i="1"/>
  <c r="H1781" i="1"/>
  <c r="G1781" i="1"/>
  <c r="A1781" i="1"/>
  <c r="J1780" i="1"/>
  <c r="I1780" i="1"/>
  <c r="H1780" i="1"/>
  <c r="G1780" i="1"/>
  <c r="A1780" i="1"/>
  <c r="J1779" i="1"/>
  <c r="I1779" i="1"/>
  <c r="H1779" i="1"/>
  <c r="G1779" i="1"/>
  <c r="A1779" i="1"/>
  <c r="J1778" i="1"/>
  <c r="I1778" i="1"/>
  <c r="H1778" i="1"/>
  <c r="G1778" i="1"/>
  <c r="A1778" i="1"/>
  <c r="J1777" i="1"/>
  <c r="I1777" i="1"/>
  <c r="H1777" i="1"/>
  <c r="G1777" i="1"/>
  <c r="A1777" i="1"/>
  <c r="J1776" i="1"/>
  <c r="I1776" i="1"/>
  <c r="H1776" i="1"/>
  <c r="G1776" i="1"/>
  <c r="A1776" i="1"/>
  <c r="J1775" i="1"/>
  <c r="I1775" i="1"/>
  <c r="H1775" i="1"/>
  <c r="G1775" i="1"/>
  <c r="A1775" i="1"/>
  <c r="J1774" i="1"/>
  <c r="I1774" i="1"/>
  <c r="H1774" i="1"/>
  <c r="G1774" i="1"/>
  <c r="A1774" i="1"/>
  <c r="J1773" i="1"/>
  <c r="I1773" i="1"/>
  <c r="H1773" i="1"/>
  <c r="G1773" i="1"/>
  <c r="A1773" i="1"/>
  <c r="J1772" i="1"/>
  <c r="I1772" i="1"/>
  <c r="H1772" i="1"/>
  <c r="G1772" i="1"/>
  <c r="A1772" i="1"/>
  <c r="J1771" i="1"/>
  <c r="I1771" i="1"/>
  <c r="H1771" i="1"/>
  <c r="G1771" i="1"/>
  <c r="A1771" i="1"/>
  <c r="J1770" i="1"/>
  <c r="I1770" i="1"/>
  <c r="H1770" i="1"/>
  <c r="G1770" i="1"/>
  <c r="A1770" i="1"/>
  <c r="J1769" i="1"/>
  <c r="I1769" i="1"/>
  <c r="H1769" i="1"/>
  <c r="G1769" i="1"/>
  <c r="A1769" i="1"/>
  <c r="J1768" i="1"/>
  <c r="I1768" i="1"/>
  <c r="H1768" i="1"/>
  <c r="G1768" i="1"/>
  <c r="A1768" i="1"/>
  <c r="J1767" i="1"/>
  <c r="I1767" i="1"/>
  <c r="H1767" i="1"/>
  <c r="G1767" i="1"/>
  <c r="A1767" i="1"/>
  <c r="J1766" i="1"/>
  <c r="I1766" i="1"/>
  <c r="H1766" i="1"/>
  <c r="G1766" i="1"/>
  <c r="A1766" i="1"/>
  <c r="J1765" i="1"/>
  <c r="I1765" i="1"/>
  <c r="H1765" i="1"/>
  <c r="G1765" i="1"/>
  <c r="A1765" i="1"/>
  <c r="J1764" i="1"/>
  <c r="I1764" i="1"/>
  <c r="H1764" i="1"/>
  <c r="G1764" i="1"/>
  <c r="A1764" i="1"/>
  <c r="J1763" i="1"/>
  <c r="I1763" i="1"/>
  <c r="H1763" i="1"/>
  <c r="G1763" i="1"/>
  <c r="A1763" i="1"/>
  <c r="J1762" i="1"/>
  <c r="I1762" i="1"/>
  <c r="H1762" i="1"/>
  <c r="G1762" i="1"/>
  <c r="A1762" i="1"/>
  <c r="J1761" i="1"/>
  <c r="I1761" i="1"/>
  <c r="H1761" i="1"/>
  <c r="G1761" i="1"/>
  <c r="A1761" i="1"/>
  <c r="J1760" i="1"/>
  <c r="I1760" i="1"/>
  <c r="H1760" i="1"/>
  <c r="G1760" i="1"/>
  <c r="A1760" i="1"/>
  <c r="J1759" i="1"/>
  <c r="I1759" i="1"/>
  <c r="H1759" i="1"/>
  <c r="G1759" i="1"/>
  <c r="A1759" i="1"/>
  <c r="J1758" i="1"/>
  <c r="I1758" i="1"/>
  <c r="H1758" i="1"/>
  <c r="G1758" i="1"/>
  <c r="A1758" i="1"/>
  <c r="J1757" i="1"/>
  <c r="I1757" i="1"/>
  <c r="H1757" i="1"/>
  <c r="G1757" i="1"/>
  <c r="A1757" i="1"/>
  <c r="J1756" i="1"/>
  <c r="I1756" i="1"/>
  <c r="H1756" i="1"/>
  <c r="G1756" i="1"/>
  <c r="A1756" i="1"/>
  <c r="J1755" i="1"/>
  <c r="I1755" i="1"/>
  <c r="H1755" i="1"/>
  <c r="G1755" i="1"/>
  <c r="A1755" i="1"/>
  <c r="J1754" i="1"/>
  <c r="I1754" i="1"/>
  <c r="H1754" i="1"/>
  <c r="G1754" i="1"/>
  <c r="A1754" i="1"/>
  <c r="J1753" i="1"/>
  <c r="I1753" i="1"/>
  <c r="H1753" i="1"/>
  <c r="G1753" i="1"/>
  <c r="A1753" i="1"/>
  <c r="J1752" i="1"/>
  <c r="I1752" i="1"/>
  <c r="H1752" i="1"/>
  <c r="G1752" i="1"/>
  <c r="A1752" i="1"/>
  <c r="J1751" i="1"/>
  <c r="I1751" i="1"/>
  <c r="H1751" i="1"/>
  <c r="G1751" i="1"/>
  <c r="A1751" i="1"/>
  <c r="J1750" i="1"/>
  <c r="I1750" i="1"/>
  <c r="H1750" i="1"/>
  <c r="G1750" i="1"/>
  <c r="A1750" i="1"/>
  <c r="J1749" i="1"/>
  <c r="I1749" i="1"/>
  <c r="H1749" i="1"/>
  <c r="G1749" i="1"/>
  <c r="A1749" i="1"/>
  <c r="J1748" i="1"/>
  <c r="I1748" i="1"/>
  <c r="H1748" i="1"/>
  <c r="G1748" i="1"/>
  <c r="A1748" i="1"/>
  <c r="J1747" i="1"/>
  <c r="I1747" i="1"/>
  <c r="H1747" i="1"/>
  <c r="G1747" i="1"/>
  <c r="A1747" i="1"/>
  <c r="J1746" i="1"/>
  <c r="I1746" i="1"/>
  <c r="H1746" i="1"/>
  <c r="G1746" i="1"/>
  <c r="A1746" i="1"/>
  <c r="J1745" i="1"/>
  <c r="I1745" i="1"/>
  <c r="H1745" i="1"/>
  <c r="G1745" i="1"/>
  <c r="A1745" i="1"/>
  <c r="J1744" i="1"/>
  <c r="I1744" i="1"/>
  <c r="H1744" i="1"/>
  <c r="G1744" i="1"/>
  <c r="A1744" i="1"/>
  <c r="J1743" i="1"/>
  <c r="I1743" i="1"/>
  <c r="H1743" i="1"/>
  <c r="G1743" i="1"/>
  <c r="A1743" i="1"/>
  <c r="J1742" i="1"/>
  <c r="I1742" i="1"/>
  <c r="H1742" i="1"/>
  <c r="G1742" i="1"/>
  <c r="A1742" i="1"/>
  <c r="J1741" i="1"/>
  <c r="I1741" i="1"/>
  <c r="H1741" i="1"/>
  <c r="G1741" i="1"/>
  <c r="A1741" i="1"/>
  <c r="J1740" i="1"/>
  <c r="I1740" i="1"/>
  <c r="H1740" i="1"/>
  <c r="G1740" i="1"/>
  <c r="A1740" i="1"/>
  <c r="J1739" i="1"/>
  <c r="I1739" i="1"/>
  <c r="H1739" i="1"/>
  <c r="G1739" i="1"/>
  <c r="A1739" i="1"/>
  <c r="J1738" i="1"/>
  <c r="I1738" i="1"/>
  <c r="H1738" i="1"/>
  <c r="G1738" i="1"/>
  <c r="A1738" i="1"/>
  <c r="J1737" i="1"/>
  <c r="I1737" i="1"/>
  <c r="H1737" i="1"/>
  <c r="G1737" i="1"/>
  <c r="A1737" i="1"/>
  <c r="J1736" i="1"/>
  <c r="I1736" i="1"/>
  <c r="H1736" i="1"/>
  <c r="G1736" i="1"/>
  <c r="A1736" i="1"/>
  <c r="J1735" i="1"/>
  <c r="I1735" i="1"/>
  <c r="H1735" i="1"/>
  <c r="G1735" i="1"/>
  <c r="A1735" i="1"/>
  <c r="J1734" i="1"/>
  <c r="I1734" i="1"/>
  <c r="H1734" i="1"/>
  <c r="G1734" i="1"/>
  <c r="A1734" i="1"/>
  <c r="J1733" i="1"/>
  <c r="I1733" i="1"/>
  <c r="H1733" i="1"/>
  <c r="G1733" i="1"/>
  <c r="A1733" i="1"/>
  <c r="J1732" i="1"/>
  <c r="I1732" i="1"/>
  <c r="H1732" i="1"/>
  <c r="G1732" i="1"/>
  <c r="A1732" i="1"/>
  <c r="J1731" i="1"/>
  <c r="I1731" i="1"/>
  <c r="H1731" i="1"/>
  <c r="G1731" i="1"/>
  <c r="A1731" i="1"/>
  <c r="J1730" i="1"/>
  <c r="I1730" i="1"/>
  <c r="H1730" i="1"/>
  <c r="G1730" i="1"/>
  <c r="A1730" i="1"/>
  <c r="J1729" i="1"/>
  <c r="I1729" i="1"/>
  <c r="H1729" i="1"/>
  <c r="G1729" i="1"/>
  <c r="A1729" i="1"/>
  <c r="J1728" i="1"/>
  <c r="I1728" i="1"/>
  <c r="H1728" i="1"/>
  <c r="G1728" i="1"/>
  <c r="A1728" i="1"/>
  <c r="J1727" i="1"/>
  <c r="I1727" i="1"/>
  <c r="H1727" i="1"/>
  <c r="G1727" i="1"/>
  <c r="A1727" i="1"/>
  <c r="J1726" i="1"/>
  <c r="I1726" i="1"/>
  <c r="H1726" i="1"/>
  <c r="G1726" i="1"/>
  <c r="A1726" i="1"/>
  <c r="J1725" i="1"/>
  <c r="I1725" i="1"/>
  <c r="H1725" i="1"/>
  <c r="G1725" i="1"/>
  <c r="A1725" i="1"/>
  <c r="J1724" i="1"/>
  <c r="I1724" i="1"/>
  <c r="H1724" i="1"/>
  <c r="G1724" i="1"/>
  <c r="A1724" i="1"/>
  <c r="J1723" i="1"/>
  <c r="I1723" i="1"/>
  <c r="H1723" i="1"/>
  <c r="G1723" i="1"/>
  <c r="A1723" i="1"/>
  <c r="J1722" i="1"/>
  <c r="I1722" i="1"/>
  <c r="H1722" i="1"/>
  <c r="G1722" i="1"/>
  <c r="A1722" i="1"/>
  <c r="J1721" i="1"/>
  <c r="I1721" i="1"/>
  <c r="H1721" i="1"/>
  <c r="G1721" i="1"/>
  <c r="A1721" i="1"/>
  <c r="J1720" i="1"/>
  <c r="I1720" i="1"/>
  <c r="H1720" i="1"/>
  <c r="G1720" i="1"/>
  <c r="A1720" i="1"/>
  <c r="J1719" i="1"/>
  <c r="I1719" i="1"/>
  <c r="H1719" i="1"/>
  <c r="G1719" i="1"/>
  <c r="A1719" i="1"/>
  <c r="J1718" i="1"/>
  <c r="I1718" i="1"/>
  <c r="H1718" i="1"/>
  <c r="G1718" i="1"/>
  <c r="A1718" i="1"/>
  <c r="J1717" i="1"/>
  <c r="I1717" i="1"/>
  <c r="H1717" i="1"/>
  <c r="G1717" i="1"/>
  <c r="A1717" i="1"/>
  <c r="J1716" i="1"/>
  <c r="I1716" i="1"/>
  <c r="H1716" i="1"/>
  <c r="G1716" i="1"/>
  <c r="A1716" i="1"/>
  <c r="J1715" i="1"/>
  <c r="I1715" i="1"/>
  <c r="H1715" i="1"/>
  <c r="G1715" i="1"/>
  <c r="A1715" i="1"/>
  <c r="J1714" i="1"/>
  <c r="I1714" i="1"/>
  <c r="H1714" i="1"/>
  <c r="G1714" i="1"/>
  <c r="A1714" i="1"/>
  <c r="J1713" i="1"/>
  <c r="I1713" i="1"/>
  <c r="H1713" i="1"/>
  <c r="G1713" i="1"/>
  <c r="A1713" i="1"/>
  <c r="J1712" i="1"/>
  <c r="I1712" i="1"/>
  <c r="H1712" i="1"/>
  <c r="G1712" i="1"/>
  <c r="A1712" i="1"/>
  <c r="J1711" i="1"/>
  <c r="I1711" i="1"/>
  <c r="H1711" i="1"/>
  <c r="G1711" i="1"/>
  <c r="A1711" i="1"/>
  <c r="J1710" i="1"/>
  <c r="I1710" i="1"/>
  <c r="H1710" i="1"/>
  <c r="G1710" i="1"/>
  <c r="A1710" i="1"/>
  <c r="J1709" i="1"/>
  <c r="I1709" i="1"/>
  <c r="H1709" i="1"/>
  <c r="G1709" i="1"/>
  <c r="A1709" i="1"/>
  <c r="J1708" i="1"/>
  <c r="I1708" i="1"/>
  <c r="H1708" i="1"/>
  <c r="G1708" i="1"/>
  <c r="A1708" i="1"/>
  <c r="J1707" i="1"/>
  <c r="I1707" i="1"/>
  <c r="H1707" i="1"/>
  <c r="G1707" i="1"/>
  <c r="A1707" i="1"/>
  <c r="J1706" i="1"/>
  <c r="I1706" i="1"/>
  <c r="H1706" i="1"/>
  <c r="G1706" i="1"/>
  <c r="A1706" i="1"/>
  <c r="J1705" i="1"/>
  <c r="I1705" i="1"/>
  <c r="H1705" i="1"/>
  <c r="G1705" i="1"/>
  <c r="A1705" i="1"/>
  <c r="J1704" i="1"/>
  <c r="I1704" i="1"/>
  <c r="H1704" i="1"/>
  <c r="G1704" i="1"/>
  <c r="A1704" i="1"/>
  <c r="J1703" i="1"/>
  <c r="I1703" i="1"/>
  <c r="H1703" i="1"/>
  <c r="G1703" i="1"/>
  <c r="A1703" i="1"/>
  <c r="J1702" i="1"/>
  <c r="I1702" i="1"/>
  <c r="H1702" i="1"/>
  <c r="G1702" i="1"/>
  <c r="A1702" i="1"/>
  <c r="J1701" i="1"/>
  <c r="I1701" i="1"/>
  <c r="H1701" i="1"/>
  <c r="G1701" i="1"/>
  <c r="A1701" i="1"/>
  <c r="J1700" i="1"/>
  <c r="I1700" i="1"/>
  <c r="H1700" i="1"/>
  <c r="G1700" i="1"/>
  <c r="A1700" i="1"/>
  <c r="J1699" i="1"/>
  <c r="I1699" i="1"/>
  <c r="H1699" i="1"/>
  <c r="G1699" i="1"/>
  <c r="A1699" i="1"/>
  <c r="J1698" i="1"/>
  <c r="I1698" i="1"/>
  <c r="H1698" i="1"/>
  <c r="G1698" i="1"/>
  <c r="A1698" i="1"/>
  <c r="J1697" i="1"/>
  <c r="I1697" i="1"/>
  <c r="H1697" i="1"/>
  <c r="G1697" i="1"/>
  <c r="A1697" i="1"/>
  <c r="J1696" i="1"/>
  <c r="I1696" i="1"/>
  <c r="H1696" i="1"/>
  <c r="G1696" i="1"/>
  <c r="A1696" i="1"/>
  <c r="J1695" i="1"/>
  <c r="I1695" i="1"/>
  <c r="H1695" i="1"/>
  <c r="G1695" i="1"/>
  <c r="A1695" i="1"/>
  <c r="J1694" i="1"/>
  <c r="I1694" i="1"/>
  <c r="H1694" i="1"/>
  <c r="G1694" i="1"/>
  <c r="A1694" i="1"/>
  <c r="J1693" i="1"/>
  <c r="I1693" i="1"/>
  <c r="H1693" i="1"/>
  <c r="G1693" i="1"/>
  <c r="A1693" i="1"/>
  <c r="J1692" i="1"/>
  <c r="I1692" i="1"/>
  <c r="H1692" i="1"/>
  <c r="G1692" i="1"/>
  <c r="A1692" i="1"/>
  <c r="J1691" i="1"/>
  <c r="I1691" i="1"/>
  <c r="H1691" i="1"/>
  <c r="G1691" i="1"/>
  <c r="A1691" i="1"/>
  <c r="J1690" i="1"/>
  <c r="I1690" i="1"/>
  <c r="H1690" i="1"/>
  <c r="G1690" i="1"/>
  <c r="A1690" i="1"/>
  <c r="J1689" i="1"/>
  <c r="I1689" i="1"/>
  <c r="H1689" i="1"/>
  <c r="G1689" i="1"/>
  <c r="A1689" i="1"/>
  <c r="J1688" i="1"/>
  <c r="I1688" i="1"/>
  <c r="H1688" i="1"/>
  <c r="G1688" i="1"/>
  <c r="A1688" i="1"/>
  <c r="J1687" i="1"/>
  <c r="I1687" i="1"/>
  <c r="H1687" i="1"/>
  <c r="G1687" i="1"/>
  <c r="A1687" i="1"/>
  <c r="J1686" i="1"/>
  <c r="I1686" i="1"/>
  <c r="H1686" i="1"/>
  <c r="G1686" i="1"/>
  <c r="A1686" i="1"/>
  <c r="J1685" i="1"/>
  <c r="I1685" i="1"/>
  <c r="H1685" i="1"/>
  <c r="G1685" i="1"/>
  <c r="A1685" i="1"/>
  <c r="J1684" i="1"/>
  <c r="I1684" i="1"/>
  <c r="H1684" i="1"/>
  <c r="G1684" i="1"/>
  <c r="A1684" i="1"/>
  <c r="J1683" i="1"/>
  <c r="I1683" i="1"/>
  <c r="H1683" i="1"/>
  <c r="G1683" i="1"/>
  <c r="A1683" i="1"/>
  <c r="J1682" i="1"/>
  <c r="I1682" i="1"/>
  <c r="H1682" i="1"/>
  <c r="G1682" i="1"/>
  <c r="A1682" i="1"/>
  <c r="J1681" i="1"/>
  <c r="I1681" i="1"/>
  <c r="H1681" i="1"/>
  <c r="G1681" i="1"/>
  <c r="A1681" i="1"/>
  <c r="J1680" i="1"/>
  <c r="I1680" i="1"/>
  <c r="H1680" i="1"/>
  <c r="G1680" i="1"/>
  <c r="A1680" i="1"/>
  <c r="J1679" i="1"/>
  <c r="I1679" i="1"/>
  <c r="H1679" i="1"/>
  <c r="G1679" i="1"/>
  <c r="A1679" i="1"/>
  <c r="J1678" i="1"/>
  <c r="I1678" i="1"/>
  <c r="H1678" i="1"/>
  <c r="G1678" i="1"/>
  <c r="A1678" i="1"/>
  <c r="J1677" i="1"/>
  <c r="I1677" i="1"/>
  <c r="H1677" i="1"/>
  <c r="G1677" i="1"/>
  <c r="A1677" i="1"/>
  <c r="J1676" i="1"/>
  <c r="I1676" i="1"/>
  <c r="H1676" i="1"/>
  <c r="G1676" i="1"/>
  <c r="A1676" i="1"/>
  <c r="J1675" i="1"/>
  <c r="I1675" i="1"/>
  <c r="H1675" i="1"/>
  <c r="G1675" i="1"/>
  <c r="A1675" i="1"/>
  <c r="J1674" i="1"/>
  <c r="I1674" i="1"/>
  <c r="H1674" i="1"/>
  <c r="G1674" i="1"/>
  <c r="A1674" i="1"/>
  <c r="J1673" i="1"/>
  <c r="I1673" i="1"/>
  <c r="H1673" i="1"/>
  <c r="G1673" i="1"/>
  <c r="A1673" i="1"/>
  <c r="J1672" i="1"/>
  <c r="I1672" i="1"/>
  <c r="H1672" i="1"/>
  <c r="G1672" i="1"/>
  <c r="A1672" i="1"/>
  <c r="J1671" i="1"/>
  <c r="I1671" i="1"/>
  <c r="H1671" i="1"/>
  <c r="G1671" i="1"/>
  <c r="A1671" i="1"/>
  <c r="J1670" i="1"/>
  <c r="I1670" i="1"/>
  <c r="H1670" i="1"/>
  <c r="G1670" i="1"/>
  <c r="A1670" i="1"/>
  <c r="J1669" i="1"/>
  <c r="I1669" i="1"/>
  <c r="H1669" i="1"/>
  <c r="G1669" i="1"/>
  <c r="A1669" i="1"/>
  <c r="J1668" i="1"/>
  <c r="I1668" i="1"/>
  <c r="H1668" i="1"/>
  <c r="G1668" i="1"/>
  <c r="A1668" i="1"/>
  <c r="J1667" i="1"/>
  <c r="I1667" i="1"/>
  <c r="H1667" i="1"/>
  <c r="G1667" i="1"/>
  <c r="A1667" i="1"/>
  <c r="J1666" i="1"/>
  <c r="I1666" i="1"/>
  <c r="H1666" i="1"/>
  <c r="G1666" i="1"/>
  <c r="A1666" i="1"/>
  <c r="J1665" i="1"/>
  <c r="I1665" i="1"/>
  <c r="H1665" i="1"/>
  <c r="G1665" i="1"/>
  <c r="A1665" i="1"/>
  <c r="J1664" i="1"/>
  <c r="I1664" i="1"/>
  <c r="H1664" i="1"/>
  <c r="G1664" i="1"/>
  <c r="A1664" i="1"/>
  <c r="J1663" i="1"/>
  <c r="I1663" i="1"/>
  <c r="H1663" i="1"/>
  <c r="G1663" i="1"/>
  <c r="A1663" i="1"/>
  <c r="J1662" i="1"/>
  <c r="I1662" i="1"/>
  <c r="H1662" i="1"/>
  <c r="G1662" i="1"/>
  <c r="A1662" i="1"/>
  <c r="J1661" i="1"/>
  <c r="I1661" i="1"/>
  <c r="H1661" i="1"/>
  <c r="G1661" i="1"/>
  <c r="A1661" i="1"/>
  <c r="J1660" i="1"/>
  <c r="I1660" i="1"/>
  <c r="H1660" i="1"/>
  <c r="G1660" i="1"/>
  <c r="A1660" i="1"/>
  <c r="J1659" i="1"/>
  <c r="I1659" i="1"/>
  <c r="H1659" i="1"/>
  <c r="G1659" i="1"/>
  <c r="A1659" i="1"/>
  <c r="J1658" i="1"/>
  <c r="I1658" i="1"/>
  <c r="H1658" i="1"/>
  <c r="G1658" i="1"/>
  <c r="A1658" i="1"/>
  <c r="J1657" i="1"/>
  <c r="I1657" i="1"/>
  <c r="H1657" i="1"/>
  <c r="G1657" i="1"/>
  <c r="A1657" i="1"/>
  <c r="J1656" i="1"/>
  <c r="I1656" i="1"/>
  <c r="H1656" i="1"/>
  <c r="G1656" i="1"/>
  <c r="A1656" i="1"/>
  <c r="J1655" i="1"/>
  <c r="I1655" i="1"/>
  <c r="H1655" i="1"/>
  <c r="G1655" i="1"/>
  <c r="A1655" i="1"/>
  <c r="J1654" i="1"/>
  <c r="I1654" i="1"/>
  <c r="H1654" i="1"/>
  <c r="G1654" i="1"/>
  <c r="A1654" i="1"/>
  <c r="J1653" i="1"/>
  <c r="I1653" i="1"/>
  <c r="H1653" i="1"/>
  <c r="G1653" i="1"/>
  <c r="A1653" i="1"/>
  <c r="J1652" i="1"/>
  <c r="I1652" i="1"/>
  <c r="H1652" i="1"/>
  <c r="G1652" i="1"/>
  <c r="A1652" i="1"/>
  <c r="J1651" i="1"/>
  <c r="I1651" i="1"/>
  <c r="H1651" i="1"/>
  <c r="G1651" i="1"/>
  <c r="A1651" i="1"/>
  <c r="J1650" i="1"/>
  <c r="I1650" i="1"/>
  <c r="H1650" i="1"/>
  <c r="G1650" i="1"/>
  <c r="A1650" i="1"/>
  <c r="J1649" i="1"/>
  <c r="I1649" i="1"/>
  <c r="H1649" i="1"/>
  <c r="G1649" i="1"/>
  <c r="A1649" i="1"/>
  <c r="J1648" i="1"/>
  <c r="I1648" i="1"/>
  <c r="H1648" i="1"/>
  <c r="G1648" i="1"/>
  <c r="A1648" i="1"/>
  <c r="J1647" i="1"/>
  <c r="I1647" i="1"/>
  <c r="H1647" i="1"/>
  <c r="G1647" i="1"/>
  <c r="A1647" i="1"/>
  <c r="J1646" i="1"/>
  <c r="I1646" i="1"/>
  <c r="H1646" i="1"/>
  <c r="G1646" i="1"/>
  <c r="A1646" i="1"/>
  <c r="J1645" i="1"/>
  <c r="I1645" i="1"/>
  <c r="H1645" i="1"/>
  <c r="G1645" i="1"/>
  <c r="A1645" i="1"/>
  <c r="J1644" i="1"/>
  <c r="I1644" i="1"/>
  <c r="H1644" i="1"/>
  <c r="G1644" i="1"/>
  <c r="A1644" i="1"/>
  <c r="J1643" i="1"/>
  <c r="I1643" i="1"/>
  <c r="H1643" i="1"/>
  <c r="G1643" i="1"/>
  <c r="A1643" i="1"/>
  <c r="J1642" i="1"/>
  <c r="I1642" i="1"/>
  <c r="H1642" i="1"/>
  <c r="G1642" i="1"/>
  <c r="A1642" i="1"/>
  <c r="J1641" i="1"/>
  <c r="I1641" i="1"/>
  <c r="H1641" i="1"/>
  <c r="G1641" i="1"/>
  <c r="A1641" i="1"/>
  <c r="J1640" i="1"/>
  <c r="I1640" i="1"/>
  <c r="H1640" i="1"/>
  <c r="G1640" i="1"/>
  <c r="A1640" i="1"/>
  <c r="J1639" i="1"/>
  <c r="I1639" i="1"/>
  <c r="H1639" i="1"/>
  <c r="G1639" i="1"/>
  <c r="A1639" i="1"/>
  <c r="J1638" i="1"/>
  <c r="I1638" i="1"/>
  <c r="H1638" i="1"/>
  <c r="G1638" i="1"/>
  <c r="A1638" i="1"/>
  <c r="J1637" i="1"/>
  <c r="I1637" i="1"/>
  <c r="H1637" i="1"/>
  <c r="G1637" i="1"/>
  <c r="A1637" i="1"/>
  <c r="J1636" i="1"/>
  <c r="I1636" i="1"/>
  <c r="H1636" i="1"/>
  <c r="G1636" i="1"/>
  <c r="A1636" i="1"/>
  <c r="J1635" i="1"/>
  <c r="I1635" i="1"/>
  <c r="H1635" i="1"/>
  <c r="G1635" i="1"/>
  <c r="A1635" i="1"/>
  <c r="J1634" i="1"/>
  <c r="I1634" i="1"/>
  <c r="H1634" i="1"/>
  <c r="G1634" i="1"/>
  <c r="A1634" i="1"/>
  <c r="J1633" i="1"/>
  <c r="I1633" i="1"/>
  <c r="H1633" i="1"/>
  <c r="G1633" i="1"/>
  <c r="A1633" i="1"/>
  <c r="J1632" i="1"/>
  <c r="I1632" i="1"/>
  <c r="H1632" i="1"/>
  <c r="G1632" i="1"/>
  <c r="A1632" i="1"/>
  <c r="J1631" i="1"/>
  <c r="I1631" i="1"/>
  <c r="H1631" i="1"/>
  <c r="G1631" i="1"/>
  <c r="A1631" i="1"/>
  <c r="J1630" i="1"/>
  <c r="I1630" i="1"/>
  <c r="H1630" i="1"/>
  <c r="G1630" i="1"/>
  <c r="A1630" i="1"/>
  <c r="J1629" i="1"/>
  <c r="I1629" i="1"/>
  <c r="H1629" i="1"/>
  <c r="G1629" i="1"/>
  <c r="A1629" i="1"/>
  <c r="J1628" i="1"/>
  <c r="I1628" i="1"/>
  <c r="H1628" i="1"/>
  <c r="G1628" i="1"/>
  <c r="A1628" i="1"/>
  <c r="J1627" i="1"/>
  <c r="I1627" i="1"/>
  <c r="H1627" i="1"/>
  <c r="G1627" i="1"/>
  <c r="A1627" i="1"/>
  <c r="J1626" i="1"/>
  <c r="I1626" i="1"/>
  <c r="H1626" i="1"/>
  <c r="G1626" i="1"/>
  <c r="A1626" i="1"/>
  <c r="J1625" i="1"/>
  <c r="I1625" i="1"/>
  <c r="H1625" i="1"/>
  <c r="G1625" i="1"/>
  <c r="A1625" i="1"/>
  <c r="J1624" i="1"/>
  <c r="I1624" i="1"/>
  <c r="H1624" i="1"/>
  <c r="G1624" i="1"/>
  <c r="A1624" i="1"/>
  <c r="J1623" i="1"/>
  <c r="I1623" i="1"/>
  <c r="H1623" i="1"/>
  <c r="G1623" i="1"/>
  <c r="A1623" i="1"/>
  <c r="J1622" i="1"/>
  <c r="I1622" i="1"/>
  <c r="H1622" i="1"/>
  <c r="G1622" i="1"/>
  <c r="A1622" i="1"/>
  <c r="J1621" i="1"/>
  <c r="I1621" i="1"/>
  <c r="H1621" i="1"/>
  <c r="G1621" i="1"/>
  <c r="A1621" i="1"/>
  <c r="J1620" i="1"/>
  <c r="I1620" i="1"/>
  <c r="H1620" i="1"/>
  <c r="G1620" i="1"/>
  <c r="A1620" i="1"/>
  <c r="J1619" i="1"/>
  <c r="I1619" i="1"/>
  <c r="H1619" i="1"/>
  <c r="G1619" i="1"/>
  <c r="A1619" i="1"/>
  <c r="J1618" i="1"/>
  <c r="I1618" i="1"/>
  <c r="H1618" i="1"/>
  <c r="G1618" i="1"/>
  <c r="A1618" i="1"/>
  <c r="J1617" i="1"/>
  <c r="I1617" i="1"/>
  <c r="H1617" i="1"/>
  <c r="G1617" i="1"/>
  <c r="A1617" i="1"/>
  <c r="J1616" i="1"/>
  <c r="I1616" i="1"/>
  <c r="H1616" i="1"/>
  <c r="G1616" i="1"/>
  <c r="A1616" i="1"/>
  <c r="J1615" i="1"/>
  <c r="I1615" i="1"/>
  <c r="H1615" i="1"/>
  <c r="G1615" i="1"/>
  <c r="A1615" i="1"/>
  <c r="J1614" i="1"/>
  <c r="I1614" i="1"/>
  <c r="H1614" i="1"/>
  <c r="G1614" i="1"/>
  <c r="A1614" i="1"/>
  <c r="J1613" i="1"/>
  <c r="I1613" i="1"/>
  <c r="H1613" i="1"/>
  <c r="G1613" i="1"/>
  <c r="A1613" i="1"/>
  <c r="J1612" i="1"/>
  <c r="I1612" i="1"/>
  <c r="H1612" i="1"/>
  <c r="G1612" i="1"/>
  <c r="A1612" i="1"/>
  <c r="J1611" i="1"/>
  <c r="I1611" i="1"/>
  <c r="H1611" i="1"/>
  <c r="G1611" i="1"/>
  <c r="A1611" i="1"/>
  <c r="J1610" i="1"/>
  <c r="I1610" i="1"/>
  <c r="H1610" i="1"/>
  <c r="G1610" i="1"/>
  <c r="A1610" i="1"/>
  <c r="J1609" i="1"/>
  <c r="I1609" i="1"/>
  <c r="H1609" i="1"/>
  <c r="G1609" i="1"/>
  <c r="A1609" i="1"/>
  <c r="J1608" i="1"/>
  <c r="I1608" i="1"/>
  <c r="H1608" i="1"/>
  <c r="G1608" i="1"/>
  <c r="A1608" i="1"/>
  <c r="J1607" i="1"/>
  <c r="I1607" i="1"/>
  <c r="H1607" i="1"/>
  <c r="G1607" i="1"/>
  <c r="A1607" i="1"/>
  <c r="J1606" i="1"/>
  <c r="I1606" i="1"/>
  <c r="H1606" i="1"/>
  <c r="G1606" i="1"/>
  <c r="A1606" i="1"/>
  <c r="J1605" i="1"/>
  <c r="I1605" i="1"/>
  <c r="H1605" i="1"/>
  <c r="G1605" i="1"/>
  <c r="A1605" i="1"/>
  <c r="J1604" i="1"/>
  <c r="I1604" i="1"/>
  <c r="H1604" i="1"/>
  <c r="G1604" i="1"/>
  <c r="A1604" i="1"/>
  <c r="J1603" i="1"/>
  <c r="I1603" i="1"/>
  <c r="H1603" i="1"/>
  <c r="G1603" i="1"/>
  <c r="A1603" i="1"/>
  <c r="J1602" i="1"/>
  <c r="I1602" i="1"/>
  <c r="H1602" i="1"/>
  <c r="G1602" i="1"/>
  <c r="A1602" i="1"/>
  <c r="J1601" i="1"/>
  <c r="I1601" i="1"/>
  <c r="H1601" i="1"/>
  <c r="G1601" i="1"/>
  <c r="A1601" i="1"/>
  <c r="J1600" i="1"/>
  <c r="I1600" i="1"/>
  <c r="H1600" i="1"/>
  <c r="G1600" i="1"/>
  <c r="A1600" i="1"/>
  <c r="J1599" i="1"/>
  <c r="I1599" i="1"/>
  <c r="H1599" i="1"/>
  <c r="G1599" i="1"/>
  <c r="A1599" i="1"/>
  <c r="J1598" i="1"/>
  <c r="I1598" i="1"/>
  <c r="H1598" i="1"/>
  <c r="G1598" i="1"/>
  <c r="A1598" i="1"/>
  <c r="J1597" i="1"/>
  <c r="I1597" i="1"/>
  <c r="H1597" i="1"/>
  <c r="G1597" i="1"/>
  <c r="A1597" i="1"/>
  <c r="J1596" i="1"/>
  <c r="I1596" i="1"/>
  <c r="H1596" i="1"/>
  <c r="G1596" i="1"/>
  <c r="A1596" i="1"/>
  <c r="J1595" i="1"/>
  <c r="I1595" i="1"/>
  <c r="H1595" i="1"/>
  <c r="G1595" i="1"/>
  <c r="A1595" i="1"/>
  <c r="J1594" i="1"/>
  <c r="I1594" i="1"/>
  <c r="H1594" i="1"/>
  <c r="G1594" i="1"/>
  <c r="A1594" i="1"/>
  <c r="J1593" i="1"/>
  <c r="I1593" i="1"/>
  <c r="H1593" i="1"/>
  <c r="G1593" i="1"/>
  <c r="A1593" i="1"/>
  <c r="J1592" i="1"/>
  <c r="I1592" i="1"/>
  <c r="H1592" i="1"/>
  <c r="G1592" i="1"/>
  <c r="A1592" i="1"/>
  <c r="J1591" i="1"/>
  <c r="I1591" i="1"/>
  <c r="H1591" i="1"/>
  <c r="G1591" i="1"/>
  <c r="A1591" i="1"/>
  <c r="J1590" i="1"/>
  <c r="I1590" i="1"/>
  <c r="H1590" i="1"/>
  <c r="G1590" i="1"/>
  <c r="A1590" i="1"/>
  <c r="J1589" i="1"/>
  <c r="I1589" i="1"/>
  <c r="H1589" i="1"/>
  <c r="G1589" i="1"/>
  <c r="A1589" i="1"/>
  <c r="J1588" i="1"/>
  <c r="I1588" i="1"/>
  <c r="H1588" i="1"/>
  <c r="G1588" i="1"/>
  <c r="A1588" i="1"/>
  <c r="J1587" i="1"/>
  <c r="I1587" i="1"/>
  <c r="H1587" i="1"/>
  <c r="G1587" i="1"/>
  <c r="A1587" i="1"/>
  <c r="J1586" i="1"/>
  <c r="I1586" i="1"/>
  <c r="H1586" i="1"/>
  <c r="G1586" i="1"/>
  <c r="A1586" i="1"/>
  <c r="J1585" i="1"/>
  <c r="I1585" i="1"/>
  <c r="H1585" i="1"/>
  <c r="G1585" i="1"/>
  <c r="A1585" i="1"/>
  <c r="J1584" i="1"/>
  <c r="I1584" i="1"/>
  <c r="H1584" i="1"/>
  <c r="G1584" i="1"/>
  <c r="A1584" i="1"/>
  <c r="J1583" i="1"/>
  <c r="I1583" i="1"/>
  <c r="H1583" i="1"/>
  <c r="G1583" i="1"/>
  <c r="A1583" i="1"/>
  <c r="J1582" i="1"/>
  <c r="I1582" i="1"/>
  <c r="H1582" i="1"/>
  <c r="G1582" i="1"/>
  <c r="A1582" i="1"/>
  <c r="J1581" i="1"/>
  <c r="I1581" i="1"/>
  <c r="H1581" i="1"/>
  <c r="G1581" i="1"/>
  <c r="A1581" i="1"/>
  <c r="J1580" i="1"/>
  <c r="I1580" i="1"/>
  <c r="H1580" i="1"/>
  <c r="G1580" i="1"/>
  <c r="A1580" i="1"/>
  <c r="J1579" i="1"/>
  <c r="I1579" i="1"/>
  <c r="H1579" i="1"/>
  <c r="G1579" i="1"/>
  <c r="A1579" i="1"/>
  <c r="J1578" i="1"/>
  <c r="I1578" i="1"/>
  <c r="H1578" i="1"/>
  <c r="G1578" i="1"/>
  <c r="A1578" i="1"/>
  <c r="J1577" i="1"/>
  <c r="I1577" i="1"/>
  <c r="H1577" i="1"/>
  <c r="G1577" i="1"/>
  <c r="A1577" i="1"/>
  <c r="J1576" i="1"/>
  <c r="I1576" i="1"/>
  <c r="H1576" i="1"/>
  <c r="G1576" i="1"/>
  <c r="A1576" i="1"/>
  <c r="J1575" i="1"/>
  <c r="I1575" i="1"/>
  <c r="H1575" i="1"/>
  <c r="G1575" i="1"/>
  <c r="A1575" i="1"/>
  <c r="J1574" i="1"/>
  <c r="I1574" i="1"/>
  <c r="H1574" i="1"/>
  <c r="G1574" i="1"/>
  <c r="A1574" i="1"/>
  <c r="J1573" i="1"/>
  <c r="I1573" i="1"/>
  <c r="H1573" i="1"/>
  <c r="G1573" i="1"/>
  <c r="A1573" i="1"/>
  <c r="J1572" i="1"/>
  <c r="I1572" i="1"/>
  <c r="H1572" i="1"/>
  <c r="G1572" i="1"/>
  <c r="A1572" i="1"/>
  <c r="J1571" i="1"/>
  <c r="I1571" i="1"/>
  <c r="H1571" i="1"/>
  <c r="G1571" i="1"/>
  <c r="A1571" i="1"/>
  <c r="J1570" i="1"/>
  <c r="I1570" i="1"/>
  <c r="H1570" i="1"/>
  <c r="G1570" i="1"/>
  <c r="A1570" i="1"/>
  <c r="J1569" i="1"/>
  <c r="I1569" i="1"/>
  <c r="H1569" i="1"/>
  <c r="G1569" i="1"/>
  <c r="A1569" i="1"/>
  <c r="J1568" i="1"/>
  <c r="I1568" i="1"/>
  <c r="H1568" i="1"/>
  <c r="G1568" i="1"/>
  <c r="A1568" i="1"/>
  <c r="J1567" i="1"/>
  <c r="I1567" i="1"/>
  <c r="H1567" i="1"/>
  <c r="G1567" i="1"/>
  <c r="A1567" i="1"/>
  <c r="J1566" i="1"/>
  <c r="I1566" i="1"/>
  <c r="H1566" i="1"/>
  <c r="G1566" i="1"/>
  <c r="A1566" i="1"/>
  <c r="J1565" i="1"/>
  <c r="I1565" i="1"/>
  <c r="H1565" i="1"/>
  <c r="G1565" i="1"/>
  <c r="A1565" i="1"/>
  <c r="J1564" i="1"/>
  <c r="I1564" i="1"/>
  <c r="H1564" i="1"/>
  <c r="G1564" i="1"/>
  <c r="A1564" i="1"/>
  <c r="J1563" i="1"/>
  <c r="I1563" i="1"/>
  <c r="H1563" i="1"/>
  <c r="G1563" i="1"/>
  <c r="A1563" i="1"/>
  <c r="J1562" i="1"/>
  <c r="I1562" i="1"/>
  <c r="H1562" i="1"/>
  <c r="G1562" i="1"/>
  <c r="A1562" i="1"/>
  <c r="J1561" i="1"/>
  <c r="I1561" i="1"/>
  <c r="H1561" i="1"/>
  <c r="G1561" i="1"/>
  <c r="A1561" i="1"/>
  <c r="J1560" i="1"/>
  <c r="I1560" i="1"/>
  <c r="H1560" i="1"/>
  <c r="G1560" i="1"/>
  <c r="A1560" i="1"/>
  <c r="J1559" i="1"/>
  <c r="I1559" i="1"/>
  <c r="H1559" i="1"/>
  <c r="G1559" i="1"/>
  <c r="A1559" i="1"/>
  <c r="J1558" i="1"/>
  <c r="I1558" i="1"/>
  <c r="H1558" i="1"/>
  <c r="G1558" i="1"/>
  <c r="A1558" i="1"/>
  <c r="J1557" i="1"/>
  <c r="I1557" i="1"/>
  <c r="H1557" i="1"/>
  <c r="G1557" i="1"/>
  <c r="A1557" i="1"/>
  <c r="J1556" i="1"/>
  <c r="I1556" i="1"/>
  <c r="H1556" i="1"/>
  <c r="G1556" i="1"/>
  <c r="A1556" i="1"/>
  <c r="J1555" i="1"/>
  <c r="I1555" i="1"/>
  <c r="H1555" i="1"/>
  <c r="G1555" i="1"/>
  <c r="A1555" i="1"/>
  <c r="J1554" i="1"/>
  <c r="I1554" i="1"/>
  <c r="H1554" i="1"/>
  <c r="G1554" i="1"/>
  <c r="A1554" i="1"/>
  <c r="J1553" i="1"/>
  <c r="I1553" i="1"/>
  <c r="H1553" i="1"/>
  <c r="G1553" i="1"/>
  <c r="A1553" i="1"/>
  <c r="J1552" i="1"/>
  <c r="I1552" i="1"/>
  <c r="H1552" i="1"/>
  <c r="G1552" i="1"/>
  <c r="A1552" i="1"/>
  <c r="J1551" i="1"/>
  <c r="I1551" i="1"/>
  <c r="H1551" i="1"/>
  <c r="G1551" i="1"/>
  <c r="A1551" i="1"/>
  <c r="J1550" i="1"/>
  <c r="I1550" i="1"/>
  <c r="H1550" i="1"/>
  <c r="G1550" i="1"/>
  <c r="A1550" i="1"/>
  <c r="J1549" i="1"/>
  <c r="I1549" i="1"/>
  <c r="H1549" i="1"/>
  <c r="G1549" i="1"/>
  <c r="A1549" i="1"/>
  <c r="J1548" i="1"/>
  <c r="I1548" i="1"/>
  <c r="H1548" i="1"/>
  <c r="G1548" i="1"/>
  <c r="A1548" i="1"/>
  <c r="J1547" i="1"/>
  <c r="I1547" i="1"/>
  <c r="H1547" i="1"/>
  <c r="G1547" i="1"/>
  <c r="A1547" i="1"/>
  <c r="J1546" i="1"/>
  <c r="I1546" i="1"/>
  <c r="H1546" i="1"/>
  <c r="G1546" i="1"/>
  <c r="A1546" i="1"/>
  <c r="J1545" i="1"/>
  <c r="I1545" i="1"/>
  <c r="H1545" i="1"/>
  <c r="G1545" i="1"/>
  <c r="A1545" i="1"/>
  <c r="J1544" i="1"/>
  <c r="I1544" i="1"/>
  <c r="H1544" i="1"/>
  <c r="G1544" i="1"/>
  <c r="A1544" i="1"/>
  <c r="J1543" i="1"/>
  <c r="I1543" i="1"/>
  <c r="H1543" i="1"/>
  <c r="G1543" i="1"/>
  <c r="A1543" i="1"/>
  <c r="J1542" i="1"/>
  <c r="I1542" i="1"/>
  <c r="H1542" i="1"/>
  <c r="G1542" i="1"/>
  <c r="A1542" i="1"/>
  <c r="J1541" i="1"/>
  <c r="I1541" i="1"/>
  <c r="H1541" i="1"/>
  <c r="G1541" i="1"/>
  <c r="A1541" i="1"/>
  <c r="J1540" i="1"/>
  <c r="I1540" i="1"/>
  <c r="H1540" i="1"/>
  <c r="G1540" i="1"/>
  <c r="A1540" i="1"/>
  <c r="J1539" i="1"/>
  <c r="I1539" i="1"/>
  <c r="H1539" i="1"/>
  <c r="G1539" i="1"/>
  <c r="A1539" i="1"/>
  <c r="J1538" i="1"/>
  <c r="I1538" i="1"/>
  <c r="H1538" i="1"/>
  <c r="G1538" i="1"/>
  <c r="A1538" i="1"/>
  <c r="J1537" i="1"/>
  <c r="I1537" i="1"/>
  <c r="H1537" i="1"/>
  <c r="G1537" i="1"/>
  <c r="A1537" i="1"/>
  <c r="J1536" i="1"/>
  <c r="I1536" i="1"/>
  <c r="H1536" i="1"/>
  <c r="G1536" i="1"/>
  <c r="A1536" i="1"/>
  <c r="J1535" i="1"/>
  <c r="I1535" i="1"/>
  <c r="H1535" i="1"/>
  <c r="G1535" i="1"/>
  <c r="A1535" i="1"/>
  <c r="J1534" i="1"/>
  <c r="I1534" i="1"/>
  <c r="H1534" i="1"/>
  <c r="G1534" i="1"/>
  <c r="A1534" i="1"/>
  <c r="J1533" i="1"/>
  <c r="I1533" i="1"/>
  <c r="H1533" i="1"/>
  <c r="G1533" i="1"/>
  <c r="A1533" i="1"/>
  <c r="J1532" i="1"/>
  <c r="I1532" i="1"/>
  <c r="H1532" i="1"/>
  <c r="G1532" i="1"/>
  <c r="A1532" i="1"/>
  <c r="J1531" i="1"/>
  <c r="I1531" i="1"/>
  <c r="H1531" i="1"/>
  <c r="G1531" i="1"/>
  <c r="A1531" i="1"/>
  <c r="J1530" i="1"/>
  <c r="I1530" i="1"/>
  <c r="H1530" i="1"/>
  <c r="G1530" i="1"/>
  <c r="A1530" i="1"/>
  <c r="J1529" i="1"/>
  <c r="I1529" i="1"/>
  <c r="H1529" i="1"/>
  <c r="G1529" i="1"/>
  <c r="A1529" i="1"/>
  <c r="J1528" i="1"/>
  <c r="I1528" i="1"/>
  <c r="H1528" i="1"/>
  <c r="G1528" i="1"/>
  <c r="A1528" i="1"/>
  <c r="J1527" i="1"/>
  <c r="I1527" i="1"/>
  <c r="H1527" i="1"/>
  <c r="G1527" i="1"/>
  <c r="A1527" i="1"/>
  <c r="J1526" i="1"/>
  <c r="I1526" i="1"/>
  <c r="H1526" i="1"/>
  <c r="G1526" i="1"/>
  <c r="A1526" i="1"/>
  <c r="J1525" i="1"/>
  <c r="I1525" i="1"/>
  <c r="H1525" i="1"/>
  <c r="G1525" i="1"/>
  <c r="A1525" i="1"/>
  <c r="J1524" i="1"/>
  <c r="I1524" i="1"/>
  <c r="H1524" i="1"/>
  <c r="G1524" i="1"/>
  <c r="A1524" i="1"/>
  <c r="J1523" i="1"/>
  <c r="I1523" i="1"/>
  <c r="H1523" i="1"/>
  <c r="G1523" i="1"/>
  <c r="A1523" i="1"/>
  <c r="J1522" i="1"/>
  <c r="I1522" i="1"/>
  <c r="H1522" i="1"/>
  <c r="G1522" i="1"/>
  <c r="A1522" i="1"/>
  <c r="J1521" i="1"/>
  <c r="I1521" i="1"/>
  <c r="H1521" i="1"/>
  <c r="G1521" i="1"/>
  <c r="A1521" i="1"/>
  <c r="J1520" i="1"/>
  <c r="I1520" i="1"/>
  <c r="H1520" i="1"/>
  <c r="G1520" i="1"/>
  <c r="A1520" i="1"/>
  <c r="J1519" i="1"/>
  <c r="I1519" i="1"/>
  <c r="H1519" i="1"/>
  <c r="G1519" i="1"/>
  <c r="A1519" i="1"/>
  <c r="J1518" i="1"/>
  <c r="I1518" i="1"/>
  <c r="H1518" i="1"/>
  <c r="G1518" i="1"/>
  <c r="A1518" i="1"/>
  <c r="J1517" i="1"/>
  <c r="I1517" i="1"/>
  <c r="H1517" i="1"/>
  <c r="G1517" i="1"/>
  <c r="A1517" i="1"/>
  <c r="J1516" i="1"/>
  <c r="I1516" i="1"/>
  <c r="H1516" i="1"/>
  <c r="G1516" i="1"/>
  <c r="A1516" i="1"/>
  <c r="J1515" i="1"/>
  <c r="I1515" i="1"/>
  <c r="H1515" i="1"/>
  <c r="G1515" i="1"/>
  <c r="A1515" i="1"/>
  <c r="J1514" i="1"/>
  <c r="I1514" i="1"/>
  <c r="H1514" i="1"/>
  <c r="G1514" i="1"/>
  <c r="A1514" i="1"/>
  <c r="J1513" i="1"/>
  <c r="I1513" i="1"/>
  <c r="H1513" i="1"/>
  <c r="G1513" i="1"/>
  <c r="A1513" i="1"/>
  <c r="J1512" i="1"/>
  <c r="I1512" i="1"/>
  <c r="H1512" i="1"/>
  <c r="G1512" i="1"/>
  <c r="A1512" i="1"/>
  <c r="J1511" i="1"/>
  <c r="I1511" i="1"/>
  <c r="H1511" i="1"/>
  <c r="G1511" i="1"/>
  <c r="A1511" i="1"/>
  <c r="J1510" i="1"/>
  <c r="I1510" i="1"/>
  <c r="H1510" i="1"/>
  <c r="G1510" i="1"/>
  <c r="A1510" i="1"/>
  <c r="J1509" i="1"/>
  <c r="I1509" i="1"/>
  <c r="H1509" i="1"/>
  <c r="G1509" i="1"/>
  <c r="A1509" i="1"/>
  <c r="J1508" i="1"/>
  <c r="I1508" i="1"/>
  <c r="H1508" i="1"/>
  <c r="G1508" i="1"/>
  <c r="A1508" i="1"/>
  <c r="J1507" i="1"/>
  <c r="I1507" i="1"/>
  <c r="H1507" i="1"/>
  <c r="G1507" i="1"/>
  <c r="A1507" i="1"/>
  <c r="J1506" i="1"/>
  <c r="I1506" i="1"/>
  <c r="H1506" i="1"/>
  <c r="G1506" i="1"/>
  <c r="A1506" i="1"/>
  <c r="J1505" i="1"/>
  <c r="I1505" i="1"/>
  <c r="H1505" i="1"/>
  <c r="G1505" i="1"/>
  <c r="A1505" i="1"/>
  <c r="J1504" i="1"/>
  <c r="I1504" i="1"/>
  <c r="H1504" i="1"/>
  <c r="G1504" i="1"/>
  <c r="A1504" i="1"/>
  <c r="J1503" i="1"/>
  <c r="I1503" i="1"/>
  <c r="H1503" i="1"/>
  <c r="G1503" i="1"/>
  <c r="A1503" i="1"/>
  <c r="J1502" i="1"/>
  <c r="I1502" i="1"/>
  <c r="H1502" i="1"/>
  <c r="G1502" i="1"/>
  <c r="A1502" i="1"/>
  <c r="J1501" i="1"/>
  <c r="I1501" i="1"/>
  <c r="H1501" i="1"/>
  <c r="G1501" i="1"/>
  <c r="A1501" i="1"/>
  <c r="J1500" i="1"/>
  <c r="I1500" i="1"/>
  <c r="H1500" i="1"/>
  <c r="G1500" i="1"/>
  <c r="A1500" i="1"/>
  <c r="J1499" i="1"/>
  <c r="I1499" i="1"/>
  <c r="H1499" i="1"/>
  <c r="G1499" i="1"/>
  <c r="A1499" i="1"/>
  <c r="J1498" i="1"/>
  <c r="I1498" i="1"/>
  <c r="H1498" i="1"/>
  <c r="G1498" i="1"/>
  <c r="A1498" i="1"/>
  <c r="J1497" i="1"/>
  <c r="I1497" i="1"/>
  <c r="H1497" i="1"/>
  <c r="G1497" i="1"/>
  <c r="A1497" i="1"/>
  <c r="J1496" i="1"/>
  <c r="I1496" i="1"/>
  <c r="H1496" i="1"/>
  <c r="G1496" i="1"/>
  <c r="A1496" i="1"/>
  <c r="J1495" i="1"/>
  <c r="I1495" i="1"/>
  <c r="H1495" i="1"/>
  <c r="G1495" i="1"/>
  <c r="A1495" i="1"/>
  <c r="J1494" i="1"/>
  <c r="I1494" i="1"/>
  <c r="H1494" i="1"/>
  <c r="G1494" i="1"/>
  <c r="A1494" i="1"/>
  <c r="J1493" i="1"/>
  <c r="I1493" i="1"/>
  <c r="H1493" i="1"/>
  <c r="G1493" i="1"/>
  <c r="A1493" i="1"/>
  <c r="J1492" i="1"/>
  <c r="I1492" i="1"/>
  <c r="H1492" i="1"/>
  <c r="G1492" i="1"/>
  <c r="A1492" i="1"/>
  <c r="J1491" i="1"/>
  <c r="I1491" i="1"/>
  <c r="H1491" i="1"/>
  <c r="G1491" i="1"/>
  <c r="A1491" i="1"/>
  <c r="J1490" i="1"/>
  <c r="I1490" i="1"/>
  <c r="H1490" i="1"/>
  <c r="G1490" i="1"/>
  <c r="A1490" i="1"/>
  <c r="J1489" i="1"/>
  <c r="I1489" i="1"/>
  <c r="H1489" i="1"/>
  <c r="G1489" i="1"/>
  <c r="A1489" i="1"/>
  <c r="J1488" i="1"/>
  <c r="I1488" i="1"/>
  <c r="H1488" i="1"/>
  <c r="G1488" i="1"/>
  <c r="A1488" i="1"/>
  <c r="J1487" i="1"/>
  <c r="I1487" i="1"/>
  <c r="H1487" i="1"/>
  <c r="G1487" i="1"/>
  <c r="A1487" i="1"/>
  <c r="J1486" i="1"/>
  <c r="I1486" i="1"/>
  <c r="H1486" i="1"/>
  <c r="G1486" i="1"/>
  <c r="A1486" i="1"/>
  <c r="J1485" i="1"/>
  <c r="I1485" i="1"/>
  <c r="H1485" i="1"/>
  <c r="G1485" i="1"/>
  <c r="A1485" i="1"/>
  <c r="J1484" i="1"/>
  <c r="I1484" i="1"/>
  <c r="H1484" i="1"/>
  <c r="G1484" i="1"/>
  <c r="A1484" i="1"/>
  <c r="J1483" i="1"/>
  <c r="I1483" i="1"/>
  <c r="H1483" i="1"/>
  <c r="G1483" i="1"/>
  <c r="A1483" i="1"/>
  <c r="J1482" i="1"/>
  <c r="I1482" i="1"/>
  <c r="H1482" i="1"/>
  <c r="G1482" i="1"/>
  <c r="A1482" i="1"/>
  <c r="J1481" i="1"/>
  <c r="I1481" i="1"/>
  <c r="H1481" i="1"/>
  <c r="G1481" i="1"/>
  <c r="A1481" i="1"/>
  <c r="J1480" i="1"/>
  <c r="I1480" i="1"/>
  <c r="H1480" i="1"/>
  <c r="G1480" i="1"/>
  <c r="A1480" i="1"/>
  <c r="J1479" i="1"/>
  <c r="I1479" i="1"/>
  <c r="H1479" i="1"/>
  <c r="G1479" i="1"/>
  <c r="A1479" i="1"/>
  <c r="J1478" i="1"/>
  <c r="I1478" i="1"/>
  <c r="H1478" i="1"/>
  <c r="G1478" i="1"/>
  <c r="A1478" i="1"/>
  <c r="J1477" i="1"/>
  <c r="I1477" i="1"/>
  <c r="H1477" i="1"/>
  <c r="G1477" i="1"/>
  <c r="A1477" i="1"/>
  <c r="J1476" i="1"/>
  <c r="I1476" i="1"/>
  <c r="H1476" i="1"/>
  <c r="G1476" i="1"/>
  <c r="A1476" i="1"/>
  <c r="J1475" i="1"/>
  <c r="I1475" i="1"/>
  <c r="H1475" i="1"/>
  <c r="G1475" i="1"/>
  <c r="A1475" i="1"/>
  <c r="J1474" i="1"/>
  <c r="I1474" i="1"/>
  <c r="H1474" i="1"/>
  <c r="G1474" i="1"/>
  <c r="A1474" i="1"/>
  <c r="J1473" i="1"/>
  <c r="I1473" i="1"/>
  <c r="H1473" i="1"/>
  <c r="G1473" i="1"/>
  <c r="A1473" i="1"/>
  <c r="J1472" i="1"/>
  <c r="I1472" i="1"/>
  <c r="H1472" i="1"/>
  <c r="G1472" i="1"/>
  <c r="A1472" i="1"/>
  <c r="J1471" i="1"/>
  <c r="I1471" i="1"/>
  <c r="H1471" i="1"/>
  <c r="G1471" i="1"/>
  <c r="A1471" i="1"/>
  <c r="J1470" i="1"/>
  <c r="I1470" i="1"/>
  <c r="H1470" i="1"/>
  <c r="G1470" i="1"/>
  <c r="A1470" i="1"/>
  <c r="J1469" i="1"/>
  <c r="I1469" i="1"/>
  <c r="H1469" i="1"/>
  <c r="G1469" i="1"/>
  <c r="A1469" i="1"/>
  <c r="J1468" i="1"/>
  <c r="I1468" i="1"/>
  <c r="H1468" i="1"/>
  <c r="G1468" i="1"/>
  <c r="A1468" i="1"/>
  <c r="J1467" i="1"/>
  <c r="I1467" i="1"/>
  <c r="H1467" i="1"/>
  <c r="G1467" i="1"/>
  <c r="A1467" i="1"/>
  <c r="J1466" i="1"/>
  <c r="I1466" i="1"/>
  <c r="H1466" i="1"/>
  <c r="G1466" i="1"/>
  <c r="A1466" i="1"/>
  <c r="J1465" i="1"/>
  <c r="I1465" i="1"/>
  <c r="H1465" i="1"/>
  <c r="G1465" i="1"/>
  <c r="A1465" i="1"/>
  <c r="J1464" i="1"/>
  <c r="I1464" i="1"/>
  <c r="H1464" i="1"/>
  <c r="G1464" i="1"/>
  <c r="A1464" i="1"/>
  <c r="J1463" i="1"/>
  <c r="I1463" i="1"/>
  <c r="H1463" i="1"/>
  <c r="G1463" i="1"/>
  <c r="A1463" i="1"/>
  <c r="J1462" i="1"/>
  <c r="I1462" i="1"/>
  <c r="H1462" i="1"/>
  <c r="G1462" i="1"/>
  <c r="A1462" i="1"/>
  <c r="J1461" i="1"/>
  <c r="I1461" i="1"/>
  <c r="H1461" i="1"/>
  <c r="G1461" i="1"/>
  <c r="A1461" i="1"/>
  <c r="J1460" i="1"/>
  <c r="I1460" i="1"/>
  <c r="H1460" i="1"/>
  <c r="G1460" i="1"/>
  <c r="A1460" i="1"/>
  <c r="J1459" i="1"/>
  <c r="I1459" i="1"/>
  <c r="H1459" i="1"/>
  <c r="G1459" i="1"/>
  <c r="A1459" i="1"/>
  <c r="J1458" i="1"/>
  <c r="I1458" i="1"/>
  <c r="H1458" i="1"/>
  <c r="G1458" i="1"/>
  <c r="A1458" i="1"/>
  <c r="J1457" i="1"/>
  <c r="I1457" i="1"/>
  <c r="H1457" i="1"/>
  <c r="G1457" i="1"/>
  <c r="A1457" i="1"/>
  <c r="J1456" i="1"/>
  <c r="I1456" i="1"/>
  <c r="H1456" i="1"/>
  <c r="G1456" i="1"/>
  <c r="A1456" i="1"/>
  <c r="J1455" i="1"/>
  <c r="I1455" i="1"/>
  <c r="H1455" i="1"/>
  <c r="G1455" i="1"/>
  <c r="A1455" i="1"/>
  <c r="J1454" i="1"/>
  <c r="I1454" i="1"/>
  <c r="H1454" i="1"/>
  <c r="G1454" i="1"/>
  <c r="A1454" i="1"/>
  <c r="J1453" i="1"/>
  <c r="I1453" i="1"/>
  <c r="H1453" i="1"/>
  <c r="G1453" i="1"/>
  <c r="A1453" i="1"/>
  <c r="J1452" i="1"/>
  <c r="I1452" i="1"/>
  <c r="H1452" i="1"/>
  <c r="G1452" i="1"/>
  <c r="A1452" i="1"/>
  <c r="J1451" i="1"/>
  <c r="I1451" i="1"/>
  <c r="H1451" i="1"/>
  <c r="G1451" i="1"/>
  <c r="A1451" i="1"/>
  <c r="J1450" i="1"/>
  <c r="I1450" i="1"/>
  <c r="H1450" i="1"/>
  <c r="G1450" i="1"/>
  <c r="A1450" i="1"/>
  <c r="J1449" i="1"/>
  <c r="I1449" i="1"/>
  <c r="H1449" i="1"/>
  <c r="G1449" i="1"/>
  <c r="A1449" i="1"/>
  <c r="J1448" i="1"/>
  <c r="I1448" i="1"/>
  <c r="H1448" i="1"/>
  <c r="G1448" i="1"/>
  <c r="A1448" i="1"/>
  <c r="J1447" i="1"/>
  <c r="I1447" i="1"/>
  <c r="H1447" i="1"/>
  <c r="G1447" i="1"/>
  <c r="A1447" i="1"/>
  <c r="J1446" i="1"/>
  <c r="I1446" i="1"/>
  <c r="H1446" i="1"/>
  <c r="G1446" i="1"/>
  <c r="A1446" i="1"/>
  <c r="J1445" i="1"/>
  <c r="I1445" i="1"/>
  <c r="H1445" i="1"/>
  <c r="G1445" i="1"/>
  <c r="A1445" i="1"/>
  <c r="J1444" i="1"/>
  <c r="I1444" i="1"/>
  <c r="H1444" i="1"/>
  <c r="G1444" i="1"/>
  <c r="A1444" i="1"/>
  <c r="J1443" i="1"/>
  <c r="I1443" i="1"/>
  <c r="H1443" i="1"/>
  <c r="G1443" i="1"/>
  <c r="A1443" i="1"/>
  <c r="J1442" i="1"/>
  <c r="I1442" i="1"/>
  <c r="H1442" i="1"/>
  <c r="G1442" i="1"/>
  <c r="A1442" i="1"/>
  <c r="J1441" i="1"/>
  <c r="I1441" i="1"/>
  <c r="H1441" i="1"/>
  <c r="G1441" i="1"/>
  <c r="A1441" i="1"/>
  <c r="J1440" i="1"/>
  <c r="I1440" i="1"/>
  <c r="H1440" i="1"/>
  <c r="G1440" i="1"/>
  <c r="A1440" i="1"/>
  <c r="J1439" i="1"/>
  <c r="I1439" i="1"/>
  <c r="H1439" i="1"/>
  <c r="G1439" i="1"/>
  <c r="A1439" i="1"/>
  <c r="J1438" i="1"/>
  <c r="I1438" i="1"/>
  <c r="H1438" i="1"/>
  <c r="G1438" i="1"/>
  <c r="A1438" i="1"/>
  <c r="J1437" i="1"/>
  <c r="I1437" i="1"/>
  <c r="H1437" i="1"/>
  <c r="G1437" i="1"/>
  <c r="A1437" i="1"/>
  <c r="J1436" i="1"/>
  <c r="I1436" i="1"/>
  <c r="H1436" i="1"/>
  <c r="G1436" i="1"/>
  <c r="A1436" i="1"/>
  <c r="J1435" i="1"/>
  <c r="I1435" i="1"/>
  <c r="H1435" i="1"/>
  <c r="G1435" i="1"/>
  <c r="A1435" i="1"/>
  <c r="J1434" i="1"/>
  <c r="I1434" i="1"/>
  <c r="H1434" i="1"/>
  <c r="G1434" i="1"/>
  <c r="A1434" i="1"/>
  <c r="J1433" i="1"/>
  <c r="I1433" i="1"/>
  <c r="H1433" i="1"/>
  <c r="G1433" i="1"/>
  <c r="A1433" i="1"/>
  <c r="J1432" i="1"/>
  <c r="I1432" i="1"/>
  <c r="H1432" i="1"/>
  <c r="G1432" i="1"/>
  <c r="A1432" i="1"/>
  <c r="J1431" i="1"/>
  <c r="I1431" i="1"/>
  <c r="H1431" i="1"/>
  <c r="G1431" i="1"/>
  <c r="A1431" i="1"/>
  <c r="J1430" i="1"/>
  <c r="I1430" i="1"/>
  <c r="H1430" i="1"/>
  <c r="G1430" i="1"/>
  <c r="A1430" i="1"/>
  <c r="J1429" i="1"/>
  <c r="I1429" i="1"/>
  <c r="H1429" i="1"/>
  <c r="G1429" i="1"/>
  <c r="A1429" i="1"/>
  <c r="J1428" i="1"/>
  <c r="I1428" i="1"/>
  <c r="H1428" i="1"/>
  <c r="G1428" i="1"/>
  <c r="A1428" i="1"/>
  <c r="J1427" i="1"/>
  <c r="I1427" i="1"/>
  <c r="H1427" i="1"/>
  <c r="G1427" i="1"/>
  <c r="A1427" i="1"/>
  <c r="J1426" i="1"/>
  <c r="I1426" i="1"/>
  <c r="H1426" i="1"/>
  <c r="G1426" i="1"/>
  <c r="A1426" i="1"/>
  <c r="J1425" i="1"/>
  <c r="I1425" i="1"/>
  <c r="H1425" i="1"/>
  <c r="G1425" i="1"/>
  <c r="A1425" i="1"/>
  <c r="J1424" i="1"/>
  <c r="I1424" i="1"/>
  <c r="H1424" i="1"/>
  <c r="G1424" i="1"/>
  <c r="A1424" i="1"/>
  <c r="J1423" i="1"/>
  <c r="I1423" i="1"/>
  <c r="H1423" i="1"/>
  <c r="G1423" i="1"/>
  <c r="A1423" i="1"/>
  <c r="J1422" i="1"/>
  <c r="I1422" i="1"/>
  <c r="H1422" i="1"/>
  <c r="G1422" i="1"/>
  <c r="A1422" i="1"/>
  <c r="J1421" i="1"/>
  <c r="I1421" i="1"/>
  <c r="H1421" i="1"/>
  <c r="G1421" i="1"/>
  <c r="A1421" i="1"/>
  <c r="J1420" i="1"/>
  <c r="I1420" i="1"/>
  <c r="H1420" i="1"/>
  <c r="G1420" i="1"/>
  <c r="A1420" i="1"/>
  <c r="J1419" i="1"/>
  <c r="I1419" i="1"/>
  <c r="H1419" i="1"/>
  <c r="G1419" i="1"/>
  <c r="A1419" i="1"/>
  <c r="J1418" i="1"/>
  <c r="I1418" i="1"/>
  <c r="H1418" i="1"/>
  <c r="G1418" i="1"/>
  <c r="A1418" i="1"/>
  <c r="J1417" i="1"/>
  <c r="I1417" i="1"/>
  <c r="H1417" i="1"/>
  <c r="G1417" i="1"/>
  <c r="A1417" i="1"/>
  <c r="J1416" i="1"/>
  <c r="I1416" i="1"/>
  <c r="H1416" i="1"/>
  <c r="G1416" i="1"/>
  <c r="A1416" i="1"/>
  <c r="J1415" i="1"/>
  <c r="I1415" i="1"/>
  <c r="H1415" i="1"/>
  <c r="G1415" i="1"/>
  <c r="A1415" i="1"/>
  <c r="J1414" i="1"/>
  <c r="I1414" i="1"/>
  <c r="H1414" i="1"/>
  <c r="G1414" i="1"/>
  <c r="A1414" i="1"/>
  <c r="J1413" i="1"/>
  <c r="I1413" i="1"/>
  <c r="H1413" i="1"/>
  <c r="G1413" i="1"/>
  <c r="A1413" i="1"/>
  <c r="J1412" i="1"/>
  <c r="I1412" i="1"/>
  <c r="H1412" i="1"/>
  <c r="G1412" i="1"/>
  <c r="A1412" i="1"/>
  <c r="J1411" i="1"/>
  <c r="I1411" i="1"/>
  <c r="H1411" i="1"/>
  <c r="G1411" i="1"/>
  <c r="A1411" i="1"/>
  <c r="J1410" i="1"/>
  <c r="I1410" i="1"/>
  <c r="H1410" i="1"/>
  <c r="G1410" i="1"/>
  <c r="A1410" i="1"/>
  <c r="J1409" i="1"/>
  <c r="I1409" i="1"/>
  <c r="H1409" i="1"/>
  <c r="G1409" i="1"/>
  <c r="A1409" i="1"/>
  <c r="J1408" i="1"/>
  <c r="I1408" i="1"/>
  <c r="H1408" i="1"/>
  <c r="G1408" i="1"/>
  <c r="A1408" i="1"/>
  <c r="J1407" i="1"/>
  <c r="I1407" i="1"/>
  <c r="H1407" i="1"/>
  <c r="G1407" i="1"/>
  <c r="A1407" i="1"/>
  <c r="J1406" i="1"/>
  <c r="I1406" i="1"/>
  <c r="H1406" i="1"/>
  <c r="G1406" i="1"/>
  <c r="A1406" i="1"/>
  <c r="J1405" i="1"/>
  <c r="I1405" i="1"/>
  <c r="H1405" i="1"/>
  <c r="G1405" i="1"/>
  <c r="A1405" i="1"/>
  <c r="J1404" i="1"/>
  <c r="I1404" i="1"/>
  <c r="H1404" i="1"/>
  <c r="G1404" i="1"/>
  <c r="A1404" i="1"/>
  <c r="J1403" i="1"/>
  <c r="I1403" i="1"/>
  <c r="H1403" i="1"/>
  <c r="G1403" i="1"/>
  <c r="A1403" i="1"/>
  <c r="J1402" i="1"/>
  <c r="I1402" i="1"/>
  <c r="H1402" i="1"/>
  <c r="G1402" i="1"/>
  <c r="A1402" i="1"/>
  <c r="J1401" i="1"/>
  <c r="I1401" i="1"/>
  <c r="H1401" i="1"/>
  <c r="G1401" i="1"/>
  <c r="A1401" i="1"/>
  <c r="J1400" i="1"/>
  <c r="I1400" i="1"/>
  <c r="H1400" i="1"/>
  <c r="G1400" i="1"/>
  <c r="A1400" i="1"/>
  <c r="J1399" i="1"/>
  <c r="I1399" i="1"/>
  <c r="H1399" i="1"/>
  <c r="G1399" i="1"/>
  <c r="A1399" i="1"/>
  <c r="J1398" i="1"/>
  <c r="I1398" i="1"/>
  <c r="H1398" i="1"/>
  <c r="G1398" i="1"/>
  <c r="A1398" i="1"/>
  <c r="J1397" i="1"/>
  <c r="I1397" i="1"/>
  <c r="H1397" i="1"/>
  <c r="G1397" i="1"/>
  <c r="A1397" i="1"/>
  <c r="J1396" i="1"/>
  <c r="I1396" i="1"/>
  <c r="H1396" i="1"/>
  <c r="G1396" i="1"/>
  <c r="A1396" i="1"/>
  <c r="J1395" i="1"/>
  <c r="I1395" i="1"/>
  <c r="H1395" i="1"/>
  <c r="G1395" i="1"/>
  <c r="A1395" i="1"/>
  <c r="J1394" i="1"/>
  <c r="I1394" i="1"/>
  <c r="H1394" i="1"/>
  <c r="G1394" i="1"/>
  <c r="A1394" i="1"/>
  <c r="J1393" i="1"/>
  <c r="I1393" i="1"/>
  <c r="H1393" i="1"/>
  <c r="G1393" i="1"/>
  <c r="A1393" i="1"/>
  <c r="J1392" i="1"/>
  <c r="I1392" i="1"/>
  <c r="H1392" i="1"/>
  <c r="G1392" i="1"/>
  <c r="A1392" i="1"/>
  <c r="J1391" i="1"/>
  <c r="I1391" i="1"/>
  <c r="H1391" i="1"/>
  <c r="G1391" i="1"/>
  <c r="A1391" i="1"/>
  <c r="J1390" i="1"/>
  <c r="I1390" i="1"/>
  <c r="H1390" i="1"/>
  <c r="G1390" i="1"/>
  <c r="A1390" i="1"/>
  <c r="J1389" i="1"/>
  <c r="I1389" i="1"/>
  <c r="H1389" i="1"/>
  <c r="G1389" i="1"/>
  <c r="A1389" i="1"/>
  <c r="J1388" i="1"/>
  <c r="I1388" i="1"/>
  <c r="H1388" i="1"/>
  <c r="G1388" i="1"/>
  <c r="A1388" i="1"/>
  <c r="J1387" i="1"/>
  <c r="I1387" i="1"/>
  <c r="H1387" i="1"/>
  <c r="G1387" i="1"/>
  <c r="A1387" i="1"/>
  <c r="J1386" i="1"/>
  <c r="I1386" i="1"/>
  <c r="H1386" i="1"/>
  <c r="G1386" i="1"/>
  <c r="A1386" i="1"/>
  <c r="J1385" i="1"/>
  <c r="I1385" i="1"/>
  <c r="H1385" i="1"/>
  <c r="G1385" i="1"/>
  <c r="A1385" i="1"/>
  <c r="J1384" i="1"/>
  <c r="I1384" i="1"/>
  <c r="H1384" i="1"/>
  <c r="G1384" i="1"/>
  <c r="A1384" i="1"/>
  <c r="J1383" i="1"/>
  <c r="I1383" i="1"/>
  <c r="H1383" i="1"/>
  <c r="G1383" i="1"/>
  <c r="A1383" i="1"/>
  <c r="J1382" i="1"/>
  <c r="I1382" i="1"/>
  <c r="H1382" i="1"/>
  <c r="G1382" i="1"/>
  <c r="A1382" i="1"/>
  <c r="J1381" i="1"/>
  <c r="I1381" i="1"/>
  <c r="H1381" i="1"/>
  <c r="G1381" i="1"/>
  <c r="A1381" i="1"/>
  <c r="J1380" i="1"/>
  <c r="I1380" i="1"/>
  <c r="H1380" i="1"/>
  <c r="G1380" i="1"/>
  <c r="A1380" i="1"/>
  <c r="J1379" i="1"/>
  <c r="I1379" i="1"/>
  <c r="H1379" i="1"/>
  <c r="G1379" i="1"/>
  <c r="A1379" i="1"/>
  <c r="J1378" i="1"/>
  <c r="I1378" i="1"/>
  <c r="H1378" i="1"/>
  <c r="G1378" i="1"/>
  <c r="A1378" i="1"/>
  <c r="J1377" i="1"/>
  <c r="I1377" i="1"/>
  <c r="H1377" i="1"/>
  <c r="G1377" i="1"/>
  <c r="A1377" i="1"/>
  <c r="J1376" i="1"/>
  <c r="I1376" i="1"/>
  <c r="H1376" i="1"/>
  <c r="G1376" i="1"/>
  <c r="A1376" i="1"/>
  <c r="J1375" i="1"/>
  <c r="I1375" i="1"/>
  <c r="H1375" i="1"/>
  <c r="G1375" i="1"/>
  <c r="A1375" i="1"/>
  <c r="J1374" i="1"/>
  <c r="I1374" i="1"/>
  <c r="H1374" i="1"/>
  <c r="G1374" i="1"/>
  <c r="A1374" i="1"/>
  <c r="J1373" i="1"/>
  <c r="I1373" i="1"/>
  <c r="H1373" i="1"/>
  <c r="G1373" i="1"/>
  <c r="A1373" i="1"/>
  <c r="J1372" i="1"/>
  <c r="I1372" i="1"/>
  <c r="H1372" i="1"/>
  <c r="G1372" i="1"/>
  <c r="A1372" i="1"/>
  <c r="J1371" i="1"/>
  <c r="I1371" i="1"/>
  <c r="H1371" i="1"/>
  <c r="G1371" i="1"/>
  <c r="A1371" i="1"/>
  <c r="J1370" i="1"/>
  <c r="I1370" i="1"/>
  <c r="H1370" i="1"/>
  <c r="G1370" i="1"/>
  <c r="A1370" i="1"/>
  <c r="J1369" i="1"/>
  <c r="I1369" i="1"/>
  <c r="H1369" i="1"/>
  <c r="G1369" i="1"/>
  <c r="A1369" i="1"/>
  <c r="J1368" i="1"/>
  <c r="I1368" i="1"/>
  <c r="H1368" i="1"/>
  <c r="G1368" i="1"/>
  <c r="A1368" i="1"/>
  <c r="J1367" i="1"/>
  <c r="I1367" i="1"/>
  <c r="H1367" i="1"/>
  <c r="G1367" i="1"/>
  <c r="A1367" i="1"/>
  <c r="J1366" i="1"/>
  <c r="I1366" i="1"/>
  <c r="H1366" i="1"/>
  <c r="G1366" i="1"/>
  <c r="A1366" i="1"/>
  <c r="J1365" i="1"/>
  <c r="I1365" i="1"/>
  <c r="H1365" i="1"/>
  <c r="G1365" i="1"/>
  <c r="A1365" i="1"/>
  <c r="J1364" i="1"/>
  <c r="I1364" i="1"/>
  <c r="H1364" i="1"/>
  <c r="G1364" i="1"/>
  <c r="A1364" i="1"/>
  <c r="J1363" i="1"/>
  <c r="I1363" i="1"/>
  <c r="H1363" i="1"/>
  <c r="G1363" i="1"/>
  <c r="A1363" i="1"/>
  <c r="J1362" i="1"/>
  <c r="I1362" i="1"/>
  <c r="H1362" i="1"/>
  <c r="G1362" i="1"/>
  <c r="A1362" i="1"/>
  <c r="J1361" i="1"/>
  <c r="I1361" i="1"/>
  <c r="H1361" i="1"/>
  <c r="G1361" i="1"/>
  <c r="A1361" i="1"/>
  <c r="J1360" i="1"/>
  <c r="I1360" i="1"/>
  <c r="H1360" i="1"/>
  <c r="G1360" i="1"/>
  <c r="A1360" i="1"/>
  <c r="J1359" i="1"/>
  <c r="I1359" i="1"/>
  <c r="H1359" i="1"/>
  <c r="G1359" i="1"/>
  <c r="A1359" i="1"/>
  <c r="J1358" i="1"/>
  <c r="I1358" i="1"/>
  <c r="H1358" i="1"/>
  <c r="G1358" i="1"/>
  <c r="A1358" i="1"/>
  <c r="J1357" i="1"/>
  <c r="I1357" i="1"/>
  <c r="H1357" i="1"/>
  <c r="G1357" i="1"/>
  <c r="A1357" i="1"/>
  <c r="J1356" i="1"/>
  <c r="I1356" i="1"/>
  <c r="H1356" i="1"/>
  <c r="G1356" i="1"/>
  <c r="A1356" i="1"/>
  <c r="J1355" i="1"/>
  <c r="I1355" i="1"/>
  <c r="H1355" i="1"/>
  <c r="G1355" i="1"/>
  <c r="A1355" i="1"/>
  <c r="J1354" i="1"/>
  <c r="I1354" i="1"/>
  <c r="H1354" i="1"/>
  <c r="G1354" i="1"/>
  <c r="A1354" i="1"/>
  <c r="J1353" i="1"/>
  <c r="I1353" i="1"/>
  <c r="H1353" i="1"/>
  <c r="G1353" i="1"/>
  <c r="A1353" i="1"/>
  <c r="J1352" i="1"/>
  <c r="I1352" i="1"/>
  <c r="H1352" i="1"/>
  <c r="G1352" i="1"/>
  <c r="A1352" i="1"/>
  <c r="J1351" i="1"/>
  <c r="I1351" i="1"/>
  <c r="H1351" i="1"/>
  <c r="G1351" i="1"/>
  <c r="A1351" i="1"/>
  <c r="J1350" i="1"/>
  <c r="I1350" i="1"/>
  <c r="H1350" i="1"/>
  <c r="G1350" i="1"/>
  <c r="A1350" i="1"/>
  <c r="J1349" i="1"/>
  <c r="I1349" i="1"/>
  <c r="H1349" i="1"/>
  <c r="G1349" i="1"/>
  <c r="A1349" i="1"/>
  <c r="J1348" i="1"/>
  <c r="I1348" i="1"/>
  <c r="H1348" i="1"/>
  <c r="G1348" i="1"/>
  <c r="A1348" i="1"/>
  <c r="J1347" i="1"/>
  <c r="I1347" i="1"/>
  <c r="H1347" i="1"/>
  <c r="G1347" i="1"/>
  <c r="A1347" i="1"/>
  <c r="J1346" i="1"/>
  <c r="I1346" i="1"/>
  <c r="H1346" i="1"/>
  <c r="G1346" i="1"/>
  <c r="A1346" i="1"/>
  <c r="J1345" i="1"/>
  <c r="I1345" i="1"/>
  <c r="H1345" i="1"/>
  <c r="G1345" i="1"/>
  <c r="A1345" i="1"/>
  <c r="J1344" i="1"/>
  <c r="I1344" i="1"/>
  <c r="H1344" i="1"/>
  <c r="G1344" i="1"/>
  <c r="A1344" i="1"/>
  <c r="J1343" i="1"/>
  <c r="I1343" i="1"/>
  <c r="H1343" i="1"/>
  <c r="G1343" i="1"/>
  <c r="A1343" i="1"/>
  <c r="J1342" i="1"/>
  <c r="I1342" i="1"/>
  <c r="H1342" i="1"/>
  <c r="G1342" i="1"/>
  <c r="A1342" i="1"/>
  <c r="J1341" i="1"/>
  <c r="I1341" i="1"/>
  <c r="H1341" i="1"/>
  <c r="G1341" i="1"/>
  <c r="A1341" i="1"/>
  <c r="J1340" i="1"/>
  <c r="I1340" i="1"/>
  <c r="H1340" i="1"/>
  <c r="G1340" i="1"/>
  <c r="A1340" i="1"/>
  <c r="J1339" i="1"/>
  <c r="I1339" i="1"/>
  <c r="H1339" i="1"/>
  <c r="G1339" i="1"/>
  <c r="A1339" i="1"/>
  <c r="J1338" i="1"/>
  <c r="I1338" i="1"/>
  <c r="H1338" i="1"/>
  <c r="G1338" i="1"/>
  <c r="A1338" i="1"/>
  <c r="J1337" i="1"/>
  <c r="I1337" i="1"/>
  <c r="H1337" i="1"/>
  <c r="G1337" i="1"/>
  <c r="A1337" i="1"/>
  <c r="J1336" i="1"/>
  <c r="I1336" i="1"/>
  <c r="H1336" i="1"/>
  <c r="G1336" i="1"/>
  <c r="A1336" i="1"/>
  <c r="J1335" i="1"/>
  <c r="I1335" i="1"/>
  <c r="H1335" i="1"/>
  <c r="G1335" i="1"/>
  <c r="A1335" i="1"/>
  <c r="J1334" i="1"/>
  <c r="I1334" i="1"/>
  <c r="H1334" i="1"/>
  <c r="G1334" i="1"/>
  <c r="A1334" i="1"/>
  <c r="J1333" i="1"/>
  <c r="I1333" i="1"/>
  <c r="H1333" i="1"/>
  <c r="G1333" i="1"/>
  <c r="A1333" i="1"/>
  <c r="J1332" i="1"/>
  <c r="I1332" i="1"/>
  <c r="H1332" i="1"/>
  <c r="G1332" i="1"/>
  <c r="A1332" i="1"/>
  <c r="J1331" i="1"/>
  <c r="I1331" i="1"/>
  <c r="H1331" i="1"/>
  <c r="G1331" i="1"/>
  <c r="A1331" i="1"/>
  <c r="J1330" i="1"/>
  <c r="I1330" i="1"/>
  <c r="H1330" i="1"/>
  <c r="G1330" i="1"/>
  <c r="A1330" i="1"/>
  <c r="J1329" i="1"/>
  <c r="I1329" i="1"/>
  <c r="H1329" i="1"/>
  <c r="G1329" i="1"/>
  <c r="A1329" i="1"/>
  <c r="J1328" i="1"/>
  <c r="I1328" i="1"/>
  <c r="H1328" i="1"/>
  <c r="G1328" i="1"/>
  <c r="A1328" i="1"/>
  <c r="J1327" i="1"/>
  <c r="I1327" i="1"/>
  <c r="H1327" i="1"/>
  <c r="G1327" i="1"/>
  <c r="A1327" i="1"/>
  <c r="J1326" i="1"/>
  <c r="I1326" i="1"/>
  <c r="H1326" i="1"/>
  <c r="G1326" i="1"/>
  <c r="A1326" i="1"/>
  <c r="J1325" i="1"/>
  <c r="I1325" i="1"/>
  <c r="H1325" i="1"/>
  <c r="G1325" i="1"/>
  <c r="A1325" i="1"/>
  <c r="J1324" i="1"/>
  <c r="I1324" i="1"/>
  <c r="H1324" i="1"/>
  <c r="G1324" i="1"/>
  <c r="A1324" i="1"/>
  <c r="J1323" i="1"/>
  <c r="I1323" i="1"/>
  <c r="H1323" i="1"/>
  <c r="G1323" i="1"/>
  <c r="A1323" i="1"/>
  <c r="J1322" i="1"/>
  <c r="I1322" i="1"/>
  <c r="H1322" i="1"/>
  <c r="G1322" i="1"/>
  <c r="A1322" i="1"/>
  <c r="J1321" i="1"/>
  <c r="I1321" i="1"/>
  <c r="H1321" i="1"/>
  <c r="G1321" i="1"/>
  <c r="A1321" i="1"/>
  <c r="J1320" i="1"/>
  <c r="I1320" i="1"/>
  <c r="H1320" i="1"/>
  <c r="G1320" i="1"/>
  <c r="A1320" i="1"/>
  <c r="J1319" i="1"/>
  <c r="I1319" i="1"/>
  <c r="H1319" i="1"/>
  <c r="G1319" i="1"/>
  <c r="A1319" i="1"/>
  <c r="J1318" i="1"/>
  <c r="I1318" i="1"/>
  <c r="H1318" i="1"/>
  <c r="G1318" i="1"/>
  <c r="A1318" i="1"/>
  <c r="J1317" i="1"/>
  <c r="I1317" i="1"/>
  <c r="H1317" i="1"/>
  <c r="G1317" i="1"/>
  <c r="A1317" i="1"/>
  <c r="J1316" i="1"/>
  <c r="I1316" i="1"/>
  <c r="H1316" i="1"/>
  <c r="G1316" i="1"/>
  <c r="A1316" i="1"/>
  <c r="J1315" i="1"/>
  <c r="I1315" i="1"/>
  <c r="H1315" i="1"/>
  <c r="G1315" i="1"/>
  <c r="A1315" i="1"/>
  <c r="J1314" i="1"/>
  <c r="I1314" i="1"/>
  <c r="H1314" i="1"/>
  <c r="G1314" i="1"/>
  <c r="A1314" i="1"/>
  <c r="J1313" i="1"/>
  <c r="I1313" i="1"/>
  <c r="H1313" i="1"/>
  <c r="G1313" i="1"/>
  <c r="A1313" i="1"/>
  <c r="J1312" i="1"/>
  <c r="I1312" i="1"/>
  <c r="H1312" i="1"/>
  <c r="G1312" i="1"/>
  <c r="A1312" i="1"/>
  <c r="J1311" i="1"/>
  <c r="I1311" i="1"/>
  <c r="H1311" i="1"/>
  <c r="G1311" i="1"/>
  <c r="A1311" i="1"/>
  <c r="J1310" i="1"/>
  <c r="I1310" i="1"/>
  <c r="H1310" i="1"/>
  <c r="G1310" i="1"/>
  <c r="A1310" i="1"/>
  <c r="J1309" i="1"/>
  <c r="I1309" i="1"/>
  <c r="H1309" i="1"/>
  <c r="G1309" i="1"/>
  <c r="A1309" i="1"/>
  <c r="J1308" i="1"/>
  <c r="I1308" i="1"/>
  <c r="H1308" i="1"/>
  <c r="G1308" i="1"/>
  <c r="A1308" i="1"/>
  <c r="J1307" i="1"/>
  <c r="I1307" i="1"/>
  <c r="H1307" i="1"/>
  <c r="G1307" i="1"/>
  <c r="A1307" i="1"/>
  <c r="J1306" i="1"/>
  <c r="I1306" i="1"/>
  <c r="H1306" i="1"/>
  <c r="G1306" i="1"/>
  <c r="A1306" i="1"/>
  <c r="J1305" i="1"/>
  <c r="I1305" i="1"/>
  <c r="H1305" i="1"/>
  <c r="G1305" i="1"/>
  <c r="A1305" i="1"/>
  <c r="J1304" i="1"/>
  <c r="I1304" i="1"/>
  <c r="H1304" i="1"/>
  <c r="G1304" i="1"/>
  <c r="A1304" i="1"/>
  <c r="J1303" i="1"/>
  <c r="I1303" i="1"/>
  <c r="H1303" i="1"/>
  <c r="G1303" i="1"/>
  <c r="A1303" i="1"/>
  <c r="J1302" i="1"/>
  <c r="I1302" i="1"/>
  <c r="H1302" i="1"/>
  <c r="G1302" i="1"/>
  <c r="A1302" i="1"/>
  <c r="J1301" i="1"/>
  <c r="I1301" i="1"/>
  <c r="H1301" i="1"/>
  <c r="G1301" i="1"/>
  <c r="A1301" i="1"/>
  <c r="J1300" i="1"/>
  <c r="I1300" i="1"/>
  <c r="H1300" i="1"/>
  <c r="G1300" i="1"/>
  <c r="A1300" i="1"/>
  <c r="J1299" i="1"/>
  <c r="I1299" i="1"/>
  <c r="H1299" i="1"/>
  <c r="G1299" i="1"/>
  <c r="A1299" i="1"/>
  <c r="J1298" i="1"/>
  <c r="I1298" i="1"/>
  <c r="H1298" i="1"/>
  <c r="G1298" i="1"/>
  <c r="A1298" i="1"/>
  <c r="J1297" i="1"/>
  <c r="I1297" i="1"/>
  <c r="H1297" i="1"/>
  <c r="G1297" i="1"/>
  <c r="A1297" i="1"/>
  <c r="J1296" i="1"/>
  <c r="I1296" i="1"/>
  <c r="H1296" i="1"/>
  <c r="G1296" i="1"/>
  <c r="A1296" i="1"/>
  <c r="J1295" i="1"/>
  <c r="I1295" i="1"/>
  <c r="H1295" i="1"/>
  <c r="G1295" i="1"/>
  <c r="A1295" i="1"/>
  <c r="J1294" i="1"/>
  <c r="I1294" i="1"/>
  <c r="H1294" i="1"/>
  <c r="G1294" i="1"/>
  <c r="A1294" i="1"/>
  <c r="J1293" i="1"/>
  <c r="I1293" i="1"/>
  <c r="H1293" i="1"/>
  <c r="G1293" i="1"/>
  <c r="A1293" i="1"/>
  <c r="J1292" i="1"/>
  <c r="I1292" i="1"/>
  <c r="H1292" i="1"/>
  <c r="G1292" i="1"/>
  <c r="A1292" i="1"/>
  <c r="J1291" i="1"/>
  <c r="I1291" i="1"/>
  <c r="H1291" i="1"/>
  <c r="G1291" i="1"/>
  <c r="A1291" i="1"/>
  <c r="J1290" i="1"/>
  <c r="I1290" i="1"/>
  <c r="H1290" i="1"/>
  <c r="G1290" i="1"/>
  <c r="A1290" i="1"/>
  <c r="J1289" i="1"/>
  <c r="I1289" i="1"/>
  <c r="H1289" i="1"/>
  <c r="G1289" i="1"/>
  <c r="A1289" i="1"/>
  <c r="J1288" i="1"/>
  <c r="I1288" i="1"/>
  <c r="H1288" i="1"/>
  <c r="G1288" i="1"/>
  <c r="A1288" i="1"/>
  <c r="J1287" i="1"/>
  <c r="I1287" i="1"/>
  <c r="H1287" i="1"/>
  <c r="G1287" i="1"/>
  <c r="A1287" i="1"/>
  <c r="J1286" i="1"/>
  <c r="I1286" i="1"/>
  <c r="H1286" i="1"/>
  <c r="G1286" i="1"/>
  <c r="A1286" i="1"/>
  <c r="J1285" i="1"/>
  <c r="I1285" i="1"/>
  <c r="H1285" i="1"/>
  <c r="G1285" i="1"/>
  <c r="A1285" i="1"/>
  <c r="J1284" i="1"/>
  <c r="I1284" i="1"/>
  <c r="H1284" i="1"/>
  <c r="G1284" i="1"/>
  <c r="A1284" i="1"/>
  <c r="J1283" i="1"/>
  <c r="I1283" i="1"/>
  <c r="H1283" i="1"/>
  <c r="G1283" i="1"/>
  <c r="A1283" i="1"/>
  <c r="J1282" i="1"/>
  <c r="I1282" i="1"/>
  <c r="H1282" i="1"/>
  <c r="G1282" i="1"/>
  <c r="A1282" i="1"/>
  <c r="J1281" i="1"/>
  <c r="I1281" i="1"/>
  <c r="H1281" i="1"/>
  <c r="G1281" i="1"/>
  <c r="A1281" i="1"/>
  <c r="J1280" i="1"/>
  <c r="I1280" i="1"/>
  <c r="H1280" i="1"/>
  <c r="G1280" i="1"/>
  <c r="A1280" i="1"/>
  <c r="J1279" i="1"/>
  <c r="I1279" i="1"/>
  <c r="H1279" i="1"/>
  <c r="G1279" i="1"/>
  <c r="A1279" i="1"/>
  <c r="J1278" i="1"/>
  <c r="I1278" i="1"/>
  <c r="H1278" i="1"/>
  <c r="G1278" i="1"/>
  <c r="A1278" i="1"/>
  <c r="J1277" i="1"/>
  <c r="I1277" i="1"/>
  <c r="H1277" i="1"/>
  <c r="G1277" i="1"/>
  <c r="A1277" i="1"/>
  <c r="J1276" i="1"/>
  <c r="I1276" i="1"/>
  <c r="H1276" i="1"/>
  <c r="G1276" i="1"/>
  <c r="A1276" i="1"/>
  <c r="J1275" i="1"/>
  <c r="I1275" i="1"/>
  <c r="H1275" i="1"/>
  <c r="G1275" i="1"/>
  <c r="A1275" i="1"/>
  <c r="J1274" i="1"/>
  <c r="I1274" i="1"/>
  <c r="H1274" i="1"/>
  <c r="G1274" i="1"/>
  <c r="A1274" i="1"/>
  <c r="J1273" i="1"/>
  <c r="I1273" i="1"/>
  <c r="H1273" i="1"/>
  <c r="G1273" i="1"/>
  <c r="A1273" i="1"/>
  <c r="J1272" i="1"/>
  <c r="I1272" i="1"/>
  <c r="H1272" i="1"/>
  <c r="G1272" i="1"/>
  <c r="A1272" i="1"/>
  <c r="J1271" i="1"/>
  <c r="I1271" i="1"/>
  <c r="H1271" i="1"/>
  <c r="G1271" i="1"/>
  <c r="A1271" i="1"/>
  <c r="J1270" i="1"/>
  <c r="I1270" i="1"/>
  <c r="H1270" i="1"/>
  <c r="G1270" i="1"/>
  <c r="A1270" i="1"/>
  <c r="J1269" i="1"/>
  <c r="I1269" i="1"/>
  <c r="H1269" i="1"/>
  <c r="G1269" i="1"/>
  <c r="A1269" i="1"/>
  <c r="J1268" i="1"/>
  <c r="I1268" i="1"/>
  <c r="H1268" i="1"/>
  <c r="G1268" i="1"/>
  <c r="A1268" i="1"/>
  <c r="J1267" i="1"/>
  <c r="I1267" i="1"/>
  <c r="H1267" i="1"/>
  <c r="G1267" i="1"/>
  <c r="A1267" i="1"/>
  <c r="J1266" i="1"/>
  <c r="I1266" i="1"/>
  <c r="H1266" i="1"/>
  <c r="G1266" i="1"/>
  <c r="A1266" i="1"/>
  <c r="J1265" i="1"/>
  <c r="I1265" i="1"/>
  <c r="H1265" i="1"/>
  <c r="G1265" i="1"/>
  <c r="A1265" i="1"/>
  <c r="J1264" i="1"/>
  <c r="I1264" i="1"/>
  <c r="H1264" i="1"/>
  <c r="G1264" i="1"/>
  <c r="A1264" i="1"/>
  <c r="J1263" i="1"/>
  <c r="I1263" i="1"/>
  <c r="H1263" i="1"/>
  <c r="G1263" i="1"/>
  <c r="A1263" i="1"/>
  <c r="J1262" i="1"/>
  <c r="I1262" i="1"/>
  <c r="H1262" i="1"/>
  <c r="G1262" i="1"/>
  <c r="A1262" i="1"/>
  <c r="J1261" i="1"/>
  <c r="I1261" i="1"/>
  <c r="H1261" i="1"/>
  <c r="G1261" i="1"/>
  <c r="A1261" i="1"/>
  <c r="J1260" i="1"/>
  <c r="I1260" i="1"/>
  <c r="H1260" i="1"/>
  <c r="G1260" i="1"/>
  <c r="A1260" i="1"/>
  <c r="J1259" i="1"/>
  <c r="I1259" i="1"/>
  <c r="H1259" i="1"/>
  <c r="G1259" i="1"/>
  <c r="A1259" i="1"/>
  <c r="J1258" i="1"/>
  <c r="I1258" i="1"/>
  <c r="H1258" i="1"/>
  <c r="G1258" i="1"/>
  <c r="A1258" i="1"/>
  <c r="J1257" i="1"/>
  <c r="I1257" i="1"/>
  <c r="H1257" i="1"/>
  <c r="G1257" i="1"/>
  <c r="A1257" i="1"/>
  <c r="J1256" i="1"/>
  <c r="I1256" i="1"/>
  <c r="H1256" i="1"/>
  <c r="G1256" i="1"/>
  <c r="A1256" i="1"/>
  <c r="J1255" i="1"/>
  <c r="I1255" i="1"/>
  <c r="H1255" i="1"/>
  <c r="G1255" i="1"/>
  <c r="A1255" i="1"/>
  <c r="J1254" i="1"/>
  <c r="I1254" i="1"/>
  <c r="H1254" i="1"/>
  <c r="G1254" i="1"/>
  <c r="A1254" i="1"/>
  <c r="J1253" i="1"/>
  <c r="I1253" i="1"/>
  <c r="H1253" i="1"/>
  <c r="G1253" i="1"/>
  <c r="A1253" i="1"/>
  <c r="J1252" i="1"/>
  <c r="I1252" i="1"/>
  <c r="H1252" i="1"/>
  <c r="G1252" i="1"/>
  <c r="A1252" i="1"/>
  <c r="J1251" i="1"/>
  <c r="I1251" i="1"/>
  <c r="H1251" i="1"/>
  <c r="G1251" i="1"/>
  <c r="A1251" i="1"/>
  <c r="J1250" i="1"/>
  <c r="I1250" i="1"/>
  <c r="H1250" i="1"/>
  <c r="G1250" i="1"/>
  <c r="A1250" i="1"/>
  <c r="J1249" i="1"/>
  <c r="I1249" i="1"/>
  <c r="H1249" i="1"/>
  <c r="G1249" i="1"/>
  <c r="A1249" i="1"/>
  <c r="J1248" i="1"/>
  <c r="I1248" i="1"/>
  <c r="H1248" i="1"/>
  <c r="G1248" i="1"/>
  <c r="A1248" i="1"/>
  <c r="J1247" i="1"/>
  <c r="I1247" i="1"/>
  <c r="H1247" i="1"/>
  <c r="G1247" i="1"/>
  <c r="A1247" i="1"/>
  <c r="J1246" i="1"/>
  <c r="I1246" i="1"/>
  <c r="H1246" i="1"/>
  <c r="G1246" i="1"/>
  <c r="A1246" i="1"/>
  <c r="J1245" i="1"/>
  <c r="I1245" i="1"/>
  <c r="H1245" i="1"/>
  <c r="G1245" i="1"/>
  <c r="A1245" i="1"/>
  <c r="J1244" i="1"/>
  <c r="I1244" i="1"/>
  <c r="H1244" i="1"/>
  <c r="G1244" i="1"/>
  <c r="A1244" i="1"/>
  <c r="J1243" i="1"/>
  <c r="I1243" i="1"/>
  <c r="H1243" i="1"/>
  <c r="G1243" i="1"/>
  <c r="A1243" i="1"/>
  <c r="J1242" i="1"/>
  <c r="I1242" i="1"/>
  <c r="H1242" i="1"/>
  <c r="G1242" i="1"/>
  <c r="A1242" i="1"/>
  <c r="J1241" i="1"/>
  <c r="I1241" i="1"/>
  <c r="H1241" i="1"/>
  <c r="G1241" i="1"/>
  <c r="A1241" i="1"/>
  <c r="J1240" i="1"/>
  <c r="I1240" i="1"/>
  <c r="H1240" i="1"/>
  <c r="G1240" i="1"/>
  <c r="A1240" i="1"/>
  <c r="J1239" i="1"/>
  <c r="I1239" i="1"/>
  <c r="H1239" i="1"/>
  <c r="G1239" i="1"/>
  <c r="A1239" i="1"/>
  <c r="J1238" i="1"/>
  <c r="I1238" i="1"/>
  <c r="H1238" i="1"/>
  <c r="G1238" i="1"/>
  <c r="A1238" i="1"/>
  <c r="J1237" i="1"/>
  <c r="I1237" i="1"/>
  <c r="H1237" i="1"/>
  <c r="G1237" i="1"/>
  <c r="A1237" i="1"/>
  <c r="J1236" i="1"/>
  <c r="I1236" i="1"/>
  <c r="H1236" i="1"/>
  <c r="G1236" i="1"/>
  <c r="A1236" i="1"/>
  <c r="J1235" i="1"/>
  <c r="I1235" i="1"/>
  <c r="H1235" i="1"/>
  <c r="G1235" i="1"/>
  <c r="A1235" i="1"/>
  <c r="J1234" i="1"/>
  <c r="I1234" i="1"/>
  <c r="H1234" i="1"/>
  <c r="G1234" i="1"/>
  <c r="A1234" i="1"/>
  <c r="J1233" i="1"/>
  <c r="I1233" i="1"/>
  <c r="H1233" i="1"/>
  <c r="G1233" i="1"/>
  <c r="A1233" i="1"/>
  <c r="J1232" i="1"/>
  <c r="I1232" i="1"/>
  <c r="H1232" i="1"/>
  <c r="G1232" i="1"/>
  <c r="A1232" i="1"/>
  <c r="J1231" i="1"/>
  <c r="I1231" i="1"/>
  <c r="H1231" i="1"/>
  <c r="G1231" i="1"/>
  <c r="A1231" i="1"/>
  <c r="J1230" i="1"/>
  <c r="I1230" i="1"/>
  <c r="H1230" i="1"/>
  <c r="G1230" i="1"/>
  <c r="A1230" i="1"/>
  <c r="J1229" i="1"/>
  <c r="I1229" i="1"/>
  <c r="H1229" i="1"/>
  <c r="G1229" i="1"/>
  <c r="A1229" i="1"/>
  <c r="J1228" i="1"/>
  <c r="I1228" i="1"/>
  <c r="H1228" i="1"/>
  <c r="G1228" i="1"/>
  <c r="A1228" i="1"/>
  <c r="J1227" i="1"/>
  <c r="I1227" i="1"/>
  <c r="H1227" i="1"/>
  <c r="G1227" i="1"/>
  <c r="A1227" i="1"/>
  <c r="J1226" i="1"/>
  <c r="I1226" i="1"/>
  <c r="H1226" i="1"/>
  <c r="G1226" i="1"/>
  <c r="A1226" i="1"/>
  <c r="J1225" i="1"/>
  <c r="I1225" i="1"/>
  <c r="H1225" i="1"/>
  <c r="G1225" i="1"/>
  <c r="A1225" i="1"/>
  <c r="J1224" i="1"/>
  <c r="I1224" i="1"/>
  <c r="H1224" i="1"/>
  <c r="G1224" i="1"/>
  <c r="A1224" i="1"/>
  <c r="J1223" i="1"/>
  <c r="I1223" i="1"/>
  <c r="H1223" i="1"/>
  <c r="G1223" i="1"/>
  <c r="A1223" i="1"/>
  <c r="J1222" i="1"/>
  <c r="I1222" i="1"/>
  <c r="H1222" i="1"/>
  <c r="G1222" i="1"/>
  <c r="A1222" i="1"/>
  <c r="J1221" i="1"/>
  <c r="I1221" i="1"/>
  <c r="H1221" i="1"/>
  <c r="G1221" i="1"/>
  <c r="A1221" i="1"/>
  <c r="J1220" i="1"/>
  <c r="I1220" i="1"/>
  <c r="H1220" i="1"/>
  <c r="G1220" i="1"/>
  <c r="A1220" i="1"/>
  <c r="J1219" i="1"/>
  <c r="I1219" i="1"/>
  <c r="H1219" i="1"/>
  <c r="G1219" i="1"/>
  <c r="A1219" i="1"/>
  <c r="J1218" i="1"/>
  <c r="I1218" i="1"/>
  <c r="H1218" i="1"/>
  <c r="G1218" i="1"/>
  <c r="A1218" i="1"/>
  <c r="J1217" i="1"/>
  <c r="I1217" i="1"/>
  <c r="H1217" i="1"/>
  <c r="G1217" i="1"/>
  <c r="A1217" i="1"/>
  <c r="J1216" i="1"/>
  <c r="I1216" i="1"/>
  <c r="H1216" i="1"/>
  <c r="G1216" i="1"/>
  <c r="A1216" i="1"/>
  <c r="J1215" i="1"/>
  <c r="I1215" i="1"/>
  <c r="H1215" i="1"/>
  <c r="G1215" i="1"/>
  <c r="A1215" i="1"/>
  <c r="J1214" i="1"/>
  <c r="I1214" i="1"/>
  <c r="H1214" i="1"/>
  <c r="G1214" i="1"/>
  <c r="A1214" i="1"/>
  <c r="J1213" i="1"/>
  <c r="I1213" i="1"/>
  <c r="H1213" i="1"/>
  <c r="G1213" i="1"/>
  <c r="A1213" i="1"/>
  <c r="J1212" i="1"/>
  <c r="I1212" i="1"/>
  <c r="H1212" i="1"/>
  <c r="G1212" i="1"/>
  <c r="A1212" i="1"/>
  <c r="J1211" i="1"/>
  <c r="I1211" i="1"/>
  <c r="H1211" i="1"/>
  <c r="G1211" i="1"/>
  <c r="A1211" i="1"/>
  <c r="J1210" i="1"/>
  <c r="I1210" i="1"/>
  <c r="H1210" i="1"/>
  <c r="G1210" i="1"/>
  <c r="A1210" i="1"/>
  <c r="J1209" i="1"/>
  <c r="I1209" i="1"/>
  <c r="H1209" i="1"/>
  <c r="G1209" i="1"/>
  <c r="A1209" i="1"/>
  <c r="J1208" i="1"/>
  <c r="I1208" i="1"/>
  <c r="H1208" i="1"/>
  <c r="G1208" i="1"/>
  <c r="A1208" i="1"/>
  <c r="J1207" i="1"/>
  <c r="I1207" i="1"/>
  <c r="H1207" i="1"/>
  <c r="G1207" i="1"/>
  <c r="A1207" i="1"/>
  <c r="J1206" i="1"/>
  <c r="I1206" i="1"/>
  <c r="H1206" i="1"/>
  <c r="G1206" i="1"/>
  <c r="A1206" i="1"/>
  <c r="J1205" i="1"/>
  <c r="I1205" i="1"/>
  <c r="H1205" i="1"/>
  <c r="G1205" i="1"/>
  <c r="A1205" i="1"/>
  <c r="J1204" i="1"/>
  <c r="I1204" i="1"/>
  <c r="H1204" i="1"/>
  <c r="G1204" i="1"/>
  <c r="A1204" i="1"/>
  <c r="J1203" i="1"/>
  <c r="I1203" i="1"/>
  <c r="H1203" i="1"/>
  <c r="G1203" i="1"/>
  <c r="A1203" i="1"/>
  <c r="J1202" i="1"/>
  <c r="I1202" i="1"/>
  <c r="H1202" i="1"/>
  <c r="G1202" i="1"/>
  <c r="A1202" i="1"/>
  <c r="J1201" i="1"/>
  <c r="I1201" i="1"/>
  <c r="H1201" i="1"/>
  <c r="G1201" i="1"/>
  <c r="A1201" i="1"/>
  <c r="J1200" i="1"/>
  <c r="I1200" i="1"/>
  <c r="H1200" i="1"/>
  <c r="G1200" i="1"/>
  <c r="A1200" i="1"/>
  <c r="J1199" i="1"/>
  <c r="I1199" i="1"/>
  <c r="H1199" i="1"/>
  <c r="G1199" i="1"/>
  <c r="A1199" i="1"/>
  <c r="J1198" i="1"/>
  <c r="I1198" i="1"/>
  <c r="H1198" i="1"/>
  <c r="G1198" i="1"/>
  <c r="A1198" i="1"/>
  <c r="J1197" i="1"/>
  <c r="I1197" i="1"/>
  <c r="H1197" i="1"/>
  <c r="G1197" i="1"/>
  <c r="A1197" i="1"/>
  <c r="J1196" i="1"/>
  <c r="I1196" i="1"/>
  <c r="H1196" i="1"/>
  <c r="G1196" i="1"/>
  <c r="A1196" i="1"/>
  <c r="J1195" i="1"/>
  <c r="I1195" i="1"/>
  <c r="H1195" i="1"/>
  <c r="G1195" i="1"/>
  <c r="A1195" i="1"/>
  <c r="J1194" i="1"/>
  <c r="I1194" i="1"/>
  <c r="H1194" i="1"/>
  <c r="G1194" i="1"/>
  <c r="A1194" i="1"/>
  <c r="J1193" i="1"/>
  <c r="I1193" i="1"/>
  <c r="H1193" i="1"/>
  <c r="G1193" i="1"/>
  <c r="A1193" i="1"/>
  <c r="J1192" i="1"/>
  <c r="I1192" i="1"/>
  <c r="H1192" i="1"/>
  <c r="G1192" i="1"/>
  <c r="A1192" i="1"/>
  <c r="J1191" i="1"/>
  <c r="I1191" i="1"/>
  <c r="H1191" i="1"/>
  <c r="G1191" i="1"/>
  <c r="A1191" i="1"/>
  <c r="J1190" i="1"/>
  <c r="I1190" i="1"/>
  <c r="H1190" i="1"/>
  <c r="G1190" i="1"/>
  <c r="A1190" i="1"/>
  <c r="J1189" i="1"/>
  <c r="I1189" i="1"/>
  <c r="H1189" i="1"/>
  <c r="G1189" i="1"/>
  <c r="A1189" i="1"/>
  <c r="J1188" i="1"/>
  <c r="I1188" i="1"/>
  <c r="H1188" i="1"/>
  <c r="G1188" i="1"/>
  <c r="A1188" i="1"/>
  <c r="J1187" i="1"/>
  <c r="I1187" i="1"/>
  <c r="H1187" i="1"/>
  <c r="G1187" i="1"/>
  <c r="A1187" i="1"/>
  <c r="J1186" i="1"/>
  <c r="I1186" i="1"/>
  <c r="H1186" i="1"/>
  <c r="G1186" i="1"/>
  <c r="A1186" i="1"/>
  <c r="J1185" i="1"/>
  <c r="I1185" i="1"/>
  <c r="H1185" i="1"/>
  <c r="G1185" i="1"/>
  <c r="A1185" i="1"/>
  <c r="J1184" i="1"/>
  <c r="I1184" i="1"/>
  <c r="H1184" i="1"/>
  <c r="G1184" i="1"/>
  <c r="A1184" i="1"/>
  <c r="J1183" i="1"/>
  <c r="I1183" i="1"/>
  <c r="H1183" i="1"/>
  <c r="G1183" i="1"/>
  <c r="A1183" i="1"/>
  <c r="J1182" i="1"/>
  <c r="I1182" i="1"/>
  <c r="H1182" i="1"/>
  <c r="G1182" i="1"/>
  <c r="A1182" i="1"/>
  <c r="J1181" i="1"/>
  <c r="I1181" i="1"/>
  <c r="H1181" i="1"/>
  <c r="G1181" i="1"/>
  <c r="A1181" i="1"/>
  <c r="J1180" i="1"/>
  <c r="I1180" i="1"/>
  <c r="H1180" i="1"/>
  <c r="G1180" i="1"/>
  <c r="A1180" i="1"/>
  <c r="J1179" i="1"/>
  <c r="I1179" i="1"/>
  <c r="H1179" i="1"/>
  <c r="G1179" i="1"/>
  <c r="A1179" i="1"/>
  <c r="J1178" i="1"/>
  <c r="I1178" i="1"/>
  <c r="H1178" i="1"/>
  <c r="G1178" i="1"/>
  <c r="A1178" i="1"/>
  <c r="J1177" i="1"/>
  <c r="I1177" i="1"/>
  <c r="H1177" i="1"/>
  <c r="G1177" i="1"/>
  <c r="A1177" i="1"/>
  <c r="J1176" i="1"/>
  <c r="I1176" i="1"/>
  <c r="H1176" i="1"/>
  <c r="G1176" i="1"/>
  <c r="A1176" i="1"/>
  <c r="J1175" i="1"/>
  <c r="I1175" i="1"/>
  <c r="H1175" i="1"/>
  <c r="G1175" i="1"/>
  <c r="A1175" i="1"/>
  <c r="J1174" i="1"/>
  <c r="I1174" i="1"/>
  <c r="H1174" i="1"/>
  <c r="G1174" i="1"/>
  <c r="A1174" i="1"/>
  <c r="J1173" i="1"/>
  <c r="I1173" i="1"/>
  <c r="H1173" i="1"/>
  <c r="G1173" i="1"/>
  <c r="A1173" i="1"/>
  <c r="J1172" i="1"/>
  <c r="I1172" i="1"/>
  <c r="H1172" i="1"/>
  <c r="G1172" i="1"/>
  <c r="A1172" i="1"/>
  <c r="J1171" i="1"/>
  <c r="I1171" i="1"/>
  <c r="H1171" i="1"/>
  <c r="G1171" i="1"/>
  <c r="A1171" i="1"/>
  <c r="J1170" i="1"/>
  <c r="I1170" i="1"/>
  <c r="H1170" i="1"/>
  <c r="G1170" i="1"/>
  <c r="A1170" i="1"/>
  <c r="J1169" i="1"/>
  <c r="I1169" i="1"/>
  <c r="H1169" i="1"/>
  <c r="G1169" i="1"/>
  <c r="A1169" i="1"/>
  <c r="J1168" i="1"/>
  <c r="I1168" i="1"/>
  <c r="H1168" i="1"/>
  <c r="G1168" i="1"/>
  <c r="A1168" i="1"/>
  <c r="J1167" i="1"/>
  <c r="I1167" i="1"/>
  <c r="H1167" i="1"/>
  <c r="G1167" i="1"/>
  <c r="A1167" i="1"/>
  <c r="J1166" i="1"/>
  <c r="I1166" i="1"/>
  <c r="H1166" i="1"/>
  <c r="G1166" i="1"/>
  <c r="A1166" i="1"/>
  <c r="J1165" i="1"/>
  <c r="I1165" i="1"/>
  <c r="H1165" i="1"/>
  <c r="G1165" i="1"/>
  <c r="A1165" i="1"/>
  <c r="J1164" i="1"/>
  <c r="I1164" i="1"/>
  <c r="H1164" i="1"/>
  <c r="G1164" i="1"/>
  <c r="A1164" i="1"/>
  <c r="J1163" i="1"/>
  <c r="I1163" i="1"/>
  <c r="H1163" i="1"/>
  <c r="G1163" i="1"/>
  <c r="A1163" i="1"/>
  <c r="J1162" i="1"/>
  <c r="I1162" i="1"/>
  <c r="H1162" i="1"/>
  <c r="G1162" i="1"/>
  <c r="A1162" i="1"/>
  <c r="J1161" i="1"/>
  <c r="I1161" i="1"/>
  <c r="H1161" i="1"/>
  <c r="G1161" i="1"/>
  <c r="A1161" i="1"/>
  <c r="J1160" i="1"/>
  <c r="I1160" i="1"/>
  <c r="H1160" i="1"/>
  <c r="G1160" i="1"/>
  <c r="A1160" i="1"/>
  <c r="J1159" i="1"/>
  <c r="I1159" i="1"/>
  <c r="H1159" i="1"/>
  <c r="G1159" i="1"/>
  <c r="A1159" i="1"/>
  <c r="J1158" i="1"/>
  <c r="I1158" i="1"/>
  <c r="H1158" i="1"/>
  <c r="G1158" i="1"/>
  <c r="A1158" i="1"/>
  <c r="J1157" i="1"/>
  <c r="I1157" i="1"/>
  <c r="H1157" i="1"/>
  <c r="G1157" i="1"/>
  <c r="A1157" i="1"/>
  <c r="J1156" i="1"/>
  <c r="I1156" i="1"/>
  <c r="H1156" i="1"/>
  <c r="G1156" i="1"/>
  <c r="A1156" i="1"/>
  <c r="J1155" i="1"/>
  <c r="I1155" i="1"/>
  <c r="H1155" i="1"/>
  <c r="G1155" i="1"/>
  <c r="A1155" i="1"/>
  <c r="J1154" i="1"/>
  <c r="I1154" i="1"/>
  <c r="H1154" i="1"/>
  <c r="G1154" i="1"/>
  <c r="A1154" i="1"/>
  <c r="J1153" i="1"/>
  <c r="I1153" i="1"/>
  <c r="H1153" i="1"/>
  <c r="G1153" i="1"/>
  <c r="A1153" i="1"/>
  <c r="J1152" i="1"/>
  <c r="I1152" i="1"/>
  <c r="H1152" i="1"/>
  <c r="G1152" i="1"/>
  <c r="A1152" i="1"/>
  <c r="J1151" i="1"/>
  <c r="I1151" i="1"/>
  <c r="H1151" i="1"/>
  <c r="G1151" i="1"/>
  <c r="A1151" i="1"/>
  <c r="J1150" i="1"/>
  <c r="I1150" i="1"/>
  <c r="H1150" i="1"/>
  <c r="G1150" i="1"/>
  <c r="A1150" i="1"/>
  <c r="J1149" i="1"/>
  <c r="I1149" i="1"/>
  <c r="H1149" i="1"/>
  <c r="G1149" i="1"/>
  <c r="A1149" i="1"/>
  <c r="J1148" i="1"/>
  <c r="I1148" i="1"/>
  <c r="H1148" i="1"/>
  <c r="G1148" i="1"/>
  <c r="A1148" i="1"/>
  <c r="J1147" i="1"/>
  <c r="I1147" i="1"/>
  <c r="H1147" i="1"/>
  <c r="G1147" i="1"/>
  <c r="A1147" i="1"/>
  <c r="J1146" i="1"/>
  <c r="I1146" i="1"/>
  <c r="H1146" i="1"/>
  <c r="G1146" i="1"/>
  <c r="A1146" i="1"/>
  <c r="J1145" i="1"/>
  <c r="I1145" i="1"/>
  <c r="H1145" i="1"/>
  <c r="G1145" i="1"/>
  <c r="A1145" i="1"/>
  <c r="J1144" i="1"/>
  <c r="I1144" i="1"/>
  <c r="H1144" i="1"/>
  <c r="G1144" i="1"/>
  <c r="A1144" i="1"/>
  <c r="J1143" i="1"/>
  <c r="I1143" i="1"/>
  <c r="H1143" i="1"/>
  <c r="G1143" i="1"/>
  <c r="A1143" i="1"/>
  <c r="J1142" i="1"/>
  <c r="I1142" i="1"/>
  <c r="H1142" i="1"/>
  <c r="G1142" i="1"/>
  <c r="A1142" i="1"/>
  <c r="J1141" i="1"/>
  <c r="I1141" i="1"/>
  <c r="H1141" i="1"/>
  <c r="G1141" i="1"/>
  <c r="A1141" i="1"/>
  <c r="J1140" i="1"/>
  <c r="I1140" i="1"/>
  <c r="H1140" i="1"/>
  <c r="G1140" i="1"/>
  <c r="A1140" i="1"/>
  <c r="J1139" i="1"/>
  <c r="I1139" i="1"/>
  <c r="H1139" i="1"/>
  <c r="G1139" i="1"/>
  <c r="A1139" i="1"/>
  <c r="J1138" i="1"/>
  <c r="I1138" i="1"/>
  <c r="H1138" i="1"/>
  <c r="G1138" i="1"/>
  <c r="A1138" i="1"/>
  <c r="J1137" i="1"/>
  <c r="I1137" i="1"/>
  <c r="H1137" i="1"/>
  <c r="G1137" i="1"/>
  <c r="A1137" i="1"/>
  <c r="J1136" i="1"/>
  <c r="I1136" i="1"/>
  <c r="H1136" i="1"/>
  <c r="G1136" i="1"/>
  <c r="A1136" i="1"/>
  <c r="J1135" i="1"/>
  <c r="I1135" i="1"/>
  <c r="H1135" i="1"/>
  <c r="G1135" i="1"/>
  <c r="A1135" i="1"/>
  <c r="J1134" i="1"/>
  <c r="I1134" i="1"/>
  <c r="H1134" i="1"/>
  <c r="G1134" i="1"/>
  <c r="A1134" i="1"/>
  <c r="J1133" i="1"/>
  <c r="I1133" i="1"/>
  <c r="H1133" i="1"/>
  <c r="G1133" i="1"/>
  <c r="A1133" i="1"/>
  <c r="J1132" i="1"/>
  <c r="I1132" i="1"/>
  <c r="H1132" i="1"/>
  <c r="G1132" i="1"/>
  <c r="A1132" i="1"/>
  <c r="J1131" i="1"/>
  <c r="I1131" i="1"/>
  <c r="H1131" i="1"/>
  <c r="G1131" i="1"/>
  <c r="A1131" i="1"/>
  <c r="J1130" i="1"/>
  <c r="I1130" i="1"/>
  <c r="H1130" i="1"/>
  <c r="G1130" i="1"/>
  <c r="A1130" i="1"/>
  <c r="J1129" i="1"/>
  <c r="I1129" i="1"/>
  <c r="H1129" i="1"/>
  <c r="G1129" i="1"/>
  <c r="A1129" i="1"/>
  <c r="J1128" i="1"/>
  <c r="I1128" i="1"/>
  <c r="H1128" i="1"/>
  <c r="G1128" i="1"/>
  <c r="A1128" i="1"/>
  <c r="J1127" i="1"/>
  <c r="I1127" i="1"/>
  <c r="H1127" i="1"/>
  <c r="G1127" i="1"/>
  <c r="A1127" i="1"/>
  <c r="J1126" i="1"/>
  <c r="I1126" i="1"/>
  <c r="H1126" i="1"/>
  <c r="G1126" i="1"/>
  <c r="A1126" i="1"/>
  <c r="J1125" i="1"/>
  <c r="I1125" i="1"/>
  <c r="H1125" i="1"/>
  <c r="G1125" i="1"/>
  <c r="A1125" i="1"/>
  <c r="J1124" i="1"/>
  <c r="I1124" i="1"/>
  <c r="H1124" i="1"/>
  <c r="G1124" i="1"/>
  <c r="A1124" i="1"/>
  <c r="J1123" i="1"/>
  <c r="I1123" i="1"/>
  <c r="H1123" i="1"/>
  <c r="G1123" i="1"/>
  <c r="A1123" i="1"/>
  <c r="J1122" i="1"/>
  <c r="I1122" i="1"/>
  <c r="H1122" i="1"/>
  <c r="G1122" i="1"/>
  <c r="A1122" i="1"/>
  <c r="J1121" i="1"/>
  <c r="I1121" i="1"/>
  <c r="H1121" i="1"/>
  <c r="G1121" i="1"/>
  <c r="A1121" i="1"/>
  <c r="J1120" i="1"/>
  <c r="I1120" i="1"/>
  <c r="H1120" i="1"/>
  <c r="G1120" i="1"/>
  <c r="A1120" i="1"/>
  <c r="J1119" i="1"/>
  <c r="I1119" i="1"/>
  <c r="H1119" i="1"/>
  <c r="G1119" i="1"/>
  <c r="A1119" i="1"/>
  <c r="J1118" i="1"/>
  <c r="I1118" i="1"/>
  <c r="H1118" i="1"/>
  <c r="G1118" i="1"/>
  <c r="A1118" i="1"/>
  <c r="J1117" i="1"/>
  <c r="I1117" i="1"/>
  <c r="H1117" i="1"/>
  <c r="G1117" i="1"/>
  <c r="A1117" i="1"/>
  <c r="J1116" i="1"/>
  <c r="I1116" i="1"/>
  <c r="H1116" i="1"/>
  <c r="G1116" i="1"/>
  <c r="A1116" i="1"/>
  <c r="J1115" i="1"/>
  <c r="I1115" i="1"/>
  <c r="H1115" i="1"/>
  <c r="G1115" i="1"/>
  <c r="A1115" i="1"/>
  <c r="J1114" i="1"/>
  <c r="I1114" i="1"/>
  <c r="H1114" i="1"/>
  <c r="G1114" i="1"/>
  <c r="A1114" i="1"/>
  <c r="J1113" i="1"/>
  <c r="I1113" i="1"/>
  <c r="H1113" i="1"/>
  <c r="G1113" i="1"/>
  <c r="A1113" i="1"/>
  <c r="J1112" i="1"/>
  <c r="I1112" i="1"/>
  <c r="H1112" i="1"/>
  <c r="G1112" i="1"/>
  <c r="A1112" i="1"/>
  <c r="J1111" i="1"/>
  <c r="I1111" i="1"/>
  <c r="H1111" i="1"/>
  <c r="G1111" i="1"/>
  <c r="A1111" i="1"/>
  <c r="J1110" i="1"/>
  <c r="I1110" i="1"/>
  <c r="H1110" i="1"/>
  <c r="G1110" i="1"/>
  <c r="A1110" i="1"/>
  <c r="J1109" i="1"/>
  <c r="I1109" i="1"/>
  <c r="H1109" i="1"/>
  <c r="G1109" i="1"/>
  <c r="A1109" i="1"/>
  <c r="J1108" i="1"/>
  <c r="I1108" i="1"/>
  <c r="H1108" i="1"/>
  <c r="G1108" i="1"/>
  <c r="A1108" i="1"/>
  <c r="J1107" i="1"/>
  <c r="I1107" i="1"/>
  <c r="H1107" i="1"/>
  <c r="G1107" i="1"/>
  <c r="A1107" i="1"/>
  <c r="J1106" i="1"/>
  <c r="I1106" i="1"/>
  <c r="H1106" i="1"/>
  <c r="G1106" i="1"/>
  <c r="A1106" i="1"/>
  <c r="J1105" i="1"/>
  <c r="I1105" i="1"/>
  <c r="H1105" i="1"/>
  <c r="G1105" i="1"/>
  <c r="A1105" i="1"/>
  <c r="J1104" i="1"/>
  <c r="I1104" i="1"/>
  <c r="H1104" i="1"/>
  <c r="G1104" i="1"/>
  <c r="A1104" i="1"/>
  <c r="J1103" i="1"/>
  <c r="I1103" i="1"/>
  <c r="H1103" i="1"/>
  <c r="G1103" i="1"/>
  <c r="A1103" i="1"/>
  <c r="J1102" i="1"/>
  <c r="I1102" i="1"/>
  <c r="H1102" i="1"/>
  <c r="G1102" i="1"/>
  <c r="A1102" i="1"/>
  <c r="J1101" i="1"/>
  <c r="I1101" i="1"/>
  <c r="H1101" i="1"/>
  <c r="G1101" i="1"/>
  <c r="A1101" i="1"/>
  <c r="J1100" i="1"/>
  <c r="I1100" i="1"/>
  <c r="H1100" i="1"/>
  <c r="G1100" i="1"/>
  <c r="A1100" i="1"/>
  <c r="J1099" i="1"/>
  <c r="I1099" i="1"/>
  <c r="H1099" i="1"/>
  <c r="G1099" i="1"/>
  <c r="A1099" i="1"/>
  <c r="J1098" i="1"/>
  <c r="I1098" i="1"/>
  <c r="H1098" i="1"/>
  <c r="G1098" i="1"/>
  <c r="A1098" i="1"/>
  <c r="J1097" i="1"/>
  <c r="I1097" i="1"/>
  <c r="H1097" i="1"/>
  <c r="G1097" i="1"/>
  <c r="A1097" i="1"/>
  <c r="J1096" i="1"/>
  <c r="I1096" i="1"/>
  <c r="H1096" i="1"/>
  <c r="G1096" i="1"/>
  <c r="A1096" i="1"/>
  <c r="J1095" i="1"/>
  <c r="I1095" i="1"/>
  <c r="H1095" i="1"/>
  <c r="G1095" i="1"/>
  <c r="A1095" i="1"/>
  <c r="J1094" i="1"/>
  <c r="I1094" i="1"/>
  <c r="H1094" i="1"/>
  <c r="G1094" i="1"/>
  <c r="A1094" i="1"/>
  <c r="J1093" i="1"/>
  <c r="I1093" i="1"/>
  <c r="H1093" i="1"/>
  <c r="G1093" i="1"/>
  <c r="A1093" i="1"/>
  <c r="J1092" i="1"/>
  <c r="I1092" i="1"/>
  <c r="H1092" i="1"/>
  <c r="G1092" i="1"/>
  <c r="A1092" i="1"/>
  <c r="J1091" i="1"/>
  <c r="I1091" i="1"/>
  <c r="H1091" i="1"/>
  <c r="G1091" i="1"/>
  <c r="A1091" i="1"/>
  <c r="J1090" i="1"/>
  <c r="I1090" i="1"/>
  <c r="H1090" i="1"/>
  <c r="G1090" i="1"/>
  <c r="A1090" i="1"/>
  <c r="J1089" i="1"/>
  <c r="I1089" i="1"/>
  <c r="H1089" i="1"/>
  <c r="G1089" i="1"/>
  <c r="A1089" i="1"/>
  <c r="J1088" i="1"/>
  <c r="I1088" i="1"/>
  <c r="H1088" i="1"/>
  <c r="G1088" i="1"/>
  <c r="A1088" i="1"/>
  <c r="J1087" i="1"/>
  <c r="I1087" i="1"/>
  <c r="H1087" i="1"/>
  <c r="G1087" i="1"/>
  <c r="A1087" i="1"/>
  <c r="J1086" i="1"/>
  <c r="I1086" i="1"/>
  <c r="H1086" i="1"/>
  <c r="G1086" i="1"/>
  <c r="A1086" i="1"/>
  <c r="J1085" i="1"/>
  <c r="I1085" i="1"/>
  <c r="H1085" i="1"/>
  <c r="G1085" i="1"/>
  <c r="A1085" i="1"/>
  <c r="J1084" i="1"/>
  <c r="I1084" i="1"/>
  <c r="H1084" i="1"/>
  <c r="G1084" i="1"/>
  <c r="A1084" i="1"/>
  <c r="J1083" i="1"/>
  <c r="I1083" i="1"/>
  <c r="H1083" i="1"/>
  <c r="G1083" i="1"/>
  <c r="A1083" i="1"/>
  <c r="J1082" i="1"/>
  <c r="I1082" i="1"/>
  <c r="H1082" i="1"/>
  <c r="G1082" i="1"/>
  <c r="A1082" i="1"/>
  <c r="J1081" i="1"/>
  <c r="I1081" i="1"/>
  <c r="H1081" i="1"/>
  <c r="G1081" i="1"/>
  <c r="A1081" i="1"/>
  <c r="J1080" i="1"/>
  <c r="I1080" i="1"/>
  <c r="H1080" i="1"/>
  <c r="G1080" i="1"/>
  <c r="A1080" i="1"/>
  <c r="J1079" i="1"/>
  <c r="I1079" i="1"/>
  <c r="H1079" i="1"/>
  <c r="G1079" i="1"/>
  <c r="A1079" i="1"/>
  <c r="J1078" i="1"/>
  <c r="I1078" i="1"/>
  <c r="H1078" i="1"/>
  <c r="G1078" i="1"/>
  <c r="A1078" i="1"/>
  <c r="J1077" i="1"/>
  <c r="I1077" i="1"/>
  <c r="H1077" i="1"/>
  <c r="G1077" i="1"/>
  <c r="A1077" i="1"/>
  <c r="J1076" i="1"/>
  <c r="I1076" i="1"/>
  <c r="H1076" i="1"/>
  <c r="G1076" i="1"/>
  <c r="A1076" i="1"/>
  <c r="J1075" i="1"/>
  <c r="I1075" i="1"/>
  <c r="H1075" i="1"/>
  <c r="G1075" i="1"/>
  <c r="A1075" i="1"/>
  <c r="J1074" i="1"/>
  <c r="I1074" i="1"/>
  <c r="H1074" i="1"/>
  <c r="G1074" i="1"/>
  <c r="A1074" i="1"/>
  <c r="J1073" i="1"/>
  <c r="I1073" i="1"/>
  <c r="H1073" i="1"/>
  <c r="G1073" i="1"/>
  <c r="A1073" i="1"/>
  <c r="J1072" i="1"/>
  <c r="I1072" i="1"/>
  <c r="H1072" i="1"/>
  <c r="G1072" i="1"/>
  <c r="A1072" i="1"/>
  <c r="J1071" i="1"/>
  <c r="I1071" i="1"/>
  <c r="H1071" i="1"/>
  <c r="G1071" i="1"/>
  <c r="A1071" i="1"/>
  <c r="J1070" i="1"/>
  <c r="I1070" i="1"/>
  <c r="H1070" i="1"/>
  <c r="G1070" i="1"/>
  <c r="A1070" i="1"/>
  <c r="J1069" i="1"/>
  <c r="I1069" i="1"/>
  <c r="H1069" i="1"/>
  <c r="G1069" i="1"/>
  <c r="A1069" i="1"/>
  <c r="J1068" i="1"/>
  <c r="I1068" i="1"/>
  <c r="H1068" i="1"/>
  <c r="G1068" i="1"/>
  <c r="A1068" i="1"/>
  <c r="J1067" i="1"/>
  <c r="I1067" i="1"/>
  <c r="H1067" i="1"/>
  <c r="G1067" i="1"/>
  <c r="A1067" i="1"/>
  <c r="J1066" i="1"/>
  <c r="I1066" i="1"/>
  <c r="H1066" i="1"/>
  <c r="G1066" i="1"/>
  <c r="A1066" i="1"/>
  <c r="J1065" i="1"/>
  <c r="I1065" i="1"/>
  <c r="H1065" i="1"/>
  <c r="G1065" i="1"/>
  <c r="A1065" i="1"/>
  <c r="J1064" i="1"/>
  <c r="I1064" i="1"/>
  <c r="H1064" i="1"/>
  <c r="G1064" i="1"/>
  <c r="A1064" i="1"/>
  <c r="J1063" i="1"/>
  <c r="I1063" i="1"/>
  <c r="H1063" i="1"/>
  <c r="G1063" i="1"/>
  <c r="A1063" i="1"/>
  <c r="J1062" i="1"/>
  <c r="I1062" i="1"/>
  <c r="H1062" i="1"/>
  <c r="G1062" i="1"/>
  <c r="A1062" i="1"/>
  <c r="J1061" i="1"/>
  <c r="I1061" i="1"/>
  <c r="H1061" i="1"/>
  <c r="G1061" i="1"/>
  <c r="A1061" i="1"/>
  <c r="J1060" i="1"/>
  <c r="I1060" i="1"/>
  <c r="H1060" i="1"/>
  <c r="G1060" i="1"/>
  <c r="A1060" i="1"/>
  <c r="J1059" i="1"/>
  <c r="I1059" i="1"/>
  <c r="H1059" i="1"/>
  <c r="G1059" i="1"/>
  <c r="A1059" i="1"/>
  <c r="J1058" i="1"/>
  <c r="I1058" i="1"/>
  <c r="H1058" i="1"/>
  <c r="G1058" i="1"/>
  <c r="A1058" i="1"/>
  <c r="J1057" i="1"/>
  <c r="I1057" i="1"/>
  <c r="H1057" i="1"/>
  <c r="G1057" i="1"/>
  <c r="A1057" i="1"/>
  <c r="J1056" i="1"/>
  <c r="I1056" i="1"/>
  <c r="H1056" i="1"/>
  <c r="G1056" i="1"/>
  <c r="A1056" i="1"/>
  <c r="J1055" i="1"/>
  <c r="I1055" i="1"/>
  <c r="H1055" i="1"/>
  <c r="G1055" i="1"/>
  <c r="A1055" i="1"/>
  <c r="J1054" i="1"/>
  <c r="I1054" i="1"/>
  <c r="H1054" i="1"/>
  <c r="G1054" i="1"/>
  <c r="A1054" i="1"/>
  <c r="J1053" i="1"/>
  <c r="I1053" i="1"/>
  <c r="H1053" i="1"/>
  <c r="G1053" i="1"/>
  <c r="A1053" i="1"/>
  <c r="J1052" i="1"/>
  <c r="I1052" i="1"/>
  <c r="H1052" i="1"/>
  <c r="G1052" i="1"/>
  <c r="A1052" i="1"/>
  <c r="J1051" i="1"/>
  <c r="I1051" i="1"/>
  <c r="H1051" i="1"/>
  <c r="G1051" i="1"/>
  <c r="A1051" i="1"/>
  <c r="J1050" i="1"/>
  <c r="I1050" i="1"/>
  <c r="H1050" i="1"/>
  <c r="G1050" i="1"/>
  <c r="A1050" i="1"/>
  <c r="J1049" i="1"/>
  <c r="I1049" i="1"/>
  <c r="H1049" i="1"/>
  <c r="G1049" i="1"/>
  <c r="A1049" i="1"/>
  <c r="J1048" i="1"/>
  <c r="I1048" i="1"/>
  <c r="H1048" i="1"/>
  <c r="G1048" i="1"/>
  <c r="A1048" i="1"/>
  <c r="J1047" i="1"/>
  <c r="I1047" i="1"/>
  <c r="H1047" i="1"/>
  <c r="G1047" i="1"/>
  <c r="A1047" i="1"/>
  <c r="J1046" i="1"/>
  <c r="I1046" i="1"/>
  <c r="H1046" i="1"/>
  <c r="G1046" i="1"/>
  <c r="A1046" i="1"/>
  <c r="J1045" i="1"/>
  <c r="I1045" i="1"/>
  <c r="H1045" i="1"/>
  <c r="G1045" i="1"/>
  <c r="A1045" i="1"/>
  <c r="J1044" i="1"/>
  <c r="I1044" i="1"/>
  <c r="H1044" i="1"/>
  <c r="G1044" i="1"/>
  <c r="A1044" i="1"/>
  <c r="J1043" i="1"/>
  <c r="I1043" i="1"/>
  <c r="H1043" i="1"/>
  <c r="G1043" i="1"/>
  <c r="A1043" i="1"/>
  <c r="J1042" i="1"/>
  <c r="I1042" i="1"/>
  <c r="H1042" i="1"/>
  <c r="G1042" i="1"/>
  <c r="A1042" i="1"/>
  <c r="J1041" i="1"/>
  <c r="I1041" i="1"/>
  <c r="H1041" i="1"/>
  <c r="G1041" i="1"/>
  <c r="A1041" i="1"/>
  <c r="J1040" i="1"/>
  <c r="I1040" i="1"/>
  <c r="H1040" i="1"/>
  <c r="G1040" i="1"/>
  <c r="A1040" i="1"/>
  <c r="J1039" i="1"/>
  <c r="I1039" i="1"/>
  <c r="H1039" i="1"/>
  <c r="G1039" i="1"/>
  <c r="A1039" i="1"/>
  <c r="J1038" i="1"/>
  <c r="I1038" i="1"/>
  <c r="H1038" i="1"/>
  <c r="G1038" i="1"/>
  <c r="A1038" i="1"/>
  <c r="J1037" i="1"/>
  <c r="I1037" i="1"/>
  <c r="H1037" i="1"/>
  <c r="G1037" i="1"/>
  <c r="A1037" i="1"/>
  <c r="J1036" i="1"/>
  <c r="I1036" i="1"/>
  <c r="H1036" i="1"/>
  <c r="G1036" i="1"/>
  <c r="A1036" i="1"/>
  <c r="J1035" i="1"/>
  <c r="I1035" i="1"/>
  <c r="H1035" i="1"/>
  <c r="G1035" i="1"/>
  <c r="A1035" i="1"/>
  <c r="J1034" i="1"/>
  <c r="I1034" i="1"/>
  <c r="H1034" i="1"/>
  <c r="G1034" i="1"/>
  <c r="A1034" i="1"/>
  <c r="J1033" i="1"/>
  <c r="I1033" i="1"/>
  <c r="H1033" i="1"/>
  <c r="G1033" i="1"/>
  <c r="A1033" i="1"/>
  <c r="J1032" i="1"/>
  <c r="I1032" i="1"/>
  <c r="H1032" i="1"/>
  <c r="G1032" i="1"/>
  <c r="A1032" i="1"/>
  <c r="J1031" i="1"/>
  <c r="I1031" i="1"/>
  <c r="H1031" i="1"/>
  <c r="G1031" i="1"/>
  <c r="A1031" i="1"/>
  <c r="J1030" i="1"/>
  <c r="I1030" i="1"/>
  <c r="H1030" i="1"/>
  <c r="G1030" i="1"/>
  <c r="A1030" i="1"/>
  <c r="J1029" i="1"/>
  <c r="I1029" i="1"/>
  <c r="H1029" i="1"/>
  <c r="G1029" i="1"/>
  <c r="A1029" i="1"/>
  <c r="J1028" i="1"/>
  <c r="I1028" i="1"/>
  <c r="H1028" i="1"/>
  <c r="G1028" i="1"/>
  <c r="A1028" i="1"/>
  <c r="J1027" i="1"/>
  <c r="I1027" i="1"/>
  <c r="H1027" i="1"/>
  <c r="G1027" i="1"/>
  <c r="A1027" i="1"/>
  <c r="J1026" i="1"/>
  <c r="I1026" i="1"/>
  <c r="H1026" i="1"/>
  <c r="G1026" i="1"/>
  <c r="A1026" i="1"/>
  <c r="J1025" i="1"/>
  <c r="I1025" i="1"/>
  <c r="H1025" i="1"/>
  <c r="G1025" i="1"/>
  <c r="A1025" i="1"/>
  <c r="J1024" i="1"/>
  <c r="I1024" i="1"/>
  <c r="H1024" i="1"/>
  <c r="G1024" i="1"/>
  <c r="A1024" i="1"/>
  <c r="J1023" i="1"/>
  <c r="I1023" i="1"/>
  <c r="H1023" i="1"/>
  <c r="G1023" i="1"/>
  <c r="A1023" i="1"/>
  <c r="J1022" i="1"/>
  <c r="I1022" i="1"/>
  <c r="H1022" i="1"/>
  <c r="G1022" i="1"/>
  <c r="A1022" i="1"/>
  <c r="J1021" i="1"/>
  <c r="I1021" i="1"/>
  <c r="H1021" i="1"/>
  <c r="G1021" i="1"/>
  <c r="A1021" i="1"/>
  <c r="J1020" i="1"/>
  <c r="I1020" i="1"/>
  <c r="H1020" i="1"/>
  <c r="G1020" i="1"/>
  <c r="A1020" i="1"/>
  <c r="J1019" i="1"/>
  <c r="I1019" i="1"/>
  <c r="H1019" i="1"/>
  <c r="G1019" i="1"/>
  <c r="A1019" i="1"/>
  <c r="J1018" i="1"/>
  <c r="I1018" i="1"/>
  <c r="H1018" i="1"/>
  <c r="G1018" i="1"/>
  <c r="A1018" i="1"/>
  <c r="J1017" i="1"/>
  <c r="I1017" i="1"/>
  <c r="H1017" i="1"/>
  <c r="G1017" i="1"/>
  <c r="A1017" i="1"/>
  <c r="J1016" i="1"/>
  <c r="I1016" i="1"/>
  <c r="H1016" i="1"/>
  <c r="G1016" i="1"/>
  <c r="A1016" i="1"/>
  <c r="J1015" i="1"/>
  <c r="I1015" i="1"/>
  <c r="H1015" i="1"/>
  <c r="G1015" i="1"/>
  <c r="A1015" i="1"/>
  <c r="J1014" i="1"/>
  <c r="I1014" i="1"/>
  <c r="H1014" i="1"/>
  <c r="G1014" i="1"/>
  <c r="A1014" i="1"/>
  <c r="J1013" i="1"/>
  <c r="I1013" i="1"/>
  <c r="H1013" i="1"/>
  <c r="G1013" i="1"/>
  <c r="A1013" i="1"/>
  <c r="J1012" i="1"/>
  <c r="I1012" i="1"/>
  <c r="H1012" i="1"/>
  <c r="G1012" i="1"/>
  <c r="A1012" i="1"/>
  <c r="J1011" i="1"/>
  <c r="I1011" i="1"/>
  <c r="H1011" i="1"/>
  <c r="G1011" i="1"/>
  <c r="A1011" i="1"/>
  <c r="J1010" i="1"/>
  <c r="I1010" i="1"/>
  <c r="H1010" i="1"/>
  <c r="G1010" i="1"/>
  <c r="A1010" i="1"/>
  <c r="J1009" i="1"/>
  <c r="I1009" i="1"/>
  <c r="H1009" i="1"/>
  <c r="G1009" i="1"/>
  <c r="A1009" i="1"/>
  <c r="J1008" i="1"/>
  <c r="I1008" i="1"/>
  <c r="H1008" i="1"/>
  <c r="G1008" i="1"/>
  <c r="A1008" i="1"/>
  <c r="J1007" i="1"/>
  <c r="I1007" i="1"/>
  <c r="H1007" i="1"/>
  <c r="G1007" i="1"/>
  <c r="A1007" i="1"/>
  <c r="J1006" i="1"/>
  <c r="I1006" i="1"/>
  <c r="H1006" i="1"/>
  <c r="G1006" i="1"/>
  <c r="A1006" i="1"/>
  <c r="J1005" i="1"/>
  <c r="I1005" i="1"/>
  <c r="H1005" i="1"/>
  <c r="G1005" i="1"/>
  <c r="A1005" i="1"/>
  <c r="J1004" i="1"/>
  <c r="I1004" i="1"/>
  <c r="H1004" i="1"/>
  <c r="G1004" i="1"/>
  <c r="A1004" i="1"/>
  <c r="J1003" i="1"/>
  <c r="I1003" i="1"/>
  <c r="H1003" i="1"/>
  <c r="G1003" i="1"/>
  <c r="A1003" i="1"/>
  <c r="J1002" i="1"/>
  <c r="I1002" i="1"/>
  <c r="H1002" i="1"/>
  <c r="G1002" i="1"/>
  <c r="A1002" i="1"/>
  <c r="J1001" i="1"/>
  <c r="I1001" i="1"/>
  <c r="H1001" i="1"/>
  <c r="G1001" i="1"/>
  <c r="A1001" i="1"/>
  <c r="J1000" i="1"/>
  <c r="I1000" i="1"/>
  <c r="H1000" i="1"/>
  <c r="G1000" i="1"/>
  <c r="A1000" i="1"/>
  <c r="J999" i="1"/>
  <c r="I999" i="1"/>
  <c r="H999" i="1"/>
  <c r="G999" i="1"/>
  <c r="A999" i="1"/>
  <c r="J998" i="1"/>
  <c r="I998" i="1"/>
  <c r="H998" i="1"/>
  <c r="G998" i="1"/>
  <c r="A998" i="1"/>
  <c r="J997" i="1"/>
  <c r="I997" i="1"/>
  <c r="H997" i="1"/>
  <c r="G997" i="1"/>
  <c r="A997" i="1"/>
  <c r="J996" i="1"/>
  <c r="I996" i="1"/>
  <c r="H996" i="1"/>
  <c r="G996" i="1"/>
  <c r="A996" i="1"/>
  <c r="J995" i="1"/>
  <c r="I995" i="1"/>
  <c r="H995" i="1"/>
  <c r="G995" i="1"/>
  <c r="A995" i="1"/>
  <c r="J994" i="1"/>
  <c r="I994" i="1"/>
  <c r="H994" i="1"/>
  <c r="G994" i="1"/>
  <c r="A994" i="1"/>
  <c r="J993" i="1"/>
  <c r="I993" i="1"/>
  <c r="H993" i="1"/>
  <c r="G993" i="1"/>
  <c r="A993" i="1"/>
  <c r="J992" i="1"/>
  <c r="I992" i="1"/>
  <c r="H992" i="1"/>
  <c r="G992" i="1"/>
  <c r="A992" i="1"/>
  <c r="J991" i="1"/>
  <c r="I991" i="1"/>
  <c r="H991" i="1"/>
  <c r="G991" i="1"/>
  <c r="A991" i="1"/>
  <c r="J990" i="1"/>
  <c r="I990" i="1"/>
  <c r="H990" i="1"/>
  <c r="G990" i="1"/>
  <c r="A990" i="1"/>
  <c r="J989" i="1"/>
  <c r="I989" i="1"/>
  <c r="H989" i="1"/>
  <c r="G989" i="1"/>
  <c r="A989" i="1"/>
  <c r="J988" i="1"/>
  <c r="I988" i="1"/>
  <c r="H988" i="1"/>
  <c r="G988" i="1"/>
  <c r="A988" i="1"/>
  <c r="J987" i="1"/>
  <c r="I987" i="1"/>
  <c r="H987" i="1"/>
  <c r="G987" i="1"/>
  <c r="A987" i="1"/>
  <c r="J986" i="1"/>
  <c r="I986" i="1"/>
  <c r="H986" i="1"/>
  <c r="G986" i="1"/>
  <c r="A986" i="1"/>
  <c r="J985" i="1"/>
  <c r="I985" i="1"/>
  <c r="H985" i="1"/>
  <c r="G985" i="1"/>
  <c r="A985" i="1"/>
  <c r="J984" i="1"/>
  <c r="I984" i="1"/>
  <c r="H984" i="1"/>
  <c r="G984" i="1"/>
  <c r="A984" i="1"/>
  <c r="J983" i="1"/>
  <c r="I983" i="1"/>
  <c r="H983" i="1"/>
  <c r="G983" i="1"/>
  <c r="A983" i="1"/>
  <c r="J982" i="1"/>
  <c r="I982" i="1"/>
  <c r="H982" i="1"/>
  <c r="G982" i="1"/>
  <c r="A982" i="1"/>
  <c r="J981" i="1"/>
  <c r="I981" i="1"/>
  <c r="H981" i="1"/>
  <c r="G981" i="1"/>
  <c r="A981" i="1"/>
  <c r="J980" i="1"/>
  <c r="I980" i="1"/>
  <c r="H980" i="1"/>
  <c r="G980" i="1"/>
  <c r="A980" i="1"/>
  <c r="J979" i="1"/>
  <c r="I979" i="1"/>
  <c r="H979" i="1"/>
  <c r="G979" i="1"/>
  <c r="A979" i="1"/>
  <c r="J978" i="1"/>
  <c r="I978" i="1"/>
  <c r="H978" i="1"/>
  <c r="G978" i="1"/>
  <c r="A978" i="1"/>
  <c r="J977" i="1"/>
  <c r="I977" i="1"/>
  <c r="H977" i="1"/>
  <c r="G977" i="1"/>
  <c r="A977" i="1"/>
  <c r="J976" i="1"/>
  <c r="I976" i="1"/>
  <c r="H976" i="1"/>
  <c r="G976" i="1"/>
  <c r="A976" i="1"/>
  <c r="J975" i="1"/>
  <c r="I975" i="1"/>
  <c r="H975" i="1"/>
  <c r="G975" i="1"/>
  <c r="A975" i="1"/>
  <c r="J974" i="1"/>
  <c r="I974" i="1"/>
  <c r="H974" i="1"/>
  <c r="G974" i="1"/>
  <c r="A974" i="1"/>
  <c r="J973" i="1"/>
  <c r="I973" i="1"/>
  <c r="H973" i="1"/>
  <c r="G973" i="1"/>
  <c r="A973" i="1"/>
  <c r="J972" i="1"/>
  <c r="I972" i="1"/>
  <c r="H972" i="1"/>
  <c r="G972" i="1"/>
  <c r="A972" i="1"/>
  <c r="J971" i="1"/>
  <c r="I971" i="1"/>
  <c r="H971" i="1"/>
  <c r="G971" i="1"/>
  <c r="A971" i="1"/>
  <c r="J970" i="1"/>
  <c r="I970" i="1"/>
  <c r="H970" i="1"/>
  <c r="G970" i="1"/>
  <c r="A970" i="1"/>
  <c r="J969" i="1"/>
  <c r="I969" i="1"/>
  <c r="H969" i="1"/>
  <c r="G969" i="1"/>
  <c r="A969" i="1"/>
  <c r="J968" i="1"/>
  <c r="I968" i="1"/>
  <c r="H968" i="1"/>
  <c r="G968" i="1"/>
  <c r="A968" i="1"/>
  <c r="J967" i="1"/>
  <c r="I967" i="1"/>
  <c r="H967" i="1"/>
  <c r="G967" i="1"/>
  <c r="A967" i="1"/>
  <c r="J966" i="1"/>
  <c r="I966" i="1"/>
  <c r="H966" i="1"/>
  <c r="G966" i="1"/>
  <c r="A966" i="1"/>
  <c r="J965" i="1"/>
  <c r="I965" i="1"/>
  <c r="H965" i="1"/>
  <c r="G965" i="1"/>
  <c r="A965" i="1"/>
  <c r="J964" i="1"/>
  <c r="I964" i="1"/>
  <c r="H964" i="1"/>
  <c r="G964" i="1"/>
  <c r="A964" i="1"/>
  <c r="J963" i="1"/>
  <c r="I963" i="1"/>
  <c r="H963" i="1"/>
  <c r="G963" i="1"/>
  <c r="A963" i="1"/>
  <c r="J962" i="1"/>
  <c r="I962" i="1"/>
  <c r="H962" i="1"/>
  <c r="G962" i="1"/>
  <c r="A962" i="1"/>
  <c r="J961" i="1"/>
  <c r="I961" i="1"/>
  <c r="H961" i="1"/>
  <c r="G961" i="1"/>
  <c r="A961" i="1"/>
  <c r="J960" i="1"/>
  <c r="I960" i="1"/>
  <c r="H960" i="1"/>
  <c r="G960" i="1"/>
  <c r="A960" i="1"/>
  <c r="J959" i="1"/>
  <c r="I959" i="1"/>
  <c r="H959" i="1"/>
  <c r="G959" i="1"/>
  <c r="A959" i="1"/>
  <c r="J958" i="1"/>
  <c r="I958" i="1"/>
  <c r="H958" i="1"/>
  <c r="G958" i="1"/>
  <c r="A958" i="1"/>
  <c r="J957" i="1"/>
  <c r="I957" i="1"/>
  <c r="H957" i="1"/>
  <c r="G957" i="1"/>
  <c r="A957" i="1"/>
  <c r="J956" i="1"/>
  <c r="I956" i="1"/>
  <c r="H956" i="1"/>
  <c r="G956" i="1"/>
  <c r="A956" i="1"/>
  <c r="J955" i="1"/>
  <c r="I955" i="1"/>
  <c r="H955" i="1"/>
  <c r="G955" i="1"/>
  <c r="A955" i="1"/>
  <c r="J954" i="1"/>
  <c r="I954" i="1"/>
  <c r="H954" i="1"/>
  <c r="G954" i="1"/>
  <c r="A954" i="1"/>
  <c r="J953" i="1"/>
  <c r="I953" i="1"/>
  <c r="H953" i="1"/>
  <c r="G953" i="1"/>
  <c r="A953" i="1"/>
  <c r="J952" i="1"/>
  <c r="I952" i="1"/>
  <c r="H952" i="1"/>
  <c r="G952" i="1"/>
  <c r="A952" i="1"/>
  <c r="J951" i="1"/>
  <c r="I951" i="1"/>
  <c r="H951" i="1"/>
  <c r="G951" i="1"/>
  <c r="A951" i="1"/>
  <c r="J950" i="1"/>
  <c r="I950" i="1"/>
  <c r="H950" i="1"/>
  <c r="G950" i="1"/>
  <c r="A950" i="1"/>
  <c r="J949" i="1"/>
  <c r="I949" i="1"/>
  <c r="H949" i="1"/>
  <c r="G949" i="1"/>
  <c r="A949" i="1"/>
  <c r="J948" i="1"/>
  <c r="I948" i="1"/>
  <c r="H948" i="1"/>
  <c r="G948" i="1"/>
  <c r="A948" i="1"/>
  <c r="J947" i="1"/>
  <c r="I947" i="1"/>
  <c r="H947" i="1"/>
  <c r="G947" i="1"/>
  <c r="A947" i="1"/>
  <c r="J946" i="1"/>
  <c r="I946" i="1"/>
  <c r="H946" i="1"/>
  <c r="G946" i="1"/>
  <c r="A946" i="1"/>
  <c r="J945" i="1"/>
  <c r="I945" i="1"/>
  <c r="H945" i="1"/>
  <c r="G945" i="1"/>
  <c r="A945" i="1"/>
  <c r="J944" i="1"/>
  <c r="I944" i="1"/>
  <c r="H944" i="1"/>
  <c r="G944" i="1"/>
  <c r="A944" i="1"/>
  <c r="J943" i="1"/>
  <c r="I943" i="1"/>
  <c r="H943" i="1"/>
  <c r="G943" i="1"/>
  <c r="A943" i="1"/>
  <c r="J942" i="1"/>
  <c r="I942" i="1"/>
  <c r="H942" i="1"/>
  <c r="G942" i="1"/>
  <c r="A942" i="1"/>
  <c r="J941" i="1"/>
  <c r="I941" i="1"/>
  <c r="H941" i="1"/>
  <c r="G941" i="1"/>
  <c r="A941" i="1"/>
  <c r="J940" i="1"/>
  <c r="I940" i="1"/>
  <c r="H940" i="1"/>
  <c r="G940" i="1"/>
  <c r="A940" i="1"/>
  <c r="J939" i="1"/>
  <c r="I939" i="1"/>
  <c r="H939" i="1"/>
  <c r="G939" i="1"/>
  <c r="A939" i="1"/>
  <c r="J938" i="1"/>
  <c r="I938" i="1"/>
  <c r="H938" i="1"/>
  <c r="G938" i="1"/>
  <c r="A938" i="1"/>
  <c r="J937" i="1"/>
  <c r="I937" i="1"/>
  <c r="H937" i="1"/>
  <c r="G937" i="1"/>
  <c r="A937" i="1"/>
  <c r="J936" i="1"/>
  <c r="I936" i="1"/>
  <c r="H936" i="1"/>
  <c r="G936" i="1"/>
  <c r="A936" i="1"/>
  <c r="J935" i="1"/>
  <c r="I935" i="1"/>
  <c r="H935" i="1"/>
  <c r="G935" i="1"/>
  <c r="A935" i="1"/>
  <c r="J934" i="1"/>
  <c r="I934" i="1"/>
  <c r="H934" i="1"/>
  <c r="G934" i="1"/>
  <c r="A934" i="1"/>
  <c r="J933" i="1"/>
  <c r="I933" i="1"/>
  <c r="H933" i="1"/>
  <c r="G933" i="1"/>
  <c r="A933" i="1"/>
  <c r="J932" i="1"/>
  <c r="I932" i="1"/>
  <c r="H932" i="1"/>
  <c r="G932" i="1"/>
  <c r="A932" i="1"/>
  <c r="J931" i="1"/>
  <c r="I931" i="1"/>
  <c r="H931" i="1"/>
  <c r="G931" i="1"/>
  <c r="A931" i="1"/>
  <c r="J930" i="1"/>
  <c r="I930" i="1"/>
  <c r="H930" i="1"/>
  <c r="G930" i="1"/>
  <c r="A930" i="1"/>
  <c r="J929" i="1"/>
  <c r="I929" i="1"/>
  <c r="H929" i="1"/>
  <c r="G929" i="1"/>
  <c r="A929" i="1"/>
  <c r="J928" i="1"/>
  <c r="I928" i="1"/>
  <c r="H928" i="1"/>
  <c r="G928" i="1"/>
  <c r="A928" i="1"/>
  <c r="J927" i="1"/>
  <c r="I927" i="1"/>
  <c r="H927" i="1"/>
  <c r="G927" i="1"/>
  <c r="A927" i="1"/>
  <c r="J926" i="1"/>
  <c r="I926" i="1"/>
  <c r="H926" i="1"/>
  <c r="G926" i="1"/>
  <c r="A926" i="1"/>
  <c r="J925" i="1"/>
  <c r="I925" i="1"/>
  <c r="H925" i="1"/>
  <c r="G925" i="1"/>
  <c r="A925" i="1"/>
  <c r="J924" i="1"/>
  <c r="I924" i="1"/>
  <c r="H924" i="1"/>
  <c r="G924" i="1"/>
  <c r="A924" i="1"/>
  <c r="J923" i="1"/>
  <c r="I923" i="1"/>
  <c r="H923" i="1"/>
  <c r="G923" i="1"/>
  <c r="A923" i="1"/>
  <c r="J922" i="1"/>
  <c r="I922" i="1"/>
  <c r="H922" i="1"/>
  <c r="G922" i="1"/>
  <c r="A922" i="1"/>
  <c r="J921" i="1"/>
  <c r="I921" i="1"/>
  <c r="H921" i="1"/>
  <c r="G921" i="1"/>
  <c r="A921" i="1"/>
  <c r="J920" i="1"/>
  <c r="I920" i="1"/>
  <c r="H920" i="1"/>
  <c r="G920" i="1"/>
  <c r="A920" i="1"/>
  <c r="J919" i="1"/>
  <c r="I919" i="1"/>
  <c r="H919" i="1"/>
  <c r="G919" i="1"/>
  <c r="A919" i="1"/>
  <c r="J918" i="1"/>
  <c r="I918" i="1"/>
  <c r="H918" i="1"/>
  <c r="G918" i="1"/>
  <c r="A918" i="1"/>
  <c r="J917" i="1"/>
  <c r="I917" i="1"/>
  <c r="H917" i="1"/>
  <c r="G917" i="1"/>
  <c r="A917" i="1"/>
  <c r="J916" i="1"/>
  <c r="I916" i="1"/>
  <c r="H916" i="1"/>
  <c r="G916" i="1"/>
  <c r="A916" i="1"/>
  <c r="J915" i="1"/>
  <c r="I915" i="1"/>
  <c r="H915" i="1"/>
  <c r="G915" i="1"/>
  <c r="A915" i="1"/>
  <c r="J914" i="1"/>
  <c r="I914" i="1"/>
  <c r="H914" i="1"/>
  <c r="G914" i="1"/>
  <c r="A914" i="1"/>
  <c r="J913" i="1"/>
  <c r="I913" i="1"/>
  <c r="H913" i="1"/>
  <c r="G913" i="1"/>
  <c r="A913" i="1"/>
  <c r="J912" i="1"/>
  <c r="I912" i="1"/>
  <c r="H912" i="1"/>
  <c r="G912" i="1"/>
  <c r="A912" i="1"/>
  <c r="J911" i="1"/>
  <c r="I911" i="1"/>
  <c r="H911" i="1"/>
  <c r="G911" i="1"/>
  <c r="A911" i="1"/>
  <c r="J910" i="1"/>
  <c r="I910" i="1"/>
  <c r="H910" i="1"/>
  <c r="G910" i="1"/>
  <c r="A910" i="1"/>
  <c r="J909" i="1"/>
  <c r="I909" i="1"/>
  <c r="H909" i="1"/>
  <c r="G909" i="1"/>
  <c r="A909" i="1"/>
  <c r="J908" i="1"/>
  <c r="I908" i="1"/>
  <c r="H908" i="1"/>
  <c r="G908" i="1"/>
  <c r="A908" i="1"/>
  <c r="J907" i="1"/>
  <c r="I907" i="1"/>
  <c r="H907" i="1"/>
  <c r="G907" i="1"/>
  <c r="A907" i="1"/>
  <c r="J906" i="1"/>
  <c r="I906" i="1"/>
  <c r="H906" i="1"/>
  <c r="G906" i="1"/>
  <c r="A906" i="1"/>
  <c r="J905" i="1"/>
  <c r="I905" i="1"/>
  <c r="H905" i="1"/>
  <c r="G905" i="1"/>
  <c r="A905" i="1"/>
  <c r="J904" i="1"/>
  <c r="I904" i="1"/>
  <c r="H904" i="1"/>
  <c r="G904" i="1"/>
  <c r="A904" i="1"/>
  <c r="J903" i="1"/>
  <c r="I903" i="1"/>
  <c r="H903" i="1"/>
  <c r="G903" i="1"/>
  <c r="A903" i="1"/>
  <c r="J902" i="1"/>
  <c r="I902" i="1"/>
  <c r="H902" i="1"/>
  <c r="G902" i="1"/>
  <c r="A902" i="1"/>
  <c r="J901" i="1"/>
  <c r="I901" i="1"/>
  <c r="H901" i="1"/>
  <c r="G901" i="1"/>
  <c r="A901" i="1"/>
  <c r="J900" i="1"/>
  <c r="I900" i="1"/>
  <c r="H900" i="1"/>
  <c r="G900" i="1"/>
  <c r="A900" i="1"/>
  <c r="J899" i="1"/>
  <c r="I899" i="1"/>
  <c r="H899" i="1"/>
  <c r="G899" i="1"/>
  <c r="A899" i="1"/>
  <c r="J898" i="1"/>
  <c r="I898" i="1"/>
  <c r="H898" i="1"/>
  <c r="G898" i="1"/>
  <c r="A898" i="1"/>
  <c r="J897" i="1"/>
  <c r="I897" i="1"/>
  <c r="H897" i="1"/>
  <c r="G897" i="1"/>
  <c r="A897" i="1"/>
  <c r="J896" i="1"/>
  <c r="I896" i="1"/>
  <c r="H896" i="1"/>
  <c r="G896" i="1"/>
  <c r="A896" i="1"/>
  <c r="J895" i="1"/>
  <c r="I895" i="1"/>
  <c r="H895" i="1"/>
  <c r="G895" i="1"/>
  <c r="A895" i="1"/>
  <c r="J894" i="1"/>
  <c r="I894" i="1"/>
  <c r="H894" i="1"/>
  <c r="G894" i="1"/>
  <c r="A894" i="1"/>
  <c r="J893" i="1"/>
  <c r="I893" i="1"/>
  <c r="H893" i="1"/>
  <c r="G893" i="1"/>
  <c r="A893" i="1"/>
  <c r="J892" i="1"/>
  <c r="I892" i="1"/>
  <c r="H892" i="1"/>
  <c r="G892" i="1"/>
  <c r="A892" i="1"/>
  <c r="J891" i="1"/>
  <c r="I891" i="1"/>
  <c r="H891" i="1"/>
  <c r="G891" i="1"/>
  <c r="A891" i="1"/>
  <c r="J890" i="1"/>
  <c r="I890" i="1"/>
  <c r="H890" i="1"/>
  <c r="G890" i="1"/>
  <c r="A890" i="1"/>
  <c r="J889" i="1"/>
  <c r="I889" i="1"/>
  <c r="H889" i="1"/>
  <c r="G889" i="1"/>
  <c r="A889" i="1"/>
  <c r="J888" i="1"/>
  <c r="I888" i="1"/>
  <c r="H888" i="1"/>
  <c r="G888" i="1"/>
  <c r="A888" i="1"/>
  <c r="J887" i="1"/>
  <c r="I887" i="1"/>
  <c r="H887" i="1"/>
  <c r="G887" i="1"/>
  <c r="A887" i="1"/>
  <c r="J886" i="1"/>
  <c r="I886" i="1"/>
  <c r="H886" i="1"/>
  <c r="G886" i="1"/>
  <c r="A886" i="1"/>
  <c r="J885" i="1"/>
  <c r="I885" i="1"/>
  <c r="H885" i="1"/>
  <c r="G885" i="1"/>
  <c r="A885" i="1"/>
  <c r="J884" i="1"/>
  <c r="I884" i="1"/>
  <c r="H884" i="1"/>
  <c r="G884" i="1"/>
  <c r="A884" i="1"/>
  <c r="J883" i="1"/>
  <c r="I883" i="1"/>
  <c r="H883" i="1"/>
  <c r="G883" i="1"/>
  <c r="A883" i="1"/>
  <c r="J882" i="1"/>
  <c r="I882" i="1"/>
  <c r="H882" i="1"/>
  <c r="G882" i="1"/>
  <c r="A882" i="1"/>
  <c r="J881" i="1"/>
  <c r="I881" i="1"/>
  <c r="H881" i="1"/>
  <c r="G881" i="1"/>
  <c r="A881" i="1"/>
  <c r="J880" i="1"/>
  <c r="I880" i="1"/>
  <c r="H880" i="1"/>
  <c r="G880" i="1"/>
  <c r="A880" i="1"/>
  <c r="J879" i="1"/>
  <c r="I879" i="1"/>
  <c r="H879" i="1"/>
  <c r="G879" i="1"/>
  <c r="A879" i="1"/>
  <c r="J878" i="1"/>
  <c r="I878" i="1"/>
  <c r="H878" i="1"/>
  <c r="G878" i="1"/>
  <c r="A878" i="1"/>
  <c r="J877" i="1"/>
  <c r="I877" i="1"/>
  <c r="H877" i="1"/>
  <c r="G877" i="1"/>
  <c r="A877" i="1"/>
  <c r="J876" i="1"/>
  <c r="I876" i="1"/>
  <c r="H876" i="1"/>
  <c r="G876" i="1"/>
  <c r="A876" i="1"/>
  <c r="J875" i="1"/>
  <c r="I875" i="1"/>
  <c r="H875" i="1"/>
  <c r="G875" i="1"/>
  <c r="A875" i="1"/>
  <c r="J874" i="1"/>
  <c r="I874" i="1"/>
  <c r="H874" i="1"/>
  <c r="G874" i="1"/>
  <c r="A874" i="1"/>
  <c r="J873" i="1"/>
  <c r="I873" i="1"/>
  <c r="H873" i="1"/>
  <c r="G873" i="1"/>
  <c r="A873" i="1"/>
  <c r="J872" i="1"/>
  <c r="I872" i="1"/>
  <c r="H872" i="1"/>
  <c r="G872" i="1"/>
  <c r="A872" i="1"/>
  <c r="J871" i="1"/>
  <c r="I871" i="1"/>
  <c r="H871" i="1"/>
  <c r="G871" i="1"/>
  <c r="A871" i="1"/>
  <c r="J870" i="1"/>
  <c r="I870" i="1"/>
  <c r="H870" i="1"/>
  <c r="G870" i="1"/>
  <c r="A870" i="1"/>
  <c r="J869" i="1"/>
  <c r="I869" i="1"/>
  <c r="H869" i="1"/>
  <c r="G869" i="1"/>
  <c r="A869" i="1"/>
  <c r="J868" i="1"/>
  <c r="I868" i="1"/>
  <c r="H868" i="1"/>
  <c r="G868" i="1"/>
  <c r="A868" i="1"/>
  <c r="J867" i="1"/>
  <c r="I867" i="1"/>
  <c r="H867" i="1"/>
  <c r="G867" i="1"/>
  <c r="A867" i="1"/>
  <c r="J866" i="1"/>
  <c r="I866" i="1"/>
  <c r="H866" i="1"/>
  <c r="G866" i="1"/>
  <c r="A866" i="1"/>
  <c r="J865" i="1"/>
  <c r="I865" i="1"/>
  <c r="H865" i="1"/>
  <c r="G865" i="1"/>
  <c r="A865" i="1"/>
  <c r="J864" i="1"/>
  <c r="I864" i="1"/>
  <c r="H864" i="1"/>
  <c r="G864" i="1"/>
  <c r="A864" i="1"/>
  <c r="J863" i="1"/>
  <c r="I863" i="1"/>
  <c r="H863" i="1"/>
  <c r="G863" i="1"/>
  <c r="A863" i="1"/>
  <c r="J862" i="1"/>
  <c r="I862" i="1"/>
  <c r="H862" i="1"/>
  <c r="G862" i="1"/>
  <c r="A862" i="1"/>
  <c r="J861" i="1"/>
  <c r="I861" i="1"/>
  <c r="H861" i="1"/>
  <c r="G861" i="1"/>
  <c r="A861" i="1"/>
  <c r="J860" i="1"/>
  <c r="I860" i="1"/>
  <c r="H860" i="1"/>
  <c r="G860" i="1"/>
  <c r="A860" i="1"/>
  <c r="J859" i="1"/>
  <c r="I859" i="1"/>
  <c r="H859" i="1"/>
  <c r="G859" i="1"/>
  <c r="A859" i="1"/>
  <c r="J858" i="1"/>
  <c r="I858" i="1"/>
  <c r="H858" i="1"/>
  <c r="G858" i="1"/>
  <c r="A858" i="1"/>
  <c r="J857" i="1"/>
  <c r="I857" i="1"/>
  <c r="H857" i="1"/>
  <c r="G857" i="1"/>
  <c r="A857" i="1"/>
  <c r="J856" i="1"/>
  <c r="I856" i="1"/>
  <c r="H856" i="1"/>
  <c r="G856" i="1"/>
  <c r="A856" i="1"/>
  <c r="J855" i="1"/>
  <c r="I855" i="1"/>
  <c r="H855" i="1"/>
  <c r="G855" i="1"/>
  <c r="A855" i="1"/>
  <c r="J854" i="1"/>
  <c r="I854" i="1"/>
  <c r="H854" i="1"/>
  <c r="G854" i="1"/>
  <c r="A854" i="1"/>
  <c r="J853" i="1"/>
  <c r="I853" i="1"/>
  <c r="H853" i="1"/>
  <c r="G853" i="1"/>
  <c r="A853" i="1"/>
  <c r="J852" i="1"/>
  <c r="I852" i="1"/>
  <c r="H852" i="1"/>
  <c r="G852" i="1"/>
  <c r="A852" i="1"/>
  <c r="J851" i="1"/>
  <c r="I851" i="1"/>
  <c r="H851" i="1"/>
  <c r="G851" i="1"/>
  <c r="A851" i="1"/>
  <c r="J850" i="1"/>
  <c r="I850" i="1"/>
  <c r="H850" i="1"/>
  <c r="G850" i="1"/>
  <c r="A850" i="1"/>
  <c r="J849" i="1"/>
  <c r="I849" i="1"/>
  <c r="H849" i="1"/>
  <c r="G849" i="1"/>
  <c r="A849" i="1"/>
  <c r="J848" i="1"/>
  <c r="I848" i="1"/>
  <c r="H848" i="1"/>
  <c r="G848" i="1"/>
  <c r="A848" i="1"/>
  <c r="J847" i="1"/>
  <c r="I847" i="1"/>
  <c r="H847" i="1"/>
  <c r="G847" i="1"/>
  <c r="A847" i="1"/>
  <c r="J846" i="1"/>
  <c r="I846" i="1"/>
  <c r="H846" i="1"/>
  <c r="G846" i="1"/>
  <c r="A846" i="1"/>
  <c r="J845" i="1"/>
  <c r="I845" i="1"/>
  <c r="H845" i="1"/>
  <c r="G845" i="1"/>
  <c r="A845" i="1"/>
  <c r="J844" i="1"/>
  <c r="I844" i="1"/>
  <c r="H844" i="1"/>
  <c r="G844" i="1"/>
  <c r="A844" i="1"/>
  <c r="J843" i="1"/>
  <c r="I843" i="1"/>
  <c r="H843" i="1"/>
  <c r="G843" i="1"/>
  <c r="A843" i="1"/>
  <c r="J842" i="1"/>
  <c r="I842" i="1"/>
  <c r="H842" i="1"/>
  <c r="G842" i="1"/>
  <c r="A842" i="1"/>
  <c r="J841" i="1"/>
  <c r="I841" i="1"/>
  <c r="H841" i="1"/>
  <c r="G841" i="1"/>
  <c r="A841" i="1"/>
  <c r="J840" i="1"/>
  <c r="I840" i="1"/>
  <c r="H840" i="1"/>
  <c r="G840" i="1"/>
  <c r="A840" i="1"/>
  <c r="J839" i="1"/>
  <c r="I839" i="1"/>
  <c r="H839" i="1"/>
  <c r="G839" i="1"/>
  <c r="A839" i="1"/>
  <c r="J838" i="1"/>
  <c r="I838" i="1"/>
  <c r="H838" i="1"/>
  <c r="G838" i="1"/>
  <c r="A838" i="1"/>
  <c r="J837" i="1"/>
  <c r="I837" i="1"/>
  <c r="H837" i="1"/>
  <c r="G837" i="1"/>
  <c r="A837" i="1"/>
  <c r="J836" i="1"/>
  <c r="I836" i="1"/>
  <c r="H836" i="1"/>
  <c r="G836" i="1"/>
  <c r="A836" i="1"/>
  <c r="J835" i="1"/>
  <c r="I835" i="1"/>
  <c r="H835" i="1"/>
  <c r="G835" i="1"/>
  <c r="A835" i="1"/>
  <c r="J834" i="1"/>
  <c r="I834" i="1"/>
  <c r="H834" i="1"/>
  <c r="G834" i="1"/>
  <c r="A834" i="1"/>
  <c r="J833" i="1"/>
  <c r="I833" i="1"/>
  <c r="H833" i="1"/>
  <c r="G833" i="1"/>
  <c r="A833" i="1"/>
  <c r="J832" i="1"/>
  <c r="I832" i="1"/>
  <c r="H832" i="1"/>
  <c r="G832" i="1"/>
  <c r="A832" i="1"/>
  <c r="J831" i="1"/>
  <c r="I831" i="1"/>
  <c r="H831" i="1"/>
  <c r="G831" i="1"/>
  <c r="A831" i="1"/>
  <c r="J830" i="1"/>
  <c r="I830" i="1"/>
  <c r="H830" i="1"/>
  <c r="G830" i="1"/>
  <c r="A830" i="1"/>
  <c r="J829" i="1"/>
  <c r="I829" i="1"/>
  <c r="H829" i="1"/>
  <c r="G829" i="1"/>
  <c r="A829" i="1"/>
  <c r="J828" i="1"/>
  <c r="I828" i="1"/>
  <c r="H828" i="1"/>
  <c r="G828" i="1"/>
  <c r="A828" i="1"/>
  <c r="J827" i="1"/>
  <c r="I827" i="1"/>
  <c r="H827" i="1"/>
  <c r="G827" i="1"/>
  <c r="A827" i="1"/>
  <c r="J826" i="1"/>
  <c r="I826" i="1"/>
  <c r="H826" i="1"/>
  <c r="G826" i="1"/>
  <c r="A826" i="1"/>
  <c r="J825" i="1"/>
  <c r="I825" i="1"/>
  <c r="H825" i="1"/>
  <c r="G825" i="1"/>
  <c r="A825" i="1"/>
  <c r="J824" i="1"/>
  <c r="I824" i="1"/>
  <c r="H824" i="1"/>
  <c r="G824" i="1"/>
  <c r="A824" i="1"/>
  <c r="J823" i="1"/>
  <c r="I823" i="1"/>
  <c r="H823" i="1"/>
  <c r="G823" i="1"/>
  <c r="A823" i="1"/>
  <c r="J822" i="1"/>
  <c r="I822" i="1"/>
  <c r="H822" i="1"/>
  <c r="G822" i="1"/>
  <c r="A822" i="1"/>
  <c r="J821" i="1"/>
  <c r="I821" i="1"/>
  <c r="H821" i="1"/>
  <c r="G821" i="1"/>
  <c r="A821" i="1"/>
  <c r="J820" i="1"/>
  <c r="I820" i="1"/>
  <c r="H820" i="1"/>
  <c r="G820" i="1"/>
  <c r="A820" i="1"/>
  <c r="J819" i="1"/>
  <c r="I819" i="1"/>
  <c r="H819" i="1"/>
  <c r="G819" i="1"/>
  <c r="A819" i="1"/>
  <c r="J818" i="1"/>
  <c r="I818" i="1"/>
  <c r="H818" i="1"/>
  <c r="G818" i="1"/>
  <c r="A818" i="1"/>
  <c r="J817" i="1"/>
  <c r="I817" i="1"/>
  <c r="H817" i="1"/>
  <c r="G817" i="1"/>
  <c r="A817" i="1"/>
  <c r="J816" i="1"/>
  <c r="I816" i="1"/>
  <c r="H816" i="1"/>
  <c r="G816" i="1"/>
  <c r="A816" i="1"/>
  <c r="J815" i="1"/>
  <c r="I815" i="1"/>
  <c r="H815" i="1"/>
  <c r="G815" i="1"/>
  <c r="A815" i="1"/>
  <c r="J814" i="1"/>
  <c r="I814" i="1"/>
  <c r="H814" i="1"/>
  <c r="G814" i="1"/>
  <c r="A814" i="1"/>
  <c r="J813" i="1"/>
  <c r="I813" i="1"/>
  <c r="H813" i="1"/>
  <c r="G813" i="1"/>
  <c r="A813" i="1"/>
  <c r="J812" i="1"/>
  <c r="I812" i="1"/>
  <c r="H812" i="1"/>
  <c r="G812" i="1"/>
  <c r="A812" i="1"/>
  <c r="J811" i="1"/>
  <c r="I811" i="1"/>
  <c r="H811" i="1"/>
  <c r="G811" i="1"/>
  <c r="A811" i="1"/>
  <c r="J810" i="1"/>
  <c r="I810" i="1"/>
  <c r="H810" i="1"/>
  <c r="G810" i="1"/>
  <c r="A810" i="1"/>
  <c r="J809" i="1"/>
  <c r="I809" i="1"/>
  <c r="H809" i="1"/>
  <c r="G809" i="1"/>
  <c r="A809" i="1"/>
  <c r="J808" i="1"/>
  <c r="I808" i="1"/>
  <c r="H808" i="1"/>
  <c r="G808" i="1"/>
  <c r="A808" i="1"/>
  <c r="J807" i="1"/>
  <c r="I807" i="1"/>
  <c r="H807" i="1"/>
  <c r="G807" i="1"/>
  <c r="A807" i="1"/>
  <c r="J806" i="1"/>
  <c r="I806" i="1"/>
  <c r="H806" i="1"/>
  <c r="G806" i="1"/>
  <c r="A806" i="1"/>
  <c r="J805" i="1"/>
  <c r="I805" i="1"/>
  <c r="H805" i="1"/>
  <c r="G805" i="1"/>
  <c r="A805" i="1"/>
  <c r="J804" i="1"/>
  <c r="I804" i="1"/>
  <c r="H804" i="1"/>
  <c r="G804" i="1"/>
  <c r="A804" i="1"/>
  <c r="J803" i="1"/>
  <c r="I803" i="1"/>
  <c r="H803" i="1"/>
  <c r="G803" i="1"/>
  <c r="A803" i="1"/>
  <c r="J802" i="1"/>
  <c r="I802" i="1"/>
  <c r="H802" i="1"/>
  <c r="G802" i="1"/>
  <c r="A802" i="1"/>
  <c r="J801" i="1"/>
  <c r="I801" i="1"/>
  <c r="H801" i="1"/>
  <c r="G801" i="1"/>
  <c r="A801" i="1"/>
  <c r="J800" i="1"/>
  <c r="I800" i="1"/>
  <c r="H800" i="1"/>
  <c r="G800" i="1"/>
  <c r="A800" i="1"/>
  <c r="J799" i="1"/>
  <c r="I799" i="1"/>
  <c r="H799" i="1"/>
  <c r="G799" i="1"/>
  <c r="A799" i="1"/>
  <c r="J798" i="1"/>
  <c r="I798" i="1"/>
  <c r="H798" i="1"/>
  <c r="G798" i="1"/>
  <c r="A798" i="1"/>
  <c r="J797" i="1"/>
  <c r="I797" i="1"/>
  <c r="H797" i="1"/>
  <c r="G797" i="1"/>
  <c r="A797" i="1"/>
  <c r="J796" i="1"/>
  <c r="I796" i="1"/>
  <c r="H796" i="1"/>
  <c r="G796" i="1"/>
  <c r="A796" i="1"/>
  <c r="J795" i="1"/>
  <c r="I795" i="1"/>
  <c r="H795" i="1"/>
  <c r="G795" i="1"/>
  <c r="A795" i="1"/>
  <c r="J794" i="1"/>
  <c r="I794" i="1"/>
  <c r="H794" i="1"/>
  <c r="G794" i="1"/>
  <c r="A794" i="1"/>
  <c r="J793" i="1"/>
  <c r="I793" i="1"/>
  <c r="H793" i="1"/>
  <c r="G793" i="1"/>
  <c r="A793" i="1"/>
  <c r="J792" i="1"/>
  <c r="I792" i="1"/>
  <c r="H792" i="1"/>
  <c r="G792" i="1"/>
  <c r="A792" i="1"/>
  <c r="J791" i="1"/>
  <c r="I791" i="1"/>
  <c r="H791" i="1"/>
  <c r="G791" i="1"/>
  <c r="A791" i="1"/>
  <c r="J790" i="1"/>
  <c r="I790" i="1"/>
  <c r="H790" i="1"/>
  <c r="G790" i="1"/>
  <c r="A790" i="1"/>
  <c r="J789" i="1"/>
  <c r="I789" i="1"/>
  <c r="H789" i="1"/>
  <c r="G789" i="1"/>
  <c r="A789" i="1"/>
  <c r="J788" i="1"/>
  <c r="I788" i="1"/>
  <c r="H788" i="1"/>
  <c r="G788" i="1"/>
  <c r="A788" i="1"/>
  <c r="J787" i="1"/>
  <c r="I787" i="1"/>
  <c r="H787" i="1"/>
  <c r="G787" i="1"/>
  <c r="A787" i="1"/>
  <c r="J786" i="1"/>
  <c r="I786" i="1"/>
  <c r="H786" i="1"/>
  <c r="G786" i="1"/>
  <c r="A786" i="1"/>
  <c r="J785" i="1"/>
  <c r="I785" i="1"/>
  <c r="H785" i="1"/>
  <c r="G785" i="1"/>
  <c r="A785" i="1"/>
  <c r="J784" i="1"/>
  <c r="I784" i="1"/>
  <c r="H784" i="1"/>
  <c r="G784" i="1"/>
  <c r="A784" i="1"/>
  <c r="J783" i="1"/>
  <c r="I783" i="1"/>
  <c r="H783" i="1"/>
  <c r="G783" i="1"/>
  <c r="A783" i="1"/>
  <c r="J782" i="1"/>
  <c r="I782" i="1"/>
  <c r="H782" i="1"/>
  <c r="G782" i="1"/>
  <c r="A782" i="1"/>
  <c r="J781" i="1"/>
  <c r="I781" i="1"/>
  <c r="H781" i="1"/>
  <c r="G781" i="1"/>
  <c r="A781" i="1"/>
  <c r="J780" i="1"/>
  <c r="I780" i="1"/>
  <c r="H780" i="1"/>
  <c r="G780" i="1"/>
  <c r="A780" i="1"/>
  <c r="J779" i="1"/>
  <c r="I779" i="1"/>
  <c r="H779" i="1"/>
  <c r="G779" i="1"/>
  <c r="A779" i="1"/>
  <c r="J778" i="1"/>
  <c r="I778" i="1"/>
  <c r="H778" i="1"/>
  <c r="G778" i="1"/>
  <c r="A778" i="1"/>
  <c r="J777" i="1"/>
  <c r="I777" i="1"/>
  <c r="H777" i="1"/>
  <c r="G777" i="1"/>
  <c r="A777" i="1"/>
  <c r="J776" i="1"/>
  <c r="I776" i="1"/>
  <c r="H776" i="1"/>
  <c r="G776" i="1"/>
  <c r="A776" i="1"/>
  <c r="J775" i="1"/>
  <c r="I775" i="1"/>
  <c r="H775" i="1"/>
  <c r="G775" i="1"/>
  <c r="A775" i="1"/>
  <c r="J774" i="1"/>
  <c r="I774" i="1"/>
  <c r="H774" i="1"/>
  <c r="G774" i="1"/>
  <c r="A774" i="1"/>
  <c r="J773" i="1"/>
  <c r="I773" i="1"/>
  <c r="H773" i="1"/>
  <c r="G773" i="1"/>
  <c r="A773" i="1"/>
  <c r="J772" i="1"/>
  <c r="I772" i="1"/>
  <c r="H772" i="1"/>
  <c r="G772" i="1"/>
  <c r="A772" i="1"/>
  <c r="J771" i="1"/>
  <c r="I771" i="1"/>
  <c r="H771" i="1"/>
  <c r="G771" i="1"/>
  <c r="A771" i="1"/>
  <c r="J770" i="1"/>
  <c r="I770" i="1"/>
  <c r="H770" i="1"/>
  <c r="G770" i="1"/>
  <c r="A770" i="1"/>
  <c r="J769" i="1"/>
  <c r="I769" i="1"/>
  <c r="H769" i="1"/>
  <c r="G769" i="1"/>
  <c r="A769" i="1"/>
  <c r="J768" i="1"/>
  <c r="I768" i="1"/>
  <c r="H768" i="1"/>
  <c r="G768" i="1"/>
  <c r="A768" i="1"/>
  <c r="J767" i="1"/>
  <c r="I767" i="1"/>
  <c r="H767" i="1"/>
  <c r="G767" i="1"/>
  <c r="A767" i="1"/>
  <c r="J766" i="1"/>
  <c r="I766" i="1"/>
  <c r="H766" i="1"/>
  <c r="G766" i="1"/>
  <c r="A766" i="1"/>
  <c r="J765" i="1"/>
  <c r="I765" i="1"/>
  <c r="H765" i="1"/>
  <c r="G765" i="1"/>
  <c r="A765" i="1"/>
  <c r="J764" i="1"/>
  <c r="I764" i="1"/>
  <c r="H764" i="1"/>
  <c r="G764" i="1"/>
  <c r="A764" i="1"/>
  <c r="J763" i="1"/>
  <c r="I763" i="1"/>
  <c r="H763" i="1"/>
  <c r="G763" i="1"/>
  <c r="A763" i="1"/>
  <c r="J762" i="1"/>
  <c r="I762" i="1"/>
  <c r="H762" i="1"/>
  <c r="G762" i="1"/>
  <c r="A762" i="1"/>
  <c r="J761" i="1"/>
  <c r="I761" i="1"/>
  <c r="H761" i="1"/>
  <c r="G761" i="1"/>
  <c r="A761" i="1"/>
  <c r="J760" i="1"/>
  <c r="I760" i="1"/>
  <c r="H760" i="1"/>
  <c r="G760" i="1"/>
  <c r="A760" i="1"/>
  <c r="J759" i="1"/>
  <c r="I759" i="1"/>
  <c r="H759" i="1"/>
  <c r="G759" i="1"/>
  <c r="A759" i="1"/>
  <c r="J758" i="1"/>
  <c r="I758" i="1"/>
  <c r="H758" i="1"/>
  <c r="G758" i="1"/>
  <c r="A758" i="1"/>
  <c r="J757" i="1"/>
  <c r="I757" i="1"/>
  <c r="H757" i="1"/>
  <c r="G757" i="1"/>
  <c r="A757" i="1"/>
  <c r="J756" i="1"/>
  <c r="I756" i="1"/>
  <c r="H756" i="1"/>
  <c r="G756" i="1"/>
  <c r="A756" i="1"/>
  <c r="J755" i="1"/>
  <c r="I755" i="1"/>
  <c r="H755" i="1"/>
  <c r="G755" i="1"/>
  <c r="A755" i="1"/>
  <c r="J754" i="1"/>
  <c r="I754" i="1"/>
  <c r="H754" i="1"/>
  <c r="G754" i="1"/>
  <c r="A754" i="1"/>
  <c r="J753" i="1"/>
  <c r="I753" i="1"/>
  <c r="H753" i="1"/>
  <c r="G753" i="1"/>
  <c r="A753" i="1"/>
  <c r="J752" i="1"/>
  <c r="I752" i="1"/>
  <c r="H752" i="1"/>
  <c r="G752" i="1"/>
  <c r="A752" i="1"/>
  <c r="J751" i="1"/>
  <c r="I751" i="1"/>
  <c r="H751" i="1"/>
  <c r="G751" i="1"/>
  <c r="A751" i="1"/>
  <c r="J750" i="1"/>
  <c r="I750" i="1"/>
  <c r="H750" i="1"/>
  <c r="G750" i="1"/>
  <c r="A750" i="1"/>
  <c r="J749" i="1"/>
  <c r="I749" i="1"/>
  <c r="H749" i="1"/>
  <c r="G749" i="1"/>
  <c r="A749" i="1"/>
  <c r="J748" i="1"/>
  <c r="I748" i="1"/>
  <c r="H748" i="1"/>
  <c r="G748" i="1"/>
  <c r="A748" i="1"/>
  <c r="J747" i="1"/>
  <c r="I747" i="1"/>
  <c r="H747" i="1"/>
  <c r="G747" i="1"/>
  <c r="A747" i="1"/>
  <c r="J746" i="1"/>
  <c r="I746" i="1"/>
  <c r="H746" i="1"/>
  <c r="G746" i="1"/>
  <c r="A746" i="1"/>
  <c r="J745" i="1"/>
  <c r="I745" i="1"/>
  <c r="H745" i="1"/>
  <c r="G745" i="1"/>
  <c r="A745" i="1"/>
  <c r="J744" i="1"/>
  <c r="I744" i="1"/>
  <c r="H744" i="1"/>
  <c r="G744" i="1"/>
  <c r="A744" i="1"/>
  <c r="J743" i="1"/>
  <c r="I743" i="1"/>
  <c r="H743" i="1"/>
  <c r="G743" i="1"/>
  <c r="A743" i="1"/>
  <c r="J742" i="1"/>
  <c r="I742" i="1"/>
  <c r="H742" i="1"/>
  <c r="G742" i="1"/>
  <c r="A742" i="1"/>
  <c r="J741" i="1"/>
  <c r="I741" i="1"/>
  <c r="H741" i="1"/>
  <c r="G741" i="1"/>
  <c r="A741" i="1"/>
  <c r="J740" i="1"/>
  <c r="I740" i="1"/>
  <c r="H740" i="1"/>
  <c r="G740" i="1"/>
  <c r="A740" i="1"/>
  <c r="J739" i="1"/>
  <c r="I739" i="1"/>
  <c r="H739" i="1"/>
  <c r="G739" i="1"/>
  <c r="A739" i="1"/>
  <c r="J738" i="1"/>
  <c r="I738" i="1"/>
  <c r="H738" i="1"/>
  <c r="G738" i="1"/>
  <c r="A738" i="1"/>
  <c r="J737" i="1"/>
  <c r="I737" i="1"/>
  <c r="H737" i="1"/>
  <c r="G737" i="1"/>
  <c r="A737" i="1"/>
  <c r="J736" i="1"/>
  <c r="I736" i="1"/>
  <c r="H736" i="1"/>
  <c r="G736" i="1"/>
  <c r="A736" i="1"/>
  <c r="J735" i="1"/>
  <c r="I735" i="1"/>
  <c r="H735" i="1"/>
  <c r="G735" i="1"/>
  <c r="A735" i="1"/>
  <c r="J734" i="1"/>
  <c r="I734" i="1"/>
  <c r="H734" i="1"/>
  <c r="G734" i="1"/>
  <c r="A734" i="1"/>
  <c r="J733" i="1"/>
  <c r="I733" i="1"/>
  <c r="H733" i="1"/>
  <c r="G733" i="1"/>
  <c r="A733" i="1"/>
  <c r="J732" i="1"/>
  <c r="I732" i="1"/>
  <c r="H732" i="1"/>
  <c r="G732" i="1"/>
  <c r="A732" i="1"/>
  <c r="J731" i="1"/>
  <c r="I731" i="1"/>
  <c r="H731" i="1"/>
  <c r="G731" i="1"/>
  <c r="A731" i="1"/>
  <c r="J730" i="1"/>
  <c r="I730" i="1"/>
  <c r="H730" i="1"/>
  <c r="G730" i="1"/>
  <c r="A730" i="1"/>
  <c r="J729" i="1"/>
  <c r="I729" i="1"/>
  <c r="H729" i="1"/>
  <c r="G729" i="1"/>
  <c r="A729" i="1"/>
  <c r="J728" i="1"/>
  <c r="I728" i="1"/>
  <c r="H728" i="1"/>
  <c r="G728" i="1"/>
  <c r="A728" i="1"/>
  <c r="J727" i="1"/>
  <c r="I727" i="1"/>
  <c r="H727" i="1"/>
  <c r="G727" i="1"/>
  <c r="A727" i="1"/>
  <c r="J726" i="1"/>
  <c r="I726" i="1"/>
  <c r="H726" i="1"/>
  <c r="G726" i="1"/>
  <c r="A726" i="1"/>
  <c r="J725" i="1"/>
  <c r="I725" i="1"/>
  <c r="H725" i="1"/>
  <c r="G725" i="1"/>
  <c r="A725" i="1"/>
  <c r="J724" i="1"/>
  <c r="I724" i="1"/>
  <c r="H724" i="1"/>
  <c r="G724" i="1"/>
  <c r="A724" i="1"/>
  <c r="J723" i="1"/>
  <c r="I723" i="1"/>
  <c r="H723" i="1"/>
  <c r="G723" i="1"/>
  <c r="A723" i="1"/>
  <c r="J722" i="1"/>
  <c r="I722" i="1"/>
  <c r="H722" i="1"/>
  <c r="G722" i="1"/>
  <c r="A722" i="1"/>
  <c r="J721" i="1"/>
  <c r="I721" i="1"/>
  <c r="H721" i="1"/>
  <c r="G721" i="1"/>
  <c r="A721" i="1"/>
  <c r="J720" i="1"/>
  <c r="I720" i="1"/>
  <c r="H720" i="1"/>
  <c r="G720" i="1"/>
  <c r="A720" i="1"/>
  <c r="J719" i="1"/>
  <c r="I719" i="1"/>
  <c r="H719" i="1"/>
  <c r="G719" i="1"/>
  <c r="A719" i="1"/>
  <c r="J718" i="1"/>
  <c r="I718" i="1"/>
  <c r="H718" i="1"/>
  <c r="G718" i="1"/>
  <c r="A718" i="1"/>
  <c r="J717" i="1"/>
  <c r="I717" i="1"/>
  <c r="H717" i="1"/>
  <c r="G717" i="1"/>
  <c r="A717" i="1"/>
  <c r="J716" i="1"/>
  <c r="I716" i="1"/>
  <c r="H716" i="1"/>
  <c r="G716" i="1"/>
  <c r="A716" i="1"/>
  <c r="J715" i="1"/>
  <c r="I715" i="1"/>
  <c r="H715" i="1"/>
  <c r="G715" i="1"/>
  <c r="A715" i="1"/>
  <c r="J714" i="1"/>
  <c r="I714" i="1"/>
  <c r="H714" i="1"/>
  <c r="G714" i="1"/>
  <c r="A714" i="1"/>
  <c r="J713" i="1"/>
  <c r="I713" i="1"/>
  <c r="H713" i="1"/>
  <c r="G713" i="1"/>
  <c r="A713" i="1"/>
  <c r="J712" i="1"/>
  <c r="I712" i="1"/>
  <c r="H712" i="1"/>
  <c r="G712" i="1"/>
  <c r="A712" i="1"/>
  <c r="J711" i="1"/>
  <c r="I711" i="1"/>
  <c r="H711" i="1"/>
  <c r="G711" i="1"/>
  <c r="A711" i="1"/>
  <c r="J710" i="1"/>
  <c r="I710" i="1"/>
  <c r="H710" i="1"/>
  <c r="G710" i="1"/>
  <c r="A710" i="1"/>
  <c r="J709" i="1"/>
  <c r="I709" i="1"/>
  <c r="H709" i="1"/>
  <c r="G709" i="1"/>
  <c r="A709" i="1"/>
  <c r="J708" i="1"/>
  <c r="I708" i="1"/>
  <c r="H708" i="1"/>
  <c r="G708" i="1"/>
  <c r="A708" i="1"/>
  <c r="J707" i="1"/>
  <c r="I707" i="1"/>
  <c r="H707" i="1"/>
  <c r="G707" i="1"/>
  <c r="A707" i="1"/>
  <c r="J706" i="1"/>
  <c r="I706" i="1"/>
  <c r="H706" i="1"/>
  <c r="G706" i="1"/>
  <c r="A706" i="1"/>
  <c r="J705" i="1"/>
  <c r="I705" i="1"/>
  <c r="H705" i="1"/>
  <c r="G705" i="1"/>
  <c r="A705" i="1"/>
  <c r="J704" i="1"/>
  <c r="I704" i="1"/>
  <c r="H704" i="1"/>
  <c r="G704" i="1"/>
  <c r="A704" i="1"/>
  <c r="J703" i="1"/>
  <c r="I703" i="1"/>
  <c r="H703" i="1"/>
  <c r="G703" i="1"/>
  <c r="A703" i="1"/>
  <c r="J702" i="1"/>
  <c r="I702" i="1"/>
  <c r="H702" i="1"/>
  <c r="G702" i="1"/>
  <c r="A702" i="1"/>
  <c r="J701" i="1"/>
  <c r="I701" i="1"/>
  <c r="H701" i="1"/>
  <c r="G701" i="1"/>
  <c r="A701" i="1"/>
  <c r="J700" i="1"/>
  <c r="I700" i="1"/>
  <c r="H700" i="1"/>
  <c r="G700" i="1"/>
  <c r="A700" i="1"/>
  <c r="J699" i="1"/>
  <c r="I699" i="1"/>
  <c r="H699" i="1"/>
  <c r="G699" i="1"/>
  <c r="A699" i="1"/>
  <c r="J698" i="1"/>
  <c r="I698" i="1"/>
  <c r="H698" i="1"/>
  <c r="G698" i="1"/>
  <c r="A698" i="1"/>
  <c r="J697" i="1"/>
  <c r="I697" i="1"/>
  <c r="H697" i="1"/>
  <c r="G697" i="1"/>
  <c r="A697" i="1"/>
  <c r="J696" i="1"/>
  <c r="I696" i="1"/>
  <c r="H696" i="1"/>
  <c r="G696" i="1"/>
  <c r="A696" i="1"/>
  <c r="J695" i="1"/>
  <c r="I695" i="1"/>
  <c r="H695" i="1"/>
  <c r="G695" i="1"/>
  <c r="A695" i="1"/>
  <c r="J694" i="1"/>
  <c r="I694" i="1"/>
  <c r="H694" i="1"/>
  <c r="G694" i="1"/>
  <c r="A694" i="1"/>
  <c r="J693" i="1"/>
  <c r="I693" i="1"/>
  <c r="H693" i="1"/>
  <c r="G693" i="1"/>
  <c r="A693" i="1"/>
  <c r="J692" i="1"/>
  <c r="I692" i="1"/>
  <c r="H692" i="1"/>
  <c r="G692" i="1"/>
  <c r="A692" i="1"/>
  <c r="J691" i="1"/>
  <c r="I691" i="1"/>
  <c r="H691" i="1"/>
  <c r="G691" i="1"/>
  <c r="A691" i="1"/>
  <c r="J690" i="1"/>
  <c r="I690" i="1"/>
  <c r="H690" i="1"/>
  <c r="G690" i="1"/>
  <c r="A690" i="1"/>
  <c r="J689" i="1"/>
  <c r="I689" i="1"/>
  <c r="H689" i="1"/>
  <c r="G689" i="1"/>
  <c r="A689" i="1"/>
  <c r="J688" i="1"/>
  <c r="I688" i="1"/>
  <c r="H688" i="1"/>
  <c r="G688" i="1"/>
  <c r="A688" i="1"/>
  <c r="J687" i="1"/>
  <c r="I687" i="1"/>
  <c r="H687" i="1"/>
  <c r="G687" i="1"/>
  <c r="A687" i="1"/>
  <c r="J686" i="1"/>
  <c r="I686" i="1"/>
  <c r="H686" i="1"/>
  <c r="G686" i="1"/>
  <c r="A686" i="1"/>
  <c r="J685" i="1"/>
  <c r="I685" i="1"/>
  <c r="H685" i="1"/>
  <c r="G685" i="1"/>
  <c r="A685" i="1"/>
  <c r="J684" i="1"/>
  <c r="I684" i="1"/>
  <c r="H684" i="1"/>
  <c r="G684" i="1"/>
  <c r="A684" i="1"/>
  <c r="J683" i="1"/>
  <c r="I683" i="1"/>
  <c r="H683" i="1"/>
  <c r="G683" i="1"/>
  <c r="A683" i="1"/>
  <c r="J682" i="1"/>
  <c r="I682" i="1"/>
  <c r="H682" i="1"/>
  <c r="G682" i="1"/>
  <c r="A682" i="1"/>
  <c r="J681" i="1"/>
  <c r="I681" i="1"/>
  <c r="H681" i="1"/>
  <c r="G681" i="1"/>
  <c r="A681" i="1"/>
  <c r="J680" i="1"/>
  <c r="I680" i="1"/>
  <c r="H680" i="1"/>
  <c r="G680" i="1"/>
  <c r="A680" i="1"/>
  <c r="J679" i="1"/>
  <c r="I679" i="1"/>
  <c r="H679" i="1"/>
  <c r="G679" i="1"/>
  <c r="A679" i="1"/>
  <c r="J678" i="1"/>
  <c r="I678" i="1"/>
  <c r="H678" i="1"/>
  <c r="G678" i="1"/>
  <c r="A678" i="1"/>
  <c r="J677" i="1"/>
  <c r="I677" i="1"/>
  <c r="H677" i="1"/>
  <c r="G677" i="1"/>
  <c r="A677" i="1"/>
  <c r="J676" i="1"/>
  <c r="I676" i="1"/>
  <c r="H676" i="1"/>
  <c r="G676" i="1"/>
  <c r="A676" i="1"/>
  <c r="J675" i="1"/>
  <c r="I675" i="1"/>
  <c r="H675" i="1"/>
  <c r="G675" i="1"/>
  <c r="A675" i="1"/>
  <c r="J674" i="1"/>
  <c r="I674" i="1"/>
  <c r="H674" i="1"/>
  <c r="G674" i="1"/>
  <c r="A674" i="1"/>
  <c r="J673" i="1"/>
  <c r="I673" i="1"/>
  <c r="H673" i="1"/>
  <c r="G673" i="1"/>
  <c r="A673" i="1"/>
  <c r="J672" i="1"/>
  <c r="I672" i="1"/>
  <c r="H672" i="1"/>
  <c r="G672" i="1"/>
  <c r="A672" i="1"/>
  <c r="J671" i="1"/>
  <c r="I671" i="1"/>
  <c r="H671" i="1"/>
  <c r="G671" i="1"/>
  <c r="A671" i="1"/>
  <c r="J670" i="1"/>
  <c r="I670" i="1"/>
  <c r="H670" i="1"/>
  <c r="G670" i="1"/>
  <c r="A670" i="1"/>
  <c r="J669" i="1"/>
  <c r="I669" i="1"/>
  <c r="H669" i="1"/>
  <c r="G669" i="1"/>
  <c r="A669" i="1"/>
  <c r="J668" i="1"/>
  <c r="I668" i="1"/>
  <c r="H668" i="1"/>
  <c r="G668" i="1"/>
  <c r="A668" i="1"/>
  <c r="J667" i="1"/>
  <c r="I667" i="1"/>
  <c r="H667" i="1"/>
  <c r="G667" i="1"/>
  <c r="A667" i="1"/>
  <c r="J666" i="1"/>
  <c r="I666" i="1"/>
  <c r="H666" i="1"/>
  <c r="G666" i="1"/>
  <c r="A666" i="1"/>
  <c r="J665" i="1"/>
  <c r="I665" i="1"/>
  <c r="H665" i="1"/>
  <c r="G665" i="1"/>
  <c r="A665" i="1"/>
  <c r="J664" i="1"/>
  <c r="I664" i="1"/>
  <c r="H664" i="1"/>
  <c r="G664" i="1"/>
  <c r="A664" i="1"/>
  <c r="J663" i="1"/>
  <c r="I663" i="1"/>
  <c r="H663" i="1"/>
  <c r="G663" i="1"/>
  <c r="A663" i="1"/>
  <c r="J662" i="1"/>
  <c r="I662" i="1"/>
  <c r="H662" i="1"/>
  <c r="G662" i="1"/>
  <c r="A662" i="1"/>
  <c r="J661" i="1"/>
  <c r="I661" i="1"/>
  <c r="H661" i="1"/>
  <c r="G661" i="1"/>
  <c r="A661" i="1"/>
  <c r="J660" i="1"/>
  <c r="I660" i="1"/>
  <c r="H660" i="1"/>
  <c r="G660" i="1"/>
  <c r="A660" i="1"/>
  <c r="J659" i="1"/>
  <c r="I659" i="1"/>
  <c r="H659" i="1"/>
  <c r="G659" i="1"/>
  <c r="A659" i="1"/>
  <c r="J658" i="1"/>
  <c r="I658" i="1"/>
  <c r="H658" i="1"/>
  <c r="G658" i="1"/>
  <c r="A658" i="1"/>
  <c r="J657" i="1"/>
  <c r="I657" i="1"/>
  <c r="H657" i="1"/>
  <c r="G657" i="1"/>
  <c r="A657" i="1"/>
  <c r="J656" i="1"/>
  <c r="I656" i="1"/>
  <c r="H656" i="1"/>
  <c r="G656" i="1"/>
  <c r="A656" i="1"/>
  <c r="J655" i="1"/>
  <c r="I655" i="1"/>
  <c r="H655" i="1"/>
  <c r="G655" i="1"/>
  <c r="A655" i="1"/>
  <c r="J654" i="1"/>
  <c r="I654" i="1"/>
  <c r="H654" i="1"/>
  <c r="G654" i="1"/>
  <c r="A654" i="1"/>
  <c r="J653" i="1"/>
  <c r="I653" i="1"/>
  <c r="H653" i="1"/>
  <c r="G653" i="1"/>
  <c r="A653" i="1"/>
  <c r="J652" i="1"/>
  <c r="I652" i="1"/>
  <c r="H652" i="1"/>
  <c r="G652" i="1"/>
  <c r="A652" i="1"/>
  <c r="J651" i="1"/>
  <c r="I651" i="1"/>
  <c r="H651" i="1"/>
  <c r="G651" i="1"/>
  <c r="A651" i="1"/>
  <c r="J650" i="1"/>
  <c r="I650" i="1"/>
  <c r="H650" i="1"/>
  <c r="G650" i="1"/>
  <c r="A650" i="1"/>
  <c r="J649" i="1"/>
  <c r="I649" i="1"/>
  <c r="H649" i="1"/>
  <c r="G649" i="1"/>
  <c r="A649" i="1"/>
  <c r="J648" i="1"/>
  <c r="I648" i="1"/>
  <c r="H648" i="1"/>
  <c r="G648" i="1"/>
  <c r="A648" i="1"/>
  <c r="J647" i="1"/>
  <c r="I647" i="1"/>
  <c r="H647" i="1"/>
  <c r="G647" i="1"/>
  <c r="A647" i="1"/>
  <c r="J646" i="1"/>
  <c r="I646" i="1"/>
  <c r="H646" i="1"/>
  <c r="G646" i="1"/>
  <c r="A646" i="1"/>
  <c r="J645" i="1"/>
  <c r="I645" i="1"/>
  <c r="H645" i="1"/>
  <c r="G645" i="1"/>
  <c r="A645" i="1"/>
  <c r="J644" i="1"/>
  <c r="I644" i="1"/>
  <c r="H644" i="1"/>
  <c r="G644" i="1"/>
  <c r="A644" i="1"/>
  <c r="J643" i="1"/>
  <c r="I643" i="1"/>
  <c r="H643" i="1"/>
  <c r="G643" i="1"/>
  <c r="A643" i="1"/>
  <c r="J642" i="1"/>
  <c r="I642" i="1"/>
  <c r="H642" i="1"/>
  <c r="G642" i="1"/>
  <c r="A642" i="1"/>
  <c r="J641" i="1"/>
  <c r="I641" i="1"/>
  <c r="H641" i="1"/>
  <c r="G641" i="1"/>
  <c r="A641" i="1"/>
  <c r="J640" i="1"/>
  <c r="I640" i="1"/>
  <c r="H640" i="1"/>
  <c r="G640" i="1"/>
  <c r="A640" i="1"/>
  <c r="J639" i="1"/>
  <c r="I639" i="1"/>
  <c r="H639" i="1"/>
  <c r="G639" i="1"/>
  <c r="A639" i="1"/>
  <c r="J638" i="1"/>
  <c r="I638" i="1"/>
  <c r="H638" i="1"/>
  <c r="G638" i="1"/>
  <c r="A638" i="1"/>
  <c r="J637" i="1"/>
  <c r="I637" i="1"/>
  <c r="H637" i="1"/>
  <c r="G637" i="1"/>
  <c r="A637" i="1"/>
  <c r="J636" i="1"/>
  <c r="I636" i="1"/>
  <c r="H636" i="1"/>
  <c r="G636" i="1"/>
  <c r="A636" i="1"/>
  <c r="J635" i="1"/>
  <c r="I635" i="1"/>
  <c r="H635" i="1"/>
  <c r="G635" i="1"/>
  <c r="A635" i="1"/>
  <c r="J634" i="1"/>
  <c r="I634" i="1"/>
  <c r="H634" i="1"/>
  <c r="G634" i="1"/>
  <c r="A634" i="1"/>
  <c r="J633" i="1"/>
  <c r="I633" i="1"/>
  <c r="H633" i="1"/>
  <c r="G633" i="1"/>
  <c r="A633" i="1"/>
  <c r="J632" i="1"/>
  <c r="I632" i="1"/>
  <c r="H632" i="1"/>
  <c r="G632" i="1"/>
  <c r="A632" i="1"/>
  <c r="J631" i="1"/>
  <c r="I631" i="1"/>
  <c r="H631" i="1"/>
  <c r="G631" i="1"/>
  <c r="A631" i="1"/>
  <c r="J630" i="1"/>
  <c r="I630" i="1"/>
  <c r="H630" i="1"/>
  <c r="G630" i="1"/>
  <c r="A630" i="1"/>
  <c r="J629" i="1"/>
  <c r="I629" i="1"/>
  <c r="H629" i="1"/>
  <c r="G629" i="1"/>
  <c r="A629" i="1"/>
  <c r="J628" i="1"/>
  <c r="I628" i="1"/>
  <c r="H628" i="1"/>
  <c r="G628" i="1"/>
  <c r="A628" i="1"/>
  <c r="J627" i="1"/>
  <c r="I627" i="1"/>
  <c r="H627" i="1"/>
  <c r="G627" i="1"/>
  <c r="A627" i="1"/>
  <c r="J626" i="1"/>
  <c r="I626" i="1"/>
  <c r="H626" i="1"/>
  <c r="G626" i="1"/>
  <c r="A626" i="1"/>
  <c r="J625" i="1"/>
  <c r="I625" i="1"/>
  <c r="H625" i="1"/>
  <c r="G625" i="1"/>
  <c r="A625" i="1"/>
  <c r="J624" i="1"/>
  <c r="I624" i="1"/>
  <c r="H624" i="1"/>
  <c r="G624" i="1"/>
  <c r="A624" i="1"/>
  <c r="J623" i="1"/>
  <c r="I623" i="1"/>
  <c r="H623" i="1"/>
  <c r="G623" i="1"/>
  <c r="A623" i="1"/>
  <c r="J622" i="1"/>
  <c r="I622" i="1"/>
  <c r="H622" i="1"/>
  <c r="G622" i="1"/>
  <c r="A622" i="1"/>
  <c r="J621" i="1"/>
  <c r="I621" i="1"/>
  <c r="H621" i="1"/>
  <c r="G621" i="1"/>
  <c r="A621" i="1"/>
  <c r="J620" i="1"/>
  <c r="I620" i="1"/>
  <c r="H620" i="1"/>
  <c r="G620" i="1"/>
  <c r="A620" i="1"/>
  <c r="J619" i="1"/>
  <c r="I619" i="1"/>
  <c r="H619" i="1"/>
  <c r="G619" i="1"/>
  <c r="A619" i="1"/>
  <c r="J618" i="1"/>
  <c r="I618" i="1"/>
  <c r="H618" i="1"/>
  <c r="G618" i="1"/>
  <c r="A618" i="1"/>
  <c r="J617" i="1"/>
  <c r="I617" i="1"/>
  <c r="H617" i="1"/>
  <c r="G617" i="1"/>
  <c r="A617" i="1"/>
  <c r="J616" i="1"/>
  <c r="I616" i="1"/>
  <c r="H616" i="1"/>
  <c r="G616" i="1"/>
  <c r="A616" i="1"/>
  <c r="J615" i="1"/>
  <c r="I615" i="1"/>
  <c r="H615" i="1"/>
  <c r="G615" i="1"/>
  <c r="A615" i="1"/>
  <c r="J614" i="1"/>
  <c r="I614" i="1"/>
  <c r="H614" i="1"/>
  <c r="G614" i="1"/>
  <c r="A614" i="1"/>
  <c r="J613" i="1"/>
  <c r="I613" i="1"/>
  <c r="H613" i="1"/>
  <c r="G613" i="1"/>
  <c r="A613" i="1"/>
  <c r="J612" i="1"/>
  <c r="I612" i="1"/>
  <c r="H612" i="1"/>
  <c r="G612" i="1"/>
  <c r="A612" i="1"/>
  <c r="J611" i="1"/>
  <c r="I611" i="1"/>
  <c r="H611" i="1"/>
  <c r="G611" i="1"/>
  <c r="A611" i="1"/>
  <c r="J610" i="1"/>
  <c r="I610" i="1"/>
  <c r="H610" i="1"/>
  <c r="G610" i="1"/>
  <c r="A610" i="1"/>
  <c r="J609" i="1"/>
  <c r="I609" i="1"/>
  <c r="H609" i="1"/>
  <c r="G609" i="1"/>
  <c r="A609" i="1"/>
  <c r="J608" i="1"/>
  <c r="I608" i="1"/>
  <c r="H608" i="1"/>
  <c r="G608" i="1"/>
  <c r="A608" i="1"/>
  <c r="J607" i="1"/>
  <c r="I607" i="1"/>
  <c r="H607" i="1"/>
  <c r="G607" i="1"/>
  <c r="A607" i="1"/>
  <c r="J606" i="1"/>
  <c r="I606" i="1"/>
  <c r="H606" i="1"/>
  <c r="G606" i="1"/>
  <c r="A606" i="1"/>
  <c r="J605" i="1"/>
  <c r="I605" i="1"/>
  <c r="H605" i="1"/>
  <c r="G605" i="1"/>
  <c r="A605" i="1"/>
  <c r="J604" i="1"/>
  <c r="I604" i="1"/>
  <c r="H604" i="1"/>
  <c r="G604" i="1"/>
  <c r="A604" i="1"/>
  <c r="J603" i="1"/>
  <c r="I603" i="1"/>
  <c r="H603" i="1"/>
  <c r="G603" i="1"/>
  <c r="A603" i="1"/>
  <c r="J602" i="1"/>
  <c r="I602" i="1"/>
  <c r="H602" i="1"/>
  <c r="G602" i="1"/>
  <c r="A602" i="1"/>
  <c r="J601" i="1"/>
  <c r="I601" i="1"/>
  <c r="H601" i="1"/>
  <c r="G601" i="1"/>
  <c r="A601" i="1"/>
  <c r="J600" i="1"/>
  <c r="I600" i="1"/>
  <c r="H600" i="1"/>
  <c r="G600" i="1"/>
  <c r="A600" i="1"/>
  <c r="J599" i="1"/>
  <c r="I599" i="1"/>
  <c r="H599" i="1"/>
  <c r="G599" i="1"/>
  <c r="A599" i="1"/>
  <c r="J598" i="1"/>
  <c r="I598" i="1"/>
  <c r="H598" i="1"/>
  <c r="G598" i="1"/>
  <c r="A598" i="1"/>
  <c r="J597" i="1"/>
  <c r="I597" i="1"/>
  <c r="H597" i="1"/>
  <c r="G597" i="1"/>
  <c r="A597" i="1"/>
  <c r="J596" i="1"/>
  <c r="I596" i="1"/>
  <c r="H596" i="1"/>
  <c r="G596" i="1"/>
  <c r="A596" i="1"/>
  <c r="J595" i="1"/>
  <c r="I595" i="1"/>
  <c r="H595" i="1"/>
  <c r="G595" i="1"/>
  <c r="A595" i="1"/>
  <c r="J594" i="1"/>
  <c r="I594" i="1"/>
  <c r="H594" i="1"/>
  <c r="G594" i="1"/>
  <c r="A594" i="1"/>
  <c r="J593" i="1"/>
  <c r="I593" i="1"/>
  <c r="H593" i="1"/>
  <c r="G593" i="1"/>
  <c r="A593" i="1"/>
  <c r="J592" i="1"/>
  <c r="I592" i="1"/>
  <c r="H592" i="1"/>
  <c r="G592" i="1"/>
  <c r="A592" i="1"/>
  <c r="J591" i="1"/>
  <c r="I591" i="1"/>
  <c r="H591" i="1"/>
  <c r="G591" i="1"/>
  <c r="A591" i="1"/>
  <c r="J590" i="1"/>
  <c r="I590" i="1"/>
  <c r="H590" i="1"/>
  <c r="G590" i="1"/>
  <c r="A590" i="1"/>
  <c r="J589" i="1"/>
  <c r="I589" i="1"/>
  <c r="H589" i="1"/>
  <c r="G589" i="1"/>
  <c r="A589" i="1"/>
  <c r="J588" i="1"/>
  <c r="I588" i="1"/>
  <c r="H588" i="1"/>
  <c r="G588" i="1"/>
  <c r="A588" i="1"/>
  <c r="J587" i="1"/>
  <c r="I587" i="1"/>
  <c r="H587" i="1"/>
  <c r="G587" i="1"/>
  <c r="A587" i="1"/>
  <c r="J586" i="1"/>
  <c r="I586" i="1"/>
  <c r="H586" i="1"/>
  <c r="G586" i="1"/>
  <c r="A586" i="1"/>
  <c r="J585" i="1"/>
  <c r="I585" i="1"/>
  <c r="H585" i="1"/>
  <c r="G585" i="1"/>
  <c r="A585" i="1"/>
  <c r="J584" i="1"/>
  <c r="I584" i="1"/>
  <c r="H584" i="1"/>
  <c r="G584" i="1"/>
  <c r="A584" i="1"/>
  <c r="J583" i="1"/>
  <c r="I583" i="1"/>
  <c r="H583" i="1"/>
  <c r="G583" i="1"/>
  <c r="A583" i="1"/>
  <c r="J582" i="1"/>
  <c r="I582" i="1"/>
  <c r="H582" i="1"/>
  <c r="G582" i="1"/>
  <c r="A582" i="1"/>
  <c r="J581" i="1"/>
  <c r="I581" i="1"/>
  <c r="H581" i="1"/>
  <c r="G581" i="1"/>
  <c r="A581" i="1"/>
  <c r="J580" i="1"/>
  <c r="I580" i="1"/>
  <c r="H580" i="1"/>
  <c r="G580" i="1"/>
  <c r="A580" i="1"/>
  <c r="J579" i="1"/>
  <c r="I579" i="1"/>
  <c r="H579" i="1"/>
  <c r="G579" i="1"/>
  <c r="A579" i="1"/>
  <c r="J578" i="1"/>
  <c r="I578" i="1"/>
  <c r="H578" i="1"/>
  <c r="G578" i="1"/>
  <c r="A578" i="1"/>
  <c r="J577" i="1"/>
  <c r="I577" i="1"/>
  <c r="H577" i="1"/>
  <c r="G577" i="1"/>
  <c r="A577" i="1"/>
  <c r="J576" i="1"/>
  <c r="I576" i="1"/>
  <c r="H576" i="1"/>
  <c r="G576" i="1"/>
  <c r="A576" i="1"/>
  <c r="J575" i="1"/>
  <c r="I575" i="1"/>
  <c r="H575" i="1"/>
  <c r="G575" i="1"/>
  <c r="A575" i="1"/>
  <c r="J574" i="1"/>
  <c r="I574" i="1"/>
  <c r="H574" i="1"/>
  <c r="G574" i="1"/>
  <c r="A574" i="1"/>
  <c r="J573" i="1"/>
  <c r="I573" i="1"/>
  <c r="H573" i="1"/>
  <c r="G573" i="1"/>
  <c r="A573" i="1"/>
  <c r="J572" i="1"/>
  <c r="I572" i="1"/>
  <c r="H572" i="1"/>
  <c r="G572" i="1"/>
  <c r="A572" i="1"/>
  <c r="J571" i="1"/>
  <c r="I571" i="1"/>
  <c r="H571" i="1"/>
  <c r="G571" i="1"/>
  <c r="A571" i="1"/>
  <c r="J570" i="1"/>
  <c r="I570" i="1"/>
  <c r="H570" i="1"/>
  <c r="G570" i="1"/>
  <c r="A570" i="1"/>
  <c r="J569" i="1"/>
  <c r="I569" i="1"/>
  <c r="H569" i="1"/>
  <c r="G569" i="1"/>
  <c r="A569" i="1"/>
  <c r="J568" i="1"/>
  <c r="I568" i="1"/>
  <c r="H568" i="1"/>
  <c r="G568" i="1"/>
  <c r="A568" i="1"/>
  <c r="J567" i="1"/>
  <c r="I567" i="1"/>
  <c r="H567" i="1"/>
  <c r="G567" i="1"/>
  <c r="A567" i="1"/>
  <c r="J566" i="1"/>
  <c r="I566" i="1"/>
  <c r="H566" i="1"/>
  <c r="G566" i="1"/>
  <c r="A566" i="1"/>
  <c r="J565" i="1"/>
  <c r="I565" i="1"/>
  <c r="H565" i="1"/>
  <c r="G565" i="1"/>
  <c r="A565" i="1"/>
  <c r="J564" i="1"/>
  <c r="I564" i="1"/>
  <c r="H564" i="1"/>
  <c r="G564" i="1"/>
  <c r="A564" i="1"/>
  <c r="J563" i="1"/>
  <c r="I563" i="1"/>
  <c r="H563" i="1"/>
  <c r="G563" i="1"/>
  <c r="A563" i="1"/>
  <c r="J562" i="1"/>
  <c r="I562" i="1"/>
  <c r="H562" i="1"/>
  <c r="G562" i="1"/>
  <c r="A562" i="1"/>
  <c r="J561" i="1"/>
  <c r="I561" i="1"/>
  <c r="H561" i="1"/>
  <c r="G561" i="1"/>
  <c r="A561" i="1"/>
  <c r="J560" i="1"/>
  <c r="I560" i="1"/>
  <c r="H560" i="1"/>
  <c r="G560" i="1"/>
  <c r="A560" i="1"/>
  <c r="J559" i="1"/>
  <c r="I559" i="1"/>
  <c r="H559" i="1"/>
  <c r="G559" i="1"/>
  <c r="A559" i="1"/>
  <c r="J558" i="1"/>
  <c r="I558" i="1"/>
  <c r="H558" i="1"/>
  <c r="G558" i="1"/>
  <c r="A558" i="1"/>
  <c r="J557" i="1"/>
  <c r="I557" i="1"/>
  <c r="H557" i="1"/>
  <c r="G557" i="1"/>
  <c r="A557" i="1"/>
  <c r="J556" i="1"/>
  <c r="I556" i="1"/>
  <c r="H556" i="1"/>
  <c r="G556" i="1"/>
  <c r="A556" i="1"/>
  <c r="J555" i="1"/>
  <c r="I555" i="1"/>
  <c r="H555" i="1"/>
  <c r="G555" i="1"/>
  <c r="A555" i="1"/>
  <c r="J554" i="1"/>
  <c r="I554" i="1"/>
  <c r="H554" i="1"/>
  <c r="G554" i="1"/>
  <c r="A554" i="1"/>
  <c r="J553" i="1"/>
  <c r="I553" i="1"/>
  <c r="H553" i="1"/>
  <c r="G553" i="1"/>
  <c r="A553" i="1"/>
  <c r="J552" i="1"/>
  <c r="I552" i="1"/>
  <c r="H552" i="1"/>
  <c r="G552" i="1"/>
  <c r="A552" i="1"/>
  <c r="J551" i="1"/>
  <c r="I551" i="1"/>
  <c r="H551" i="1"/>
  <c r="G551" i="1"/>
  <c r="A551" i="1"/>
  <c r="J550" i="1"/>
  <c r="I550" i="1"/>
  <c r="H550" i="1"/>
  <c r="G550" i="1"/>
  <c r="A550" i="1"/>
  <c r="J549" i="1"/>
  <c r="I549" i="1"/>
  <c r="H549" i="1"/>
  <c r="G549" i="1"/>
  <c r="A549" i="1"/>
  <c r="J548" i="1"/>
  <c r="I548" i="1"/>
  <c r="H548" i="1"/>
  <c r="G548" i="1"/>
  <c r="A548" i="1"/>
  <c r="J547" i="1"/>
  <c r="I547" i="1"/>
  <c r="H547" i="1"/>
  <c r="G547" i="1"/>
  <c r="A547" i="1"/>
  <c r="J546" i="1"/>
  <c r="I546" i="1"/>
  <c r="H546" i="1"/>
  <c r="G546" i="1"/>
  <c r="A546" i="1"/>
  <c r="J545" i="1"/>
  <c r="I545" i="1"/>
  <c r="H545" i="1"/>
  <c r="G545" i="1"/>
  <c r="A545" i="1"/>
  <c r="J544" i="1"/>
  <c r="I544" i="1"/>
  <c r="H544" i="1"/>
  <c r="G544" i="1"/>
  <c r="A544" i="1"/>
  <c r="J543" i="1"/>
  <c r="I543" i="1"/>
  <c r="H543" i="1"/>
  <c r="G543" i="1"/>
  <c r="A543" i="1"/>
  <c r="J542" i="1"/>
  <c r="I542" i="1"/>
  <c r="H542" i="1"/>
  <c r="G542" i="1"/>
  <c r="A542" i="1"/>
  <c r="J541" i="1"/>
  <c r="I541" i="1"/>
  <c r="H541" i="1"/>
  <c r="G541" i="1"/>
  <c r="A541" i="1"/>
  <c r="J540" i="1"/>
  <c r="I540" i="1"/>
  <c r="H540" i="1"/>
  <c r="G540" i="1"/>
  <c r="A540" i="1"/>
  <c r="J539" i="1"/>
  <c r="I539" i="1"/>
  <c r="H539" i="1"/>
  <c r="G539" i="1"/>
  <c r="A539" i="1"/>
  <c r="J538" i="1"/>
  <c r="I538" i="1"/>
  <c r="H538" i="1"/>
  <c r="G538" i="1"/>
  <c r="A538" i="1"/>
  <c r="J537" i="1"/>
  <c r="I537" i="1"/>
  <c r="H537" i="1"/>
  <c r="G537" i="1"/>
  <c r="A537" i="1"/>
  <c r="J536" i="1"/>
  <c r="I536" i="1"/>
  <c r="H536" i="1"/>
  <c r="G536" i="1"/>
  <c r="A536" i="1"/>
  <c r="J535" i="1"/>
  <c r="I535" i="1"/>
  <c r="H535" i="1"/>
  <c r="G535" i="1"/>
  <c r="A535" i="1"/>
  <c r="J534" i="1"/>
  <c r="I534" i="1"/>
  <c r="H534" i="1"/>
  <c r="G534" i="1"/>
  <c r="A534" i="1"/>
  <c r="J533" i="1"/>
  <c r="I533" i="1"/>
  <c r="H533" i="1"/>
  <c r="G533" i="1"/>
  <c r="A533" i="1"/>
  <c r="J532" i="1"/>
  <c r="I532" i="1"/>
  <c r="H532" i="1"/>
  <c r="G532" i="1"/>
  <c r="A532" i="1"/>
  <c r="J531" i="1"/>
  <c r="I531" i="1"/>
  <c r="H531" i="1"/>
  <c r="G531" i="1"/>
  <c r="A531" i="1"/>
  <c r="J530" i="1"/>
  <c r="I530" i="1"/>
  <c r="H530" i="1"/>
  <c r="G530" i="1"/>
  <c r="A530" i="1"/>
  <c r="J529" i="1"/>
  <c r="I529" i="1"/>
  <c r="H529" i="1"/>
  <c r="G529" i="1"/>
  <c r="A529" i="1"/>
  <c r="J528" i="1"/>
  <c r="I528" i="1"/>
  <c r="H528" i="1"/>
  <c r="G528" i="1"/>
  <c r="A528" i="1"/>
  <c r="J527" i="1"/>
  <c r="I527" i="1"/>
  <c r="H527" i="1"/>
  <c r="G527" i="1"/>
  <c r="A527" i="1"/>
  <c r="J526" i="1"/>
  <c r="I526" i="1"/>
  <c r="H526" i="1"/>
  <c r="G526" i="1"/>
  <c r="A526" i="1"/>
  <c r="J525" i="1"/>
  <c r="I525" i="1"/>
  <c r="H525" i="1"/>
  <c r="G525" i="1"/>
  <c r="A525" i="1"/>
  <c r="J524" i="1"/>
  <c r="I524" i="1"/>
  <c r="H524" i="1"/>
  <c r="G524" i="1"/>
  <c r="A524" i="1"/>
  <c r="J523" i="1"/>
  <c r="I523" i="1"/>
  <c r="H523" i="1"/>
  <c r="G523" i="1"/>
  <c r="A523" i="1"/>
  <c r="J522" i="1"/>
  <c r="I522" i="1"/>
  <c r="H522" i="1"/>
  <c r="G522" i="1"/>
  <c r="A522" i="1"/>
  <c r="J521" i="1"/>
  <c r="I521" i="1"/>
  <c r="H521" i="1"/>
  <c r="G521" i="1"/>
  <c r="A521" i="1"/>
  <c r="J520" i="1"/>
  <c r="I520" i="1"/>
  <c r="H520" i="1"/>
  <c r="G520" i="1"/>
  <c r="A520" i="1"/>
  <c r="J519" i="1"/>
  <c r="I519" i="1"/>
  <c r="H519" i="1"/>
  <c r="G519" i="1"/>
  <c r="A519" i="1"/>
  <c r="J518" i="1"/>
  <c r="I518" i="1"/>
  <c r="H518" i="1"/>
  <c r="G518" i="1"/>
  <c r="A518" i="1"/>
  <c r="J517" i="1"/>
  <c r="I517" i="1"/>
  <c r="H517" i="1"/>
  <c r="G517" i="1"/>
  <c r="A517" i="1"/>
  <c r="J516" i="1"/>
  <c r="I516" i="1"/>
  <c r="H516" i="1"/>
  <c r="G516" i="1"/>
  <c r="A516" i="1"/>
  <c r="J515" i="1"/>
  <c r="I515" i="1"/>
  <c r="H515" i="1"/>
  <c r="G515" i="1"/>
  <c r="A515" i="1"/>
  <c r="J514" i="1"/>
  <c r="I514" i="1"/>
  <c r="H514" i="1"/>
  <c r="G514" i="1"/>
  <c r="A514" i="1"/>
  <c r="J513" i="1"/>
  <c r="I513" i="1"/>
  <c r="H513" i="1"/>
  <c r="G513" i="1"/>
  <c r="A513" i="1"/>
  <c r="J512" i="1"/>
  <c r="I512" i="1"/>
  <c r="H512" i="1"/>
  <c r="G512" i="1"/>
  <c r="A512" i="1"/>
  <c r="J511" i="1"/>
  <c r="I511" i="1"/>
  <c r="H511" i="1"/>
  <c r="G511" i="1"/>
  <c r="A511" i="1"/>
  <c r="J510" i="1"/>
  <c r="I510" i="1"/>
  <c r="H510" i="1"/>
  <c r="G510" i="1"/>
  <c r="A510" i="1"/>
  <c r="J509" i="1"/>
  <c r="I509" i="1"/>
  <c r="H509" i="1"/>
  <c r="G509" i="1"/>
  <c r="A509" i="1"/>
  <c r="J508" i="1"/>
  <c r="I508" i="1"/>
  <c r="H508" i="1"/>
  <c r="G508" i="1"/>
  <c r="A508" i="1"/>
  <c r="J507" i="1"/>
  <c r="I507" i="1"/>
  <c r="H507" i="1"/>
  <c r="G507" i="1"/>
  <c r="A507" i="1"/>
  <c r="J506" i="1"/>
  <c r="I506" i="1"/>
  <c r="H506" i="1"/>
  <c r="G506" i="1"/>
  <c r="A506" i="1"/>
  <c r="J505" i="1"/>
  <c r="I505" i="1"/>
  <c r="H505" i="1"/>
  <c r="G505" i="1"/>
  <c r="A505" i="1"/>
  <c r="J504" i="1"/>
  <c r="I504" i="1"/>
  <c r="H504" i="1"/>
  <c r="G504" i="1"/>
  <c r="A504" i="1"/>
  <c r="J503" i="1"/>
  <c r="I503" i="1"/>
  <c r="H503" i="1"/>
  <c r="G503" i="1"/>
  <c r="A503" i="1"/>
  <c r="J502" i="1"/>
  <c r="I502" i="1"/>
  <c r="H502" i="1"/>
  <c r="G502" i="1"/>
  <c r="A502" i="1"/>
  <c r="J501" i="1"/>
  <c r="I501" i="1"/>
  <c r="H501" i="1"/>
  <c r="G501" i="1"/>
  <c r="A501" i="1"/>
  <c r="J500" i="1"/>
  <c r="I500" i="1"/>
  <c r="H500" i="1"/>
  <c r="G500" i="1"/>
  <c r="A500" i="1"/>
  <c r="J499" i="1"/>
  <c r="I499" i="1"/>
  <c r="H499" i="1"/>
  <c r="G499" i="1"/>
  <c r="A499" i="1"/>
  <c r="J498" i="1"/>
  <c r="I498" i="1"/>
  <c r="H498" i="1"/>
  <c r="G498" i="1"/>
  <c r="A498" i="1"/>
  <c r="J497" i="1"/>
  <c r="I497" i="1"/>
  <c r="H497" i="1"/>
  <c r="G497" i="1"/>
  <c r="A497" i="1"/>
  <c r="J496" i="1"/>
  <c r="I496" i="1"/>
  <c r="H496" i="1"/>
  <c r="G496" i="1"/>
  <c r="A496" i="1"/>
  <c r="J495" i="1"/>
  <c r="I495" i="1"/>
  <c r="H495" i="1"/>
  <c r="G495" i="1"/>
  <c r="A495" i="1"/>
  <c r="J494" i="1"/>
  <c r="I494" i="1"/>
  <c r="H494" i="1"/>
  <c r="G494" i="1"/>
  <c r="A494" i="1"/>
  <c r="J493" i="1"/>
  <c r="I493" i="1"/>
  <c r="H493" i="1"/>
  <c r="G493" i="1"/>
  <c r="A493" i="1"/>
  <c r="J492" i="1"/>
  <c r="I492" i="1"/>
  <c r="H492" i="1"/>
  <c r="G492" i="1"/>
  <c r="A492" i="1"/>
  <c r="J491" i="1"/>
  <c r="I491" i="1"/>
  <c r="H491" i="1"/>
  <c r="G491" i="1"/>
  <c r="A491" i="1"/>
  <c r="J490" i="1"/>
  <c r="I490" i="1"/>
  <c r="H490" i="1"/>
  <c r="G490" i="1"/>
  <c r="A490" i="1"/>
  <c r="J489" i="1"/>
  <c r="I489" i="1"/>
  <c r="H489" i="1"/>
  <c r="G489" i="1"/>
  <c r="A489" i="1"/>
  <c r="J488" i="1"/>
  <c r="I488" i="1"/>
  <c r="H488" i="1"/>
  <c r="G488" i="1"/>
  <c r="A488" i="1"/>
  <c r="J487" i="1"/>
  <c r="I487" i="1"/>
  <c r="H487" i="1"/>
  <c r="G487" i="1"/>
  <c r="A487" i="1"/>
  <c r="J486" i="1"/>
  <c r="I486" i="1"/>
  <c r="H486" i="1"/>
  <c r="G486" i="1"/>
  <c r="A486" i="1"/>
  <c r="J485" i="1"/>
  <c r="I485" i="1"/>
  <c r="H485" i="1"/>
  <c r="G485" i="1"/>
  <c r="A485" i="1"/>
  <c r="J484" i="1"/>
  <c r="I484" i="1"/>
  <c r="H484" i="1"/>
  <c r="G484" i="1"/>
  <c r="A484" i="1"/>
  <c r="J483" i="1"/>
  <c r="I483" i="1"/>
  <c r="H483" i="1"/>
  <c r="G483" i="1"/>
  <c r="A483" i="1"/>
  <c r="J482" i="1"/>
  <c r="I482" i="1"/>
  <c r="H482" i="1"/>
  <c r="G482" i="1"/>
  <c r="A482" i="1"/>
  <c r="J481" i="1"/>
  <c r="I481" i="1"/>
  <c r="H481" i="1"/>
  <c r="G481" i="1"/>
  <c r="A481" i="1"/>
  <c r="J480" i="1"/>
  <c r="I480" i="1"/>
  <c r="H480" i="1"/>
  <c r="G480" i="1"/>
  <c r="A480" i="1"/>
  <c r="J479" i="1"/>
  <c r="I479" i="1"/>
  <c r="H479" i="1"/>
  <c r="G479" i="1"/>
  <c r="A479" i="1"/>
  <c r="J478" i="1"/>
  <c r="I478" i="1"/>
  <c r="H478" i="1"/>
  <c r="G478" i="1"/>
  <c r="A478" i="1"/>
  <c r="J477" i="1"/>
  <c r="I477" i="1"/>
  <c r="H477" i="1"/>
  <c r="G477" i="1"/>
  <c r="A477" i="1"/>
  <c r="J476" i="1"/>
  <c r="I476" i="1"/>
  <c r="H476" i="1"/>
  <c r="G476" i="1"/>
  <c r="A476" i="1"/>
  <c r="J475" i="1"/>
  <c r="I475" i="1"/>
  <c r="H475" i="1"/>
  <c r="G475" i="1"/>
  <c r="A475" i="1"/>
  <c r="J474" i="1"/>
  <c r="I474" i="1"/>
  <c r="H474" i="1"/>
  <c r="G474" i="1"/>
  <c r="A474" i="1"/>
  <c r="J473" i="1"/>
  <c r="I473" i="1"/>
  <c r="H473" i="1"/>
  <c r="G473" i="1"/>
  <c r="A473" i="1"/>
  <c r="J472" i="1"/>
  <c r="I472" i="1"/>
  <c r="H472" i="1"/>
  <c r="G472" i="1"/>
  <c r="A472" i="1"/>
  <c r="J471" i="1"/>
  <c r="I471" i="1"/>
  <c r="H471" i="1"/>
  <c r="G471" i="1"/>
  <c r="A471" i="1"/>
  <c r="J470" i="1"/>
  <c r="I470" i="1"/>
  <c r="H470" i="1"/>
  <c r="G470" i="1"/>
  <c r="A470" i="1"/>
  <c r="J469" i="1"/>
  <c r="I469" i="1"/>
  <c r="H469" i="1"/>
  <c r="G469" i="1"/>
  <c r="A469" i="1"/>
  <c r="J468" i="1"/>
  <c r="I468" i="1"/>
  <c r="H468" i="1"/>
  <c r="G468" i="1"/>
  <c r="A468" i="1"/>
  <c r="J467" i="1"/>
  <c r="I467" i="1"/>
  <c r="H467" i="1"/>
  <c r="G467" i="1"/>
  <c r="A467" i="1"/>
  <c r="J466" i="1"/>
  <c r="I466" i="1"/>
  <c r="H466" i="1"/>
  <c r="G466" i="1"/>
  <c r="A466" i="1"/>
  <c r="J465" i="1"/>
  <c r="I465" i="1"/>
  <c r="H465" i="1"/>
  <c r="G465" i="1"/>
  <c r="A465" i="1"/>
  <c r="J464" i="1"/>
  <c r="I464" i="1"/>
  <c r="H464" i="1"/>
  <c r="G464" i="1"/>
  <c r="A464" i="1"/>
  <c r="J463" i="1"/>
  <c r="I463" i="1"/>
  <c r="H463" i="1"/>
  <c r="G463" i="1"/>
  <c r="A463" i="1"/>
  <c r="J462" i="1"/>
  <c r="I462" i="1"/>
  <c r="H462" i="1"/>
  <c r="G462" i="1"/>
  <c r="A462" i="1"/>
  <c r="J461" i="1"/>
  <c r="I461" i="1"/>
  <c r="H461" i="1"/>
  <c r="G461" i="1"/>
  <c r="A461" i="1"/>
  <c r="J460" i="1"/>
  <c r="I460" i="1"/>
  <c r="H460" i="1"/>
  <c r="G460" i="1"/>
  <c r="A460" i="1"/>
  <c r="J459" i="1"/>
  <c r="I459" i="1"/>
  <c r="H459" i="1"/>
  <c r="G459" i="1"/>
  <c r="A459" i="1"/>
  <c r="J458" i="1"/>
  <c r="I458" i="1"/>
  <c r="H458" i="1"/>
  <c r="G458" i="1"/>
  <c r="A458" i="1"/>
  <c r="J457" i="1"/>
  <c r="I457" i="1"/>
  <c r="H457" i="1"/>
  <c r="G457" i="1"/>
  <c r="A457" i="1"/>
  <c r="J456" i="1"/>
  <c r="I456" i="1"/>
  <c r="H456" i="1"/>
  <c r="G456" i="1"/>
  <c r="A456" i="1"/>
  <c r="J455" i="1"/>
  <c r="I455" i="1"/>
  <c r="H455" i="1"/>
  <c r="G455" i="1"/>
  <c r="A455" i="1"/>
  <c r="J454" i="1"/>
  <c r="I454" i="1"/>
  <c r="H454" i="1"/>
  <c r="G454" i="1"/>
  <c r="A454" i="1"/>
  <c r="J453" i="1"/>
  <c r="I453" i="1"/>
  <c r="H453" i="1"/>
  <c r="G453" i="1"/>
  <c r="A453" i="1"/>
  <c r="J452" i="1"/>
  <c r="I452" i="1"/>
  <c r="H452" i="1"/>
  <c r="G452" i="1"/>
  <c r="A452" i="1"/>
  <c r="J451" i="1"/>
  <c r="I451" i="1"/>
  <c r="H451" i="1"/>
  <c r="G451" i="1"/>
  <c r="A451" i="1"/>
  <c r="J450" i="1"/>
  <c r="I450" i="1"/>
  <c r="H450" i="1"/>
  <c r="G450" i="1"/>
  <c r="A450" i="1"/>
  <c r="J449" i="1"/>
  <c r="I449" i="1"/>
  <c r="H449" i="1"/>
  <c r="G449" i="1"/>
  <c r="A449" i="1"/>
  <c r="J448" i="1"/>
  <c r="I448" i="1"/>
  <c r="H448" i="1"/>
  <c r="G448" i="1"/>
  <c r="A448" i="1"/>
  <c r="J447" i="1"/>
  <c r="I447" i="1"/>
  <c r="H447" i="1"/>
  <c r="G447" i="1"/>
  <c r="A447" i="1"/>
  <c r="J446" i="1"/>
  <c r="I446" i="1"/>
  <c r="H446" i="1"/>
  <c r="G446" i="1"/>
  <c r="A446" i="1"/>
  <c r="J445" i="1"/>
  <c r="I445" i="1"/>
  <c r="H445" i="1"/>
  <c r="G445" i="1"/>
  <c r="A445" i="1"/>
  <c r="J444" i="1"/>
  <c r="I444" i="1"/>
  <c r="H444" i="1"/>
  <c r="G444" i="1"/>
  <c r="A444" i="1"/>
  <c r="J443" i="1"/>
  <c r="I443" i="1"/>
  <c r="H443" i="1"/>
  <c r="G443" i="1"/>
  <c r="A443" i="1"/>
  <c r="J442" i="1"/>
  <c r="I442" i="1"/>
  <c r="H442" i="1"/>
  <c r="G442" i="1"/>
  <c r="A442" i="1"/>
  <c r="J441" i="1"/>
  <c r="I441" i="1"/>
  <c r="H441" i="1"/>
  <c r="G441" i="1"/>
  <c r="A441" i="1"/>
  <c r="J440" i="1"/>
  <c r="I440" i="1"/>
  <c r="H440" i="1"/>
  <c r="G440" i="1"/>
  <c r="A440" i="1"/>
  <c r="J439" i="1"/>
  <c r="I439" i="1"/>
  <c r="H439" i="1"/>
  <c r="G439" i="1"/>
  <c r="A439" i="1"/>
  <c r="J438" i="1"/>
  <c r="I438" i="1"/>
  <c r="H438" i="1"/>
  <c r="G438" i="1"/>
  <c r="A438" i="1"/>
  <c r="J437" i="1"/>
  <c r="I437" i="1"/>
  <c r="H437" i="1"/>
  <c r="G437" i="1"/>
  <c r="A437" i="1"/>
  <c r="J436" i="1"/>
  <c r="I436" i="1"/>
  <c r="H436" i="1"/>
  <c r="G436" i="1"/>
  <c r="A436" i="1"/>
  <c r="J435" i="1"/>
  <c r="I435" i="1"/>
  <c r="H435" i="1"/>
  <c r="G435" i="1"/>
  <c r="A435" i="1"/>
  <c r="J434" i="1"/>
  <c r="I434" i="1"/>
  <c r="H434" i="1"/>
  <c r="G434" i="1"/>
  <c r="A434" i="1"/>
  <c r="J433" i="1"/>
  <c r="I433" i="1"/>
  <c r="H433" i="1"/>
  <c r="G433" i="1"/>
  <c r="A433" i="1"/>
  <c r="J432" i="1"/>
  <c r="I432" i="1"/>
  <c r="H432" i="1"/>
  <c r="G432" i="1"/>
  <c r="A432" i="1"/>
  <c r="J431" i="1"/>
  <c r="I431" i="1"/>
  <c r="H431" i="1"/>
  <c r="G431" i="1"/>
  <c r="A431" i="1"/>
  <c r="J430" i="1"/>
  <c r="I430" i="1"/>
  <c r="H430" i="1"/>
  <c r="G430" i="1"/>
  <c r="A430" i="1"/>
  <c r="J429" i="1"/>
  <c r="I429" i="1"/>
  <c r="H429" i="1"/>
  <c r="G429" i="1"/>
  <c r="A429" i="1"/>
  <c r="J428" i="1"/>
  <c r="I428" i="1"/>
  <c r="H428" i="1"/>
  <c r="G428" i="1"/>
  <c r="A428" i="1"/>
  <c r="J427" i="1"/>
  <c r="I427" i="1"/>
  <c r="H427" i="1"/>
  <c r="G427" i="1"/>
  <c r="A427" i="1"/>
  <c r="J426" i="1"/>
  <c r="I426" i="1"/>
  <c r="H426" i="1"/>
  <c r="G426" i="1"/>
  <c r="A426" i="1"/>
  <c r="J425" i="1"/>
  <c r="I425" i="1"/>
  <c r="H425" i="1"/>
  <c r="G425" i="1"/>
  <c r="A425" i="1"/>
  <c r="J424" i="1"/>
  <c r="I424" i="1"/>
  <c r="H424" i="1"/>
  <c r="G424" i="1"/>
  <c r="A424" i="1"/>
  <c r="J423" i="1"/>
  <c r="I423" i="1"/>
  <c r="H423" i="1"/>
  <c r="G423" i="1"/>
  <c r="A423" i="1"/>
  <c r="J422" i="1"/>
  <c r="I422" i="1"/>
  <c r="H422" i="1"/>
  <c r="G422" i="1"/>
  <c r="A422" i="1"/>
  <c r="J421" i="1"/>
  <c r="I421" i="1"/>
  <c r="H421" i="1"/>
  <c r="G421" i="1"/>
  <c r="A421" i="1"/>
  <c r="J420" i="1"/>
  <c r="I420" i="1"/>
  <c r="H420" i="1"/>
  <c r="G420" i="1"/>
  <c r="A420" i="1"/>
  <c r="J419" i="1"/>
  <c r="I419" i="1"/>
  <c r="H419" i="1"/>
  <c r="G419" i="1"/>
  <c r="A419" i="1"/>
  <c r="J418" i="1"/>
  <c r="I418" i="1"/>
  <c r="H418" i="1"/>
  <c r="G418" i="1"/>
  <c r="A418" i="1"/>
  <c r="J417" i="1"/>
  <c r="I417" i="1"/>
  <c r="H417" i="1"/>
  <c r="G417" i="1"/>
  <c r="A417" i="1"/>
  <c r="J416" i="1"/>
  <c r="I416" i="1"/>
  <c r="H416" i="1"/>
  <c r="G416" i="1"/>
  <c r="A416" i="1"/>
  <c r="J415" i="1"/>
  <c r="I415" i="1"/>
  <c r="H415" i="1"/>
  <c r="G415" i="1"/>
  <c r="A415" i="1"/>
  <c r="J414" i="1"/>
  <c r="I414" i="1"/>
  <c r="H414" i="1"/>
  <c r="G414" i="1"/>
  <c r="A414" i="1"/>
  <c r="J413" i="1"/>
  <c r="I413" i="1"/>
  <c r="H413" i="1"/>
  <c r="G413" i="1"/>
  <c r="A413" i="1"/>
  <c r="J412" i="1"/>
  <c r="I412" i="1"/>
  <c r="H412" i="1"/>
  <c r="G412" i="1"/>
  <c r="A412" i="1"/>
  <c r="J411" i="1"/>
  <c r="I411" i="1"/>
  <c r="H411" i="1"/>
  <c r="G411" i="1"/>
  <c r="A411" i="1"/>
  <c r="J410" i="1"/>
  <c r="I410" i="1"/>
  <c r="H410" i="1"/>
  <c r="G410" i="1"/>
  <c r="A410" i="1"/>
  <c r="J409" i="1"/>
  <c r="I409" i="1"/>
  <c r="H409" i="1"/>
  <c r="G409" i="1"/>
  <c r="A409" i="1"/>
  <c r="J408" i="1"/>
  <c r="I408" i="1"/>
  <c r="H408" i="1"/>
  <c r="G408" i="1"/>
  <c r="A408" i="1"/>
  <c r="J407" i="1"/>
  <c r="I407" i="1"/>
  <c r="H407" i="1"/>
  <c r="G407" i="1"/>
  <c r="A407" i="1"/>
  <c r="J406" i="1"/>
  <c r="I406" i="1"/>
  <c r="H406" i="1"/>
  <c r="G406" i="1"/>
  <c r="A406" i="1"/>
  <c r="J405" i="1"/>
  <c r="I405" i="1"/>
  <c r="H405" i="1"/>
  <c r="G405" i="1"/>
  <c r="A405" i="1"/>
  <c r="J404" i="1"/>
  <c r="I404" i="1"/>
  <c r="H404" i="1"/>
  <c r="G404" i="1"/>
  <c r="A404" i="1"/>
  <c r="J403" i="1"/>
  <c r="I403" i="1"/>
  <c r="H403" i="1"/>
  <c r="G403" i="1"/>
  <c r="A403" i="1"/>
  <c r="J402" i="1"/>
  <c r="I402" i="1"/>
  <c r="H402" i="1"/>
  <c r="G402" i="1"/>
  <c r="A402" i="1"/>
  <c r="J401" i="1"/>
  <c r="I401" i="1"/>
  <c r="H401" i="1"/>
  <c r="G401" i="1"/>
  <c r="A401" i="1"/>
  <c r="J400" i="1"/>
  <c r="I400" i="1"/>
  <c r="H400" i="1"/>
  <c r="G400" i="1"/>
  <c r="A400" i="1"/>
  <c r="J399" i="1"/>
  <c r="I399" i="1"/>
  <c r="H399" i="1"/>
  <c r="G399" i="1"/>
  <c r="A399" i="1"/>
  <c r="J398" i="1"/>
  <c r="I398" i="1"/>
  <c r="H398" i="1"/>
  <c r="G398" i="1"/>
  <c r="A398" i="1"/>
  <c r="J397" i="1"/>
  <c r="I397" i="1"/>
  <c r="H397" i="1"/>
  <c r="G397" i="1"/>
  <c r="A397" i="1"/>
  <c r="J396" i="1"/>
  <c r="I396" i="1"/>
  <c r="H396" i="1"/>
  <c r="G396" i="1"/>
  <c r="A396" i="1"/>
  <c r="J395" i="1"/>
  <c r="I395" i="1"/>
  <c r="H395" i="1"/>
  <c r="G395" i="1"/>
  <c r="A395" i="1"/>
  <c r="J394" i="1"/>
  <c r="I394" i="1"/>
  <c r="H394" i="1"/>
  <c r="G394" i="1"/>
  <c r="A394" i="1"/>
  <c r="J393" i="1"/>
  <c r="I393" i="1"/>
  <c r="H393" i="1"/>
  <c r="G393" i="1"/>
  <c r="A393" i="1"/>
  <c r="J392" i="1"/>
  <c r="I392" i="1"/>
  <c r="H392" i="1"/>
  <c r="G392" i="1"/>
  <c r="A392" i="1"/>
  <c r="J391" i="1"/>
  <c r="I391" i="1"/>
  <c r="H391" i="1"/>
  <c r="G391" i="1"/>
  <c r="A391" i="1"/>
  <c r="J390" i="1"/>
  <c r="I390" i="1"/>
  <c r="H390" i="1"/>
  <c r="G390" i="1"/>
  <c r="A390" i="1"/>
  <c r="J389" i="1"/>
  <c r="I389" i="1"/>
  <c r="H389" i="1"/>
  <c r="G389" i="1"/>
  <c r="A389" i="1"/>
  <c r="J388" i="1"/>
  <c r="I388" i="1"/>
  <c r="H388" i="1"/>
  <c r="G388" i="1"/>
  <c r="A388" i="1"/>
  <c r="J387" i="1"/>
  <c r="I387" i="1"/>
  <c r="H387" i="1"/>
  <c r="G387" i="1"/>
  <c r="A387" i="1"/>
  <c r="J386" i="1"/>
  <c r="I386" i="1"/>
  <c r="H386" i="1"/>
  <c r="G386" i="1"/>
  <c r="A386" i="1"/>
  <c r="J385" i="1"/>
  <c r="I385" i="1"/>
  <c r="H385" i="1"/>
  <c r="G385" i="1"/>
  <c r="A385" i="1"/>
  <c r="J384" i="1"/>
  <c r="I384" i="1"/>
  <c r="H384" i="1"/>
  <c r="G384" i="1"/>
  <c r="A384" i="1"/>
  <c r="J383" i="1"/>
  <c r="I383" i="1"/>
  <c r="H383" i="1"/>
  <c r="G383" i="1"/>
  <c r="A383" i="1"/>
  <c r="J382" i="1"/>
  <c r="I382" i="1"/>
  <c r="H382" i="1"/>
  <c r="G382" i="1"/>
  <c r="A382" i="1"/>
  <c r="J381" i="1"/>
  <c r="I381" i="1"/>
  <c r="H381" i="1"/>
  <c r="G381" i="1"/>
  <c r="A381" i="1"/>
  <c r="J380" i="1"/>
  <c r="I380" i="1"/>
  <c r="H380" i="1"/>
  <c r="G380" i="1"/>
  <c r="A380" i="1"/>
  <c r="J379" i="1"/>
  <c r="I379" i="1"/>
  <c r="H379" i="1"/>
  <c r="G379" i="1"/>
  <c r="A379" i="1"/>
  <c r="J378" i="1"/>
  <c r="I378" i="1"/>
  <c r="H378" i="1"/>
  <c r="G378" i="1"/>
  <c r="A378" i="1"/>
  <c r="J377" i="1"/>
  <c r="I377" i="1"/>
  <c r="H377" i="1"/>
  <c r="G377" i="1"/>
  <c r="A377" i="1"/>
  <c r="J376" i="1"/>
  <c r="I376" i="1"/>
  <c r="H376" i="1"/>
  <c r="G376" i="1"/>
  <c r="A376" i="1"/>
  <c r="J375" i="1"/>
  <c r="I375" i="1"/>
  <c r="H375" i="1"/>
  <c r="G375" i="1"/>
  <c r="A375" i="1"/>
  <c r="J374" i="1"/>
  <c r="I374" i="1"/>
  <c r="H374" i="1"/>
  <c r="G374" i="1"/>
  <c r="A374" i="1"/>
  <c r="J373" i="1"/>
  <c r="I373" i="1"/>
  <c r="H373" i="1"/>
  <c r="G373" i="1"/>
  <c r="A373" i="1"/>
  <c r="J372" i="1"/>
  <c r="I372" i="1"/>
  <c r="H372" i="1"/>
  <c r="G372" i="1"/>
  <c r="A372" i="1"/>
  <c r="J371" i="1"/>
  <c r="I371" i="1"/>
  <c r="H371" i="1"/>
  <c r="G371" i="1"/>
  <c r="A371" i="1"/>
  <c r="J370" i="1"/>
  <c r="I370" i="1"/>
  <c r="H370" i="1"/>
  <c r="G370" i="1"/>
  <c r="A370" i="1"/>
  <c r="J369" i="1"/>
  <c r="I369" i="1"/>
  <c r="H369" i="1"/>
  <c r="G369" i="1"/>
  <c r="A369" i="1"/>
  <c r="J368" i="1"/>
  <c r="I368" i="1"/>
  <c r="H368" i="1"/>
  <c r="G368" i="1"/>
  <c r="A368" i="1"/>
  <c r="J367" i="1"/>
  <c r="I367" i="1"/>
  <c r="H367" i="1"/>
  <c r="G367" i="1"/>
  <c r="A367" i="1"/>
  <c r="J366" i="1"/>
  <c r="I366" i="1"/>
  <c r="H366" i="1"/>
  <c r="G366" i="1"/>
  <c r="A366" i="1"/>
  <c r="J365" i="1"/>
  <c r="I365" i="1"/>
  <c r="H365" i="1"/>
  <c r="G365" i="1"/>
  <c r="A365" i="1"/>
  <c r="J364" i="1"/>
  <c r="I364" i="1"/>
  <c r="H364" i="1"/>
  <c r="G364" i="1"/>
  <c r="A364" i="1"/>
  <c r="J363" i="1"/>
  <c r="I363" i="1"/>
  <c r="H363" i="1"/>
  <c r="G363" i="1"/>
  <c r="A363" i="1"/>
  <c r="J362" i="1"/>
  <c r="I362" i="1"/>
  <c r="H362" i="1"/>
  <c r="G362" i="1"/>
  <c r="A362" i="1"/>
  <c r="J361" i="1"/>
  <c r="I361" i="1"/>
  <c r="H361" i="1"/>
  <c r="G361" i="1"/>
  <c r="A361" i="1"/>
  <c r="J360" i="1"/>
  <c r="I360" i="1"/>
  <c r="H360" i="1"/>
  <c r="G360" i="1"/>
  <c r="A360" i="1"/>
  <c r="J359" i="1"/>
  <c r="I359" i="1"/>
  <c r="H359" i="1"/>
  <c r="G359" i="1"/>
  <c r="A359" i="1"/>
  <c r="J358" i="1"/>
  <c r="I358" i="1"/>
  <c r="H358" i="1"/>
  <c r="G358" i="1"/>
  <c r="A358" i="1"/>
  <c r="J357" i="1"/>
  <c r="I357" i="1"/>
  <c r="H357" i="1"/>
  <c r="G357" i="1"/>
  <c r="A357" i="1"/>
  <c r="J356" i="1"/>
  <c r="I356" i="1"/>
  <c r="H356" i="1"/>
  <c r="G356" i="1"/>
  <c r="A356" i="1"/>
  <c r="J355" i="1"/>
  <c r="I355" i="1"/>
  <c r="H355" i="1"/>
  <c r="G355" i="1"/>
  <c r="A355" i="1"/>
  <c r="J354" i="1"/>
  <c r="I354" i="1"/>
  <c r="H354" i="1"/>
  <c r="G354" i="1"/>
  <c r="A354" i="1"/>
  <c r="J353" i="1"/>
  <c r="I353" i="1"/>
  <c r="H353" i="1"/>
  <c r="G353" i="1"/>
  <c r="A353" i="1"/>
  <c r="J352" i="1"/>
  <c r="I352" i="1"/>
  <c r="H352" i="1"/>
  <c r="G352" i="1"/>
  <c r="A352" i="1"/>
  <c r="J351" i="1"/>
  <c r="I351" i="1"/>
  <c r="H351" i="1"/>
  <c r="G351" i="1"/>
  <c r="A351" i="1"/>
  <c r="J350" i="1"/>
  <c r="I350" i="1"/>
  <c r="H350" i="1"/>
  <c r="G350" i="1"/>
  <c r="A350" i="1"/>
  <c r="J349" i="1"/>
  <c r="I349" i="1"/>
  <c r="H349" i="1"/>
  <c r="G349" i="1"/>
  <c r="A349" i="1"/>
  <c r="J348" i="1"/>
  <c r="I348" i="1"/>
  <c r="H348" i="1"/>
  <c r="G348" i="1"/>
  <c r="A348" i="1"/>
  <c r="J347" i="1"/>
  <c r="I347" i="1"/>
  <c r="H347" i="1"/>
  <c r="G347" i="1"/>
  <c r="A347" i="1"/>
  <c r="J346" i="1"/>
  <c r="I346" i="1"/>
  <c r="H346" i="1"/>
  <c r="G346" i="1"/>
  <c r="A346" i="1"/>
  <c r="J345" i="1"/>
  <c r="I345" i="1"/>
  <c r="H345" i="1"/>
  <c r="G345" i="1"/>
  <c r="A345" i="1"/>
  <c r="J344" i="1"/>
  <c r="I344" i="1"/>
  <c r="H344" i="1"/>
  <c r="G344" i="1"/>
  <c r="A344" i="1"/>
  <c r="J343" i="1"/>
  <c r="I343" i="1"/>
  <c r="H343" i="1"/>
  <c r="G343" i="1"/>
  <c r="A343" i="1"/>
  <c r="J342" i="1"/>
  <c r="I342" i="1"/>
  <c r="H342" i="1"/>
  <c r="G342" i="1"/>
  <c r="A342" i="1"/>
  <c r="J341" i="1"/>
  <c r="I341" i="1"/>
  <c r="H341" i="1"/>
  <c r="G341" i="1"/>
  <c r="A341" i="1"/>
  <c r="J340" i="1"/>
  <c r="I340" i="1"/>
  <c r="H340" i="1"/>
  <c r="G340" i="1"/>
  <c r="A340" i="1"/>
  <c r="J339" i="1"/>
  <c r="I339" i="1"/>
  <c r="H339" i="1"/>
  <c r="G339" i="1"/>
  <c r="A339" i="1"/>
  <c r="J338" i="1"/>
  <c r="I338" i="1"/>
  <c r="H338" i="1"/>
  <c r="G338" i="1"/>
  <c r="A338" i="1"/>
  <c r="J337" i="1"/>
  <c r="I337" i="1"/>
  <c r="H337" i="1"/>
  <c r="G337" i="1"/>
  <c r="A337" i="1"/>
  <c r="J336" i="1"/>
  <c r="I336" i="1"/>
  <c r="H336" i="1"/>
  <c r="G336" i="1"/>
  <c r="A336" i="1"/>
  <c r="J335" i="1"/>
  <c r="I335" i="1"/>
  <c r="H335" i="1"/>
  <c r="G335" i="1"/>
  <c r="A335" i="1"/>
  <c r="J334" i="1"/>
  <c r="I334" i="1"/>
  <c r="H334" i="1"/>
  <c r="G334" i="1"/>
  <c r="A334" i="1"/>
  <c r="J333" i="1"/>
  <c r="I333" i="1"/>
  <c r="H333" i="1"/>
  <c r="G333" i="1"/>
  <c r="A333" i="1"/>
  <c r="J332" i="1"/>
  <c r="I332" i="1"/>
  <c r="H332" i="1"/>
  <c r="G332" i="1"/>
  <c r="A332" i="1"/>
  <c r="J331" i="1"/>
  <c r="I331" i="1"/>
  <c r="H331" i="1"/>
  <c r="G331" i="1"/>
  <c r="A331" i="1"/>
  <c r="J330" i="1"/>
  <c r="I330" i="1"/>
  <c r="H330" i="1"/>
  <c r="G330" i="1"/>
  <c r="A330" i="1"/>
  <c r="J329" i="1"/>
  <c r="I329" i="1"/>
  <c r="H329" i="1"/>
  <c r="G329" i="1"/>
  <c r="A329" i="1"/>
  <c r="J328" i="1"/>
  <c r="I328" i="1"/>
  <c r="H328" i="1"/>
  <c r="G328" i="1"/>
  <c r="A328" i="1"/>
  <c r="J327" i="1"/>
  <c r="I327" i="1"/>
  <c r="H327" i="1"/>
  <c r="G327" i="1"/>
  <c r="A327" i="1"/>
  <c r="J326" i="1"/>
  <c r="I326" i="1"/>
  <c r="H326" i="1"/>
  <c r="G326" i="1"/>
  <c r="A326" i="1"/>
  <c r="J325" i="1"/>
  <c r="I325" i="1"/>
  <c r="H325" i="1"/>
  <c r="G325" i="1"/>
  <c r="A325" i="1"/>
  <c r="J324" i="1"/>
  <c r="I324" i="1"/>
  <c r="H324" i="1"/>
  <c r="G324" i="1"/>
  <c r="A324" i="1"/>
  <c r="J323" i="1"/>
  <c r="I323" i="1"/>
  <c r="H323" i="1"/>
  <c r="G323" i="1"/>
  <c r="A323" i="1"/>
  <c r="J322" i="1"/>
  <c r="I322" i="1"/>
  <c r="H322" i="1"/>
  <c r="G322" i="1"/>
  <c r="A322" i="1"/>
  <c r="J321" i="1"/>
  <c r="I321" i="1"/>
  <c r="H321" i="1"/>
  <c r="G321" i="1"/>
  <c r="A321" i="1"/>
  <c r="J320" i="1"/>
  <c r="I320" i="1"/>
  <c r="H320" i="1"/>
  <c r="G320" i="1"/>
  <c r="A320" i="1"/>
  <c r="J319" i="1"/>
  <c r="I319" i="1"/>
  <c r="H319" i="1"/>
  <c r="G319" i="1"/>
  <c r="A319" i="1"/>
  <c r="J318" i="1"/>
  <c r="I318" i="1"/>
  <c r="H318" i="1"/>
  <c r="G318" i="1"/>
  <c r="A318" i="1"/>
  <c r="J317" i="1"/>
  <c r="I317" i="1"/>
  <c r="H317" i="1"/>
  <c r="G317" i="1"/>
  <c r="A317" i="1"/>
  <c r="J316" i="1"/>
  <c r="I316" i="1"/>
  <c r="H316" i="1"/>
  <c r="G316" i="1"/>
  <c r="A316" i="1"/>
  <c r="J315" i="1"/>
  <c r="I315" i="1"/>
  <c r="H315" i="1"/>
  <c r="G315" i="1"/>
  <c r="A315" i="1"/>
  <c r="J314" i="1"/>
  <c r="I314" i="1"/>
  <c r="H314" i="1"/>
  <c r="G314" i="1"/>
  <c r="A314" i="1"/>
  <c r="J313" i="1"/>
  <c r="I313" i="1"/>
  <c r="H313" i="1"/>
  <c r="G313" i="1"/>
  <c r="A313" i="1"/>
  <c r="J312" i="1"/>
  <c r="I312" i="1"/>
  <c r="H312" i="1"/>
  <c r="G312" i="1"/>
  <c r="A312" i="1"/>
  <c r="J311" i="1"/>
  <c r="I311" i="1"/>
  <c r="H311" i="1"/>
  <c r="G311" i="1"/>
  <c r="A311" i="1"/>
  <c r="J310" i="1"/>
  <c r="I310" i="1"/>
  <c r="H310" i="1"/>
  <c r="G310" i="1"/>
  <c r="A310" i="1"/>
  <c r="J309" i="1"/>
  <c r="I309" i="1"/>
  <c r="H309" i="1"/>
  <c r="G309" i="1"/>
  <c r="A309" i="1"/>
  <c r="J308" i="1"/>
  <c r="I308" i="1"/>
  <c r="H308" i="1"/>
  <c r="G308" i="1"/>
  <c r="A308" i="1"/>
  <c r="J307" i="1"/>
  <c r="I307" i="1"/>
  <c r="H307" i="1"/>
  <c r="G307" i="1"/>
  <c r="A307" i="1"/>
  <c r="J306" i="1"/>
  <c r="I306" i="1"/>
  <c r="H306" i="1"/>
  <c r="G306" i="1"/>
  <c r="A306" i="1"/>
  <c r="J305" i="1"/>
  <c r="I305" i="1"/>
  <c r="H305" i="1"/>
  <c r="G305" i="1"/>
  <c r="A305" i="1"/>
  <c r="J304" i="1"/>
  <c r="I304" i="1"/>
  <c r="H304" i="1"/>
  <c r="G304" i="1"/>
  <c r="A304" i="1"/>
  <c r="J303" i="1"/>
  <c r="I303" i="1"/>
  <c r="H303" i="1"/>
  <c r="G303" i="1"/>
  <c r="A303" i="1"/>
  <c r="J302" i="1"/>
  <c r="I302" i="1"/>
  <c r="H302" i="1"/>
  <c r="G302" i="1"/>
  <c r="A302" i="1"/>
  <c r="J301" i="1"/>
  <c r="I301" i="1"/>
  <c r="H301" i="1"/>
  <c r="G301" i="1"/>
  <c r="A301" i="1"/>
  <c r="J300" i="1"/>
  <c r="I300" i="1"/>
  <c r="H300" i="1"/>
  <c r="G300" i="1"/>
  <c r="A300" i="1"/>
  <c r="J299" i="1"/>
  <c r="I299" i="1"/>
  <c r="H299" i="1"/>
  <c r="G299" i="1"/>
  <c r="A299" i="1"/>
  <c r="J298" i="1"/>
  <c r="I298" i="1"/>
  <c r="H298" i="1"/>
  <c r="G298" i="1"/>
  <c r="A298" i="1"/>
  <c r="J297" i="1"/>
  <c r="I297" i="1"/>
  <c r="H297" i="1"/>
  <c r="G297" i="1"/>
  <c r="A297" i="1"/>
  <c r="J296" i="1"/>
  <c r="I296" i="1"/>
  <c r="H296" i="1"/>
  <c r="G296" i="1"/>
  <c r="A296" i="1"/>
  <c r="J295" i="1"/>
  <c r="I295" i="1"/>
  <c r="H295" i="1"/>
  <c r="G295" i="1"/>
  <c r="A295" i="1"/>
  <c r="J294" i="1"/>
  <c r="I294" i="1"/>
  <c r="H294" i="1"/>
  <c r="G294" i="1"/>
  <c r="A294" i="1"/>
  <c r="J293" i="1"/>
  <c r="I293" i="1"/>
  <c r="H293" i="1"/>
  <c r="G293" i="1"/>
  <c r="A293" i="1"/>
  <c r="J292" i="1"/>
  <c r="I292" i="1"/>
  <c r="H292" i="1"/>
  <c r="G292" i="1"/>
  <c r="A292" i="1"/>
  <c r="J291" i="1"/>
  <c r="I291" i="1"/>
  <c r="H291" i="1"/>
  <c r="G291" i="1"/>
  <c r="A291" i="1"/>
  <c r="J290" i="1"/>
  <c r="I290" i="1"/>
  <c r="H290" i="1"/>
  <c r="G290" i="1"/>
  <c r="A290" i="1"/>
  <c r="J289" i="1"/>
  <c r="I289" i="1"/>
  <c r="H289" i="1"/>
  <c r="G289" i="1"/>
  <c r="A289" i="1"/>
  <c r="J288" i="1"/>
  <c r="I288" i="1"/>
  <c r="H288" i="1"/>
  <c r="G288" i="1"/>
  <c r="A288" i="1"/>
  <c r="J287" i="1"/>
  <c r="I287" i="1"/>
  <c r="H287" i="1"/>
  <c r="G287" i="1"/>
  <c r="A287" i="1"/>
  <c r="J286" i="1"/>
  <c r="I286" i="1"/>
  <c r="H286" i="1"/>
  <c r="G286" i="1"/>
  <c r="A286" i="1"/>
  <c r="J285" i="1"/>
  <c r="I285" i="1"/>
  <c r="H285" i="1"/>
  <c r="G285" i="1"/>
  <c r="A285" i="1"/>
  <c r="J284" i="1"/>
  <c r="I284" i="1"/>
  <c r="H284" i="1"/>
  <c r="G284" i="1"/>
  <c r="A284" i="1"/>
  <c r="J283" i="1"/>
  <c r="I283" i="1"/>
  <c r="H283" i="1"/>
  <c r="G283" i="1"/>
  <c r="A283" i="1"/>
  <c r="J282" i="1"/>
  <c r="I282" i="1"/>
  <c r="H282" i="1"/>
  <c r="G282" i="1"/>
  <c r="A282" i="1"/>
  <c r="J281" i="1"/>
  <c r="I281" i="1"/>
  <c r="H281" i="1"/>
  <c r="G281" i="1"/>
  <c r="A281" i="1"/>
  <c r="J280" i="1"/>
  <c r="I280" i="1"/>
  <c r="H280" i="1"/>
  <c r="G280" i="1"/>
  <c r="A280" i="1"/>
  <c r="J279" i="1"/>
  <c r="I279" i="1"/>
  <c r="H279" i="1"/>
  <c r="G279" i="1"/>
  <c r="A279" i="1"/>
  <c r="J278" i="1"/>
  <c r="I278" i="1"/>
  <c r="H278" i="1"/>
  <c r="G278" i="1"/>
  <c r="A278" i="1"/>
  <c r="J277" i="1"/>
  <c r="I277" i="1"/>
  <c r="H277" i="1"/>
  <c r="G277" i="1"/>
  <c r="A277" i="1"/>
  <c r="J276" i="1"/>
  <c r="I276" i="1"/>
  <c r="H276" i="1"/>
  <c r="G276" i="1"/>
  <c r="A276" i="1"/>
  <c r="J275" i="1"/>
  <c r="I275" i="1"/>
  <c r="H275" i="1"/>
  <c r="G275" i="1"/>
  <c r="A275" i="1"/>
  <c r="J274" i="1"/>
  <c r="I274" i="1"/>
  <c r="H274" i="1"/>
  <c r="G274" i="1"/>
  <c r="A274" i="1"/>
  <c r="J273" i="1"/>
  <c r="I273" i="1"/>
  <c r="H273" i="1"/>
  <c r="G273" i="1"/>
  <c r="A273" i="1"/>
  <c r="J272" i="1"/>
  <c r="I272" i="1"/>
  <c r="H272" i="1"/>
  <c r="G272" i="1"/>
  <c r="A272" i="1"/>
  <c r="J271" i="1"/>
  <c r="I271" i="1"/>
  <c r="H271" i="1"/>
  <c r="G271" i="1"/>
  <c r="A271" i="1"/>
  <c r="J270" i="1"/>
  <c r="I270" i="1"/>
  <c r="H270" i="1"/>
  <c r="G270" i="1"/>
  <c r="A270" i="1"/>
  <c r="J269" i="1"/>
  <c r="I269" i="1"/>
  <c r="H269" i="1"/>
  <c r="G269" i="1"/>
  <c r="A269" i="1"/>
  <c r="J268" i="1"/>
  <c r="I268" i="1"/>
  <c r="H268" i="1"/>
  <c r="G268" i="1"/>
  <c r="A268" i="1"/>
  <c r="J267" i="1"/>
  <c r="I267" i="1"/>
  <c r="H267" i="1"/>
  <c r="G267" i="1"/>
  <c r="A267" i="1"/>
  <c r="J266" i="1"/>
  <c r="I266" i="1"/>
  <c r="H266" i="1"/>
  <c r="G266" i="1"/>
  <c r="A266" i="1"/>
  <c r="J265" i="1"/>
  <c r="I265" i="1"/>
  <c r="H265" i="1"/>
  <c r="G265" i="1"/>
  <c r="A265" i="1"/>
  <c r="J264" i="1"/>
  <c r="I264" i="1"/>
  <c r="H264" i="1"/>
  <c r="G264" i="1"/>
  <c r="A264" i="1"/>
  <c r="J263" i="1"/>
  <c r="I263" i="1"/>
  <c r="H263" i="1"/>
  <c r="G263" i="1"/>
  <c r="A263" i="1"/>
  <c r="J262" i="1"/>
  <c r="I262" i="1"/>
  <c r="H262" i="1"/>
  <c r="G262" i="1"/>
  <c r="A262" i="1"/>
  <c r="J261" i="1"/>
  <c r="I261" i="1"/>
  <c r="H261" i="1"/>
  <c r="G261" i="1"/>
  <c r="A261" i="1"/>
  <c r="J260" i="1"/>
  <c r="I260" i="1"/>
  <c r="H260" i="1"/>
  <c r="G260" i="1"/>
  <c r="A260" i="1"/>
  <c r="J259" i="1"/>
  <c r="I259" i="1"/>
  <c r="H259" i="1"/>
  <c r="G259" i="1"/>
  <c r="A259" i="1"/>
  <c r="J258" i="1"/>
  <c r="I258" i="1"/>
  <c r="H258" i="1"/>
  <c r="G258" i="1"/>
  <c r="A258" i="1"/>
  <c r="J257" i="1"/>
  <c r="I257" i="1"/>
  <c r="H257" i="1"/>
  <c r="G257" i="1"/>
  <c r="A257" i="1"/>
  <c r="J256" i="1"/>
  <c r="I256" i="1"/>
  <c r="H256" i="1"/>
  <c r="G256" i="1"/>
  <c r="A256" i="1"/>
  <c r="J255" i="1"/>
  <c r="I255" i="1"/>
  <c r="H255" i="1"/>
  <c r="G255" i="1"/>
  <c r="A255" i="1"/>
  <c r="J254" i="1"/>
  <c r="I254" i="1"/>
  <c r="H254" i="1"/>
  <c r="G254" i="1"/>
  <c r="A254" i="1"/>
  <c r="J253" i="1"/>
  <c r="I253" i="1"/>
  <c r="H253" i="1"/>
  <c r="G253" i="1"/>
  <c r="A253" i="1"/>
  <c r="J252" i="1"/>
  <c r="I252" i="1"/>
  <c r="H252" i="1"/>
  <c r="G252" i="1"/>
  <c r="A252" i="1"/>
  <c r="J251" i="1"/>
  <c r="I251" i="1"/>
  <c r="H251" i="1"/>
  <c r="G251" i="1"/>
  <c r="A251" i="1"/>
  <c r="J250" i="1"/>
  <c r="I250" i="1"/>
  <c r="H250" i="1"/>
  <c r="G250" i="1"/>
  <c r="A250" i="1"/>
  <c r="J249" i="1"/>
  <c r="I249" i="1"/>
  <c r="H249" i="1"/>
  <c r="G249" i="1"/>
  <c r="A249" i="1"/>
  <c r="J248" i="1"/>
  <c r="I248" i="1"/>
  <c r="H248" i="1"/>
  <c r="G248" i="1"/>
  <c r="A248" i="1"/>
  <c r="J247" i="1"/>
  <c r="I247" i="1"/>
  <c r="H247" i="1"/>
  <c r="G247" i="1"/>
  <c r="A247" i="1"/>
  <c r="J246" i="1"/>
  <c r="I246" i="1"/>
  <c r="H246" i="1"/>
  <c r="G246" i="1"/>
  <c r="A246" i="1"/>
  <c r="J245" i="1"/>
  <c r="I245" i="1"/>
  <c r="H245" i="1"/>
  <c r="G245" i="1"/>
  <c r="A245" i="1"/>
  <c r="J244" i="1"/>
  <c r="I244" i="1"/>
  <c r="H244" i="1"/>
  <c r="G244" i="1"/>
  <c r="A244" i="1"/>
  <c r="J243" i="1"/>
  <c r="I243" i="1"/>
  <c r="H243" i="1"/>
  <c r="G243" i="1"/>
  <c r="A243" i="1"/>
  <c r="J242" i="1"/>
  <c r="I242" i="1"/>
  <c r="H242" i="1"/>
  <c r="G242" i="1"/>
  <c r="A242" i="1"/>
  <c r="J241" i="1"/>
  <c r="I241" i="1"/>
  <c r="H241" i="1"/>
  <c r="G241" i="1"/>
  <c r="A241" i="1"/>
  <c r="J240" i="1"/>
  <c r="I240" i="1"/>
  <c r="H240" i="1"/>
  <c r="G240" i="1"/>
  <c r="A240" i="1"/>
  <c r="J239" i="1"/>
  <c r="I239" i="1"/>
  <c r="H239" i="1"/>
  <c r="G239" i="1"/>
  <c r="A239" i="1"/>
  <c r="J238" i="1"/>
  <c r="I238" i="1"/>
  <c r="H238" i="1"/>
  <c r="G238" i="1"/>
  <c r="A238" i="1"/>
  <c r="J237" i="1"/>
  <c r="I237" i="1"/>
  <c r="H237" i="1"/>
  <c r="G237" i="1"/>
  <c r="A237" i="1"/>
  <c r="J236" i="1"/>
  <c r="I236" i="1"/>
  <c r="H236" i="1"/>
  <c r="G236" i="1"/>
  <c r="A236" i="1"/>
  <c r="J235" i="1"/>
  <c r="I235" i="1"/>
  <c r="H235" i="1"/>
  <c r="G235" i="1"/>
  <c r="A235" i="1"/>
  <c r="J234" i="1"/>
  <c r="I234" i="1"/>
  <c r="H234" i="1"/>
  <c r="G234" i="1"/>
  <c r="A234" i="1"/>
  <c r="J233" i="1"/>
  <c r="I233" i="1"/>
  <c r="H233" i="1"/>
  <c r="G233" i="1"/>
  <c r="A233" i="1"/>
  <c r="J232" i="1"/>
  <c r="I232" i="1"/>
  <c r="H232" i="1"/>
  <c r="G232" i="1"/>
  <c r="A232" i="1"/>
  <c r="J231" i="1"/>
  <c r="I231" i="1"/>
  <c r="H231" i="1"/>
  <c r="G231" i="1"/>
  <c r="A231" i="1"/>
  <c r="J230" i="1"/>
  <c r="I230" i="1"/>
  <c r="H230" i="1"/>
  <c r="G230" i="1"/>
  <c r="A230" i="1"/>
  <c r="J229" i="1"/>
  <c r="I229" i="1"/>
  <c r="H229" i="1"/>
  <c r="G229" i="1"/>
  <c r="A229" i="1"/>
  <c r="J228" i="1"/>
  <c r="I228" i="1"/>
  <c r="H228" i="1"/>
  <c r="G228" i="1"/>
  <c r="A228" i="1"/>
  <c r="J227" i="1"/>
  <c r="I227" i="1"/>
  <c r="H227" i="1"/>
  <c r="G227" i="1"/>
  <c r="A227" i="1"/>
  <c r="J226" i="1"/>
  <c r="I226" i="1"/>
  <c r="H226" i="1"/>
  <c r="G226" i="1"/>
  <c r="A226" i="1"/>
  <c r="J225" i="1"/>
  <c r="I225" i="1"/>
  <c r="H225" i="1"/>
  <c r="G225" i="1"/>
  <c r="A225" i="1"/>
  <c r="J224" i="1"/>
  <c r="I224" i="1"/>
  <c r="H224" i="1"/>
  <c r="G224" i="1"/>
  <c r="A224" i="1"/>
  <c r="J223" i="1"/>
  <c r="I223" i="1"/>
  <c r="H223" i="1"/>
  <c r="G223" i="1"/>
  <c r="A223" i="1"/>
  <c r="J222" i="1"/>
  <c r="I222" i="1"/>
  <c r="H222" i="1"/>
  <c r="G222" i="1"/>
  <c r="A222" i="1"/>
  <c r="J221" i="1"/>
  <c r="I221" i="1"/>
  <c r="H221" i="1"/>
  <c r="G221" i="1"/>
  <c r="A221" i="1"/>
  <c r="J220" i="1"/>
  <c r="I220" i="1"/>
  <c r="H220" i="1"/>
  <c r="G220" i="1"/>
  <c r="A220" i="1"/>
  <c r="J219" i="1"/>
  <c r="I219" i="1"/>
  <c r="H219" i="1"/>
  <c r="G219" i="1"/>
  <c r="A219" i="1"/>
  <c r="J218" i="1"/>
  <c r="I218" i="1"/>
  <c r="H218" i="1"/>
  <c r="G218" i="1"/>
  <c r="A218" i="1"/>
  <c r="J217" i="1"/>
  <c r="I217" i="1"/>
  <c r="H217" i="1"/>
  <c r="G217" i="1"/>
  <c r="A217" i="1"/>
  <c r="J216" i="1"/>
  <c r="I216" i="1"/>
  <c r="H216" i="1"/>
  <c r="G216" i="1"/>
  <c r="A216" i="1"/>
  <c r="J215" i="1"/>
  <c r="I215" i="1"/>
  <c r="H215" i="1"/>
  <c r="G215" i="1"/>
  <c r="A215" i="1"/>
  <c r="J214" i="1"/>
  <c r="I214" i="1"/>
  <c r="H214" i="1"/>
  <c r="G214" i="1"/>
  <c r="A214" i="1"/>
  <c r="J213" i="1"/>
  <c r="I213" i="1"/>
  <c r="H213" i="1"/>
  <c r="G213" i="1"/>
  <c r="A213" i="1"/>
  <c r="J212" i="1"/>
  <c r="I212" i="1"/>
  <c r="H212" i="1"/>
  <c r="G212" i="1"/>
  <c r="A212" i="1"/>
  <c r="J211" i="1"/>
  <c r="I211" i="1"/>
  <c r="H211" i="1"/>
  <c r="G211" i="1"/>
  <c r="A211" i="1"/>
  <c r="J210" i="1"/>
  <c r="I210" i="1"/>
  <c r="H210" i="1"/>
  <c r="G210" i="1"/>
  <c r="A210" i="1"/>
  <c r="J209" i="1"/>
  <c r="I209" i="1"/>
  <c r="H209" i="1"/>
  <c r="G209" i="1"/>
  <c r="A209" i="1"/>
  <c r="J208" i="1"/>
  <c r="I208" i="1"/>
  <c r="H208" i="1"/>
  <c r="G208" i="1"/>
  <c r="A208" i="1"/>
  <c r="J207" i="1"/>
  <c r="I207" i="1"/>
  <c r="H207" i="1"/>
  <c r="G207" i="1"/>
  <c r="A207" i="1"/>
  <c r="J206" i="1"/>
  <c r="I206" i="1"/>
  <c r="H206" i="1"/>
  <c r="G206" i="1"/>
  <c r="A206" i="1"/>
  <c r="J205" i="1"/>
  <c r="I205" i="1"/>
  <c r="H205" i="1"/>
  <c r="G205" i="1"/>
  <c r="A205" i="1"/>
  <c r="J204" i="1"/>
  <c r="I204" i="1"/>
  <c r="H204" i="1"/>
  <c r="G204" i="1"/>
  <c r="A204" i="1"/>
  <c r="J203" i="1"/>
  <c r="I203" i="1"/>
  <c r="H203" i="1"/>
  <c r="G203" i="1"/>
  <c r="A203" i="1"/>
  <c r="J202" i="1"/>
  <c r="I202" i="1"/>
  <c r="H202" i="1"/>
  <c r="G202" i="1"/>
  <c r="A202" i="1"/>
  <c r="J201" i="1"/>
  <c r="I201" i="1"/>
  <c r="H201" i="1"/>
  <c r="G201" i="1"/>
  <c r="A201" i="1"/>
  <c r="J200" i="1"/>
  <c r="I200" i="1"/>
  <c r="H200" i="1"/>
  <c r="G200" i="1"/>
  <c r="A200" i="1"/>
  <c r="J199" i="1"/>
  <c r="I199" i="1"/>
  <c r="H199" i="1"/>
  <c r="G199" i="1"/>
  <c r="A199" i="1"/>
  <c r="J198" i="1"/>
  <c r="I198" i="1"/>
  <c r="H198" i="1"/>
  <c r="G198" i="1"/>
  <c r="A198" i="1"/>
  <c r="J197" i="1"/>
  <c r="I197" i="1"/>
  <c r="H197" i="1"/>
  <c r="G197" i="1"/>
  <c r="A197" i="1"/>
  <c r="J196" i="1"/>
  <c r="I196" i="1"/>
  <c r="H196" i="1"/>
  <c r="G196" i="1"/>
  <c r="A196" i="1"/>
  <c r="J195" i="1"/>
  <c r="I195" i="1"/>
  <c r="H195" i="1"/>
  <c r="G195" i="1"/>
  <c r="A195" i="1"/>
  <c r="J194" i="1"/>
  <c r="I194" i="1"/>
  <c r="H194" i="1"/>
  <c r="G194" i="1"/>
  <c r="A194" i="1"/>
  <c r="J193" i="1"/>
  <c r="I193" i="1"/>
  <c r="H193" i="1"/>
  <c r="G193" i="1"/>
  <c r="A193" i="1"/>
  <c r="J192" i="1"/>
  <c r="I192" i="1"/>
  <c r="H192" i="1"/>
  <c r="G192" i="1"/>
  <c r="A192" i="1"/>
  <c r="J191" i="1"/>
  <c r="I191" i="1"/>
  <c r="H191" i="1"/>
  <c r="G191" i="1"/>
  <c r="A191" i="1"/>
  <c r="J190" i="1"/>
  <c r="I190" i="1"/>
  <c r="H190" i="1"/>
  <c r="G190" i="1"/>
  <c r="A190" i="1"/>
  <c r="J189" i="1"/>
  <c r="I189" i="1"/>
  <c r="H189" i="1"/>
  <c r="G189" i="1"/>
  <c r="A189" i="1"/>
  <c r="J188" i="1"/>
  <c r="I188" i="1"/>
  <c r="H188" i="1"/>
  <c r="G188" i="1"/>
  <c r="A188" i="1"/>
  <c r="J187" i="1"/>
  <c r="I187" i="1"/>
  <c r="H187" i="1"/>
  <c r="G187" i="1"/>
  <c r="A187" i="1"/>
  <c r="J186" i="1"/>
  <c r="I186" i="1"/>
  <c r="H186" i="1"/>
  <c r="G186" i="1"/>
  <c r="A186" i="1"/>
  <c r="J185" i="1"/>
  <c r="I185" i="1"/>
  <c r="H185" i="1"/>
  <c r="G185" i="1"/>
  <c r="A185" i="1"/>
  <c r="J184" i="1"/>
  <c r="I184" i="1"/>
  <c r="H184" i="1"/>
  <c r="G184" i="1"/>
  <c r="A184" i="1"/>
  <c r="J183" i="1"/>
  <c r="I183" i="1"/>
  <c r="H183" i="1"/>
  <c r="G183" i="1"/>
  <c r="A183" i="1"/>
  <c r="J182" i="1"/>
  <c r="I182" i="1"/>
  <c r="H182" i="1"/>
  <c r="G182" i="1"/>
  <c r="A182" i="1"/>
  <c r="J181" i="1"/>
  <c r="I181" i="1"/>
  <c r="H181" i="1"/>
  <c r="G181" i="1"/>
  <c r="A181" i="1"/>
  <c r="J180" i="1"/>
  <c r="I180" i="1"/>
  <c r="H180" i="1"/>
  <c r="G180" i="1"/>
  <c r="A180" i="1"/>
  <c r="J179" i="1"/>
  <c r="I179" i="1"/>
  <c r="H179" i="1"/>
  <c r="G179" i="1"/>
  <c r="A179" i="1"/>
  <c r="J178" i="1"/>
  <c r="I178" i="1"/>
  <c r="H178" i="1"/>
  <c r="G178" i="1"/>
  <c r="A178" i="1"/>
  <c r="J177" i="1"/>
  <c r="I177" i="1"/>
  <c r="H177" i="1"/>
  <c r="G177" i="1"/>
  <c r="A177" i="1"/>
  <c r="J176" i="1"/>
  <c r="I176" i="1"/>
  <c r="H176" i="1"/>
  <c r="G176" i="1"/>
  <c r="A176" i="1"/>
  <c r="J175" i="1"/>
  <c r="I175" i="1"/>
  <c r="H175" i="1"/>
  <c r="G175" i="1"/>
  <c r="A175" i="1"/>
  <c r="J174" i="1"/>
  <c r="I174" i="1"/>
  <c r="H174" i="1"/>
  <c r="G174" i="1"/>
  <c r="A174" i="1"/>
  <c r="J173" i="1"/>
  <c r="I173" i="1"/>
  <c r="H173" i="1"/>
  <c r="G173" i="1"/>
  <c r="A173" i="1"/>
  <c r="J172" i="1"/>
  <c r="I172" i="1"/>
  <c r="H172" i="1"/>
  <c r="G172" i="1"/>
  <c r="A172" i="1"/>
  <c r="J171" i="1"/>
  <c r="I171" i="1"/>
  <c r="H171" i="1"/>
  <c r="G171" i="1"/>
  <c r="A171" i="1"/>
  <c r="J170" i="1"/>
  <c r="I170" i="1"/>
  <c r="H170" i="1"/>
  <c r="G170" i="1"/>
  <c r="A170" i="1"/>
  <c r="J169" i="1"/>
  <c r="I169" i="1"/>
  <c r="H169" i="1"/>
  <c r="G169" i="1"/>
  <c r="A169" i="1"/>
  <c r="J168" i="1"/>
  <c r="I168" i="1"/>
  <c r="H168" i="1"/>
  <c r="G168" i="1"/>
  <c r="A168" i="1"/>
  <c r="J167" i="1"/>
  <c r="I167" i="1"/>
  <c r="H167" i="1"/>
  <c r="G167" i="1"/>
  <c r="A167" i="1"/>
  <c r="J166" i="1"/>
  <c r="I166" i="1"/>
  <c r="H166" i="1"/>
  <c r="G166" i="1"/>
  <c r="A166" i="1"/>
  <c r="J165" i="1"/>
  <c r="I165" i="1"/>
  <c r="H165" i="1"/>
  <c r="G165" i="1"/>
  <c r="A165" i="1"/>
  <c r="J164" i="1"/>
  <c r="I164" i="1"/>
  <c r="H164" i="1"/>
  <c r="G164" i="1"/>
  <c r="A164" i="1"/>
  <c r="J163" i="1"/>
  <c r="I163" i="1"/>
  <c r="H163" i="1"/>
  <c r="G163" i="1"/>
  <c r="A163" i="1"/>
  <c r="J162" i="1"/>
  <c r="I162" i="1"/>
  <c r="H162" i="1"/>
  <c r="G162" i="1"/>
  <c r="A162" i="1"/>
  <c r="J161" i="1"/>
  <c r="I161" i="1"/>
  <c r="H161" i="1"/>
  <c r="G161" i="1"/>
  <c r="A161" i="1"/>
  <c r="J160" i="1"/>
  <c r="I160" i="1"/>
  <c r="H160" i="1"/>
  <c r="G160" i="1"/>
  <c r="A160" i="1"/>
  <c r="J159" i="1"/>
  <c r="I159" i="1"/>
  <c r="H159" i="1"/>
  <c r="G159" i="1"/>
  <c r="A159" i="1"/>
  <c r="J158" i="1"/>
  <c r="I158" i="1"/>
  <c r="H158" i="1"/>
  <c r="G158" i="1"/>
  <c r="A158" i="1"/>
  <c r="J157" i="1"/>
  <c r="I157" i="1"/>
  <c r="H157" i="1"/>
  <c r="G157" i="1"/>
  <c r="A157" i="1"/>
  <c r="J156" i="1"/>
  <c r="I156" i="1"/>
  <c r="H156" i="1"/>
  <c r="G156" i="1"/>
  <c r="A156" i="1"/>
  <c r="J155" i="1"/>
  <c r="I155" i="1"/>
  <c r="H155" i="1"/>
  <c r="G155" i="1"/>
  <c r="A155" i="1"/>
  <c r="J154" i="1"/>
  <c r="I154" i="1"/>
  <c r="H154" i="1"/>
  <c r="G154" i="1"/>
  <c r="A154" i="1"/>
  <c r="J153" i="1"/>
  <c r="I153" i="1"/>
  <c r="H153" i="1"/>
  <c r="G153" i="1"/>
  <c r="A153" i="1"/>
  <c r="J152" i="1"/>
  <c r="I152" i="1"/>
  <c r="H152" i="1"/>
  <c r="G152" i="1"/>
  <c r="A152" i="1"/>
  <c r="J151" i="1"/>
  <c r="I151" i="1"/>
  <c r="H151" i="1"/>
  <c r="G151" i="1"/>
  <c r="A151" i="1"/>
  <c r="J150" i="1"/>
  <c r="I150" i="1"/>
  <c r="H150" i="1"/>
  <c r="G150" i="1"/>
  <c r="A150" i="1"/>
  <c r="J149" i="1"/>
  <c r="I149" i="1"/>
  <c r="H149" i="1"/>
  <c r="G149" i="1"/>
  <c r="A149" i="1"/>
  <c r="J148" i="1"/>
  <c r="I148" i="1"/>
  <c r="H148" i="1"/>
  <c r="G148" i="1"/>
  <c r="A148" i="1"/>
  <c r="J147" i="1"/>
  <c r="I147" i="1"/>
  <c r="H147" i="1"/>
  <c r="G147" i="1"/>
  <c r="A147" i="1"/>
  <c r="J146" i="1"/>
  <c r="I146" i="1"/>
  <c r="H146" i="1"/>
  <c r="G146" i="1"/>
  <c r="A146" i="1"/>
  <c r="J145" i="1"/>
  <c r="I145" i="1"/>
  <c r="H145" i="1"/>
  <c r="G145" i="1"/>
  <c r="A145" i="1"/>
  <c r="J144" i="1"/>
  <c r="I144" i="1"/>
  <c r="H144" i="1"/>
  <c r="G144" i="1"/>
  <c r="A144" i="1"/>
  <c r="J143" i="1"/>
  <c r="I143" i="1"/>
  <c r="H143" i="1"/>
  <c r="G143" i="1"/>
  <c r="A143" i="1"/>
  <c r="J142" i="1"/>
  <c r="I142" i="1"/>
  <c r="H142" i="1"/>
  <c r="G142" i="1"/>
  <c r="A142" i="1"/>
  <c r="J141" i="1"/>
  <c r="I141" i="1"/>
  <c r="H141" i="1"/>
  <c r="G141" i="1"/>
  <c r="A141" i="1"/>
  <c r="J140" i="1"/>
  <c r="I140" i="1"/>
  <c r="H140" i="1"/>
  <c r="G140" i="1"/>
  <c r="A140" i="1"/>
  <c r="J139" i="1"/>
  <c r="I139" i="1"/>
  <c r="H139" i="1"/>
  <c r="G139" i="1"/>
  <c r="A139" i="1"/>
  <c r="J138" i="1"/>
  <c r="I138" i="1"/>
  <c r="H138" i="1"/>
  <c r="G138" i="1"/>
  <c r="A138" i="1"/>
  <c r="J137" i="1"/>
  <c r="I137" i="1"/>
  <c r="H137" i="1"/>
  <c r="G137" i="1"/>
  <c r="A137" i="1"/>
  <c r="J136" i="1"/>
  <c r="I136" i="1"/>
  <c r="H136" i="1"/>
  <c r="G136" i="1"/>
  <c r="A136" i="1"/>
  <c r="J135" i="1"/>
  <c r="I135" i="1"/>
  <c r="H135" i="1"/>
  <c r="G135" i="1"/>
  <c r="A135" i="1"/>
  <c r="J134" i="1"/>
  <c r="I134" i="1"/>
  <c r="H134" i="1"/>
  <c r="G134" i="1"/>
  <c r="A134" i="1"/>
  <c r="J133" i="1"/>
  <c r="I133" i="1"/>
  <c r="H133" i="1"/>
  <c r="G133" i="1"/>
  <c r="A133" i="1"/>
  <c r="J132" i="1"/>
  <c r="I132" i="1"/>
  <c r="H132" i="1"/>
  <c r="G132" i="1"/>
  <c r="A132" i="1"/>
  <c r="J131" i="1"/>
  <c r="I131" i="1"/>
  <c r="H131" i="1"/>
  <c r="G131" i="1"/>
  <c r="A131" i="1"/>
  <c r="J130" i="1"/>
  <c r="I130" i="1"/>
  <c r="H130" i="1"/>
  <c r="G130" i="1"/>
  <c r="A130" i="1"/>
  <c r="J129" i="1"/>
  <c r="I129" i="1"/>
  <c r="H129" i="1"/>
  <c r="G129" i="1"/>
  <c r="A129" i="1"/>
  <c r="J128" i="1"/>
  <c r="I128" i="1"/>
  <c r="H128" i="1"/>
  <c r="G128" i="1"/>
  <c r="A128" i="1"/>
  <c r="J127" i="1"/>
  <c r="I127" i="1"/>
  <c r="H127" i="1"/>
  <c r="G127" i="1"/>
  <c r="A127" i="1"/>
  <c r="J126" i="1"/>
  <c r="I126" i="1"/>
  <c r="H126" i="1"/>
  <c r="G126" i="1"/>
  <c r="A126" i="1"/>
  <c r="J125" i="1"/>
  <c r="I125" i="1"/>
  <c r="H125" i="1"/>
  <c r="G125" i="1"/>
  <c r="A125" i="1"/>
  <c r="J124" i="1"/>
  <c r="I124" i="1"/>
  <c r="H124" i="1"/>
  <c r="G124" i="1"/>
  <c r="A124" i="1"/>
  <c r="J123" i="1"/>
  <c r="I123" i="1"/>
  <c r="H123" i="1"/>
  <c r="G123" i="1"/>
  <c r="A123" i="1"/>
  <c r="J122" i="1"/>
  <c r="I122" i="1"/>
  <c r="H122" i="1"/>
  <c r="G122" i="1"/>
  <c r="A122" i="1"/>
  <c r="J121" i="1"/>
  <c r="I121" i="1"/>
  <c r="H121" i="1"/>
  <c r="G121" i="1"/>
  <c r="A121" i="1"/>
  <c r="J120" i="1"/>
  <c r="I120" i="1"/>
  <c r="H120" i="1"/>
  <c r="G120" i="1"/>
  <c r="A120" i="1"/>
  <c r="J119" i="1"/>
  <c r="I119" i="1"/>
  <c r="H119" i="1"/>
  <c r="G119" i="1"/>
  <c r="A119" i="1"/>
  <c r="J118" i="1"/>
  <c r="I118" i="1"/>
  <c r="H118" i="1"/>
  <c r="G118" i="1"/>
  <c r="A118" i="1"/>
  <c r="J117" i="1"/>
  <c r="I117" i="1"/>
  <c r="H117" i="1"/>
  <c r="G117" i="1"/>
  <c r="A117" i="1"/>
  <c r="J116" i="1"/>
  <c r="I116" i="1"/>
  <c r="H116" i="1"/>
  <c r="G116" i="1"/>
  <c r="A116" i="1"/>
  <c r="J115" i="1"/>
  <c r="I115" i="1"/>
  <c r="H115" i="1"/>
  <c r="G115" i="1"/>
  <c r="A115" i="1"/>
  <c r="J114" i="1"/>
  <c r="I114" i="1"/>
  <c r="H114" i="1"/>
  <c r="G114" i="1"/>
  <c r="A114" i="1"/>
  <c r="J113" i="1"/>
  <c r="I113" i="1"/>
  <c r="H113" i="1"/>
  <c r="G113" i="1"/>
  <c r="A113" i="1"/>
  <c r="J112" i="1"/>
  <c r="I112" i="1"/>
  <c r="H112" i="1"/>
  <c r="G112" i="1"/>
  <c r="A112" i="1"/>
  <c r="J111" i="1"/>
  <c r="I111" i="1"/>
  <c r="H111" i="1"/>
  <c r="G111" i="1"/>
  <c r="A111" i="1"/>
  <c r="J110" i="1"/>
  <c r="I110" i="1"/>
  <c r="H110" i="1"/>
  <c r="G110" i="1"/>
  <c r="A110" i="1"/>
  <c r="J109" i="1"/>
  <c r="I109" i="1"/>
  <c r="H109" i="1"/>
  <c r="G109" i="1"/>
  <c r="A109" i="1"/>
  <c r="J108" i="1"/>
  <c r="I108" i="1"/>
  <c r="H108" i="1"/>
  <c r="G108" i="1"/>
  <c r="A108" i="1"/>
  <c r="J107" i="1"/>
  <c r="I107" i="1"/>
  <c r="H107" i="1"/>
  <c r="G107" i="1"/>
  <c r="A107" i="1"/>
  <c r="J106" i="1"/>
  <c r="I106" i="1"/>
  <c r="H106" i="1"/>
  <c r="G106" i="1"/>
  <c r="A106" i="1"/>
  <c r="J105" i="1"/>
  <c r="I105" i="1"/>
  <c r="H105" i="1"/>
  <c r="G105" i="1"/>
  <c r="A105" i="1"/>
  <c r="J104" i="1"/>
  <c r="I104" i="1"/>
  <c r="H104" i="1"/>
  <c r="G104" i="1"/>
  <c r="A104" i="1"/>
  <c r="J103" i="1"/>
  <c r="I103" i="1"/>
  <c r="H103" i="1"/>
  <c r="G103" i="1"/>
  <c r="A103" i="1"/>
  <c r="J102" i="1"/>
  <c r="I102" i="1"/>
  <c r="H102" i="1"/>
  <c r="G102" i="1"/>
  <c r="A102" i="1"/>
  <c r="J101" i="1"/>
  <c r="I101" i="1"/>
  <c r="H101" i="1"/>
  <c r="G101" i="1"/>
  <c r="A101" i="1"/>
  <c r="J100" i="1"/>
  <c r="I100" i="1"/>
  <c r="H100" i="1"/>
  <c r="G100" i="1"/>
  <c r="A100" i="1"/>
  <c r="J99" i="1"/>
  <c r="I99" i="1"/>
  <c r="H99" i="1"/>
  <c r="G99" i="1"/>
  <c r="A99" i="1"/>
  <c r="J98" i="1"/>
  <c r="I98" i="1"/>
  <c r="H98" i="1"/>
  <c r="G98" i="1"/>
  <c r="A98" i="1"/>
  <c r="J97" i="1"/>
  <c r="I97" i="1"/>
  <c r="H97" i="1"/>
  <c r="G97" i="1"/>
  <c r="A97" i="1"/>
  <c r="J96" i="1"/>
  <c r="I96" i="1"/>
  <c r="H96" i="1"/>
  <c r="G96" i="1"/>
  <c r="A96" i="1"/>
  <c r="J95" i="1"/>
  <c r="I95" i="1"/>
  <c r="H95" i="1"/>
  <c r="G95" i="1"/>
  <c r="A95" i="1"/>
  <c r="J94" i="1"/>
  <c r="I94" i="1"/>
  <c r="H94" i="1"/>
  <c r="G94" i="1"/>
  <c r="A94" i="1"/>
  <c r="J93" i="1"/>
  <c r="I93" i="1"/>
  <c r="H93" i="1"/>
  <c r="G93" i="1"/>
  <c r="A93" i="1"/>
  <c r="J92" i="1"/>
  <c r="I92" i="1"/>
  <c r="H92" i="1"/>
  <c r="G92" i="1"/>
  <c r="A92" i="1"/>
  <c r="J91" i="1"/>
  <c r="I91" i="1"/>
  <c r="H91" i="1"/>
  <c r="G91" i="1"/>
  <c r="A91" i="1"/>
  <c r="J90" i="1"/>
  <c r="I90" i="1"/>
  <c r="H90" i="1"/>
  <c r="G90" i="1"/>
  <c r="A90" i="1"/>
  <c r="J89" i="1"/>
  <c r="I89" i="1"/>
  <c r="H89" i="1"/>
  <c r="G89" i="1"/>
  <c r="A89" i="1"/>
  <c r="J88" i="1"/>
  <c r="I88" i="1"/>
  <c r="H88" i="1"/>
  <c r="G88" i="1"/>
  <c r="A88" i="1"/>
  <c r="J87" i="1"/>
  <c r="I87" i="1"/>
  <c r="H87" i="1"/>
  <c r="G87" i="1"/>
  <c r="A87" i="1"/>
  <c r="J86" i="1"/>
  <c r="I86" i="1"/>
  <c r="H86" i="1"/>
  <c r="G86" i="1"/>
  <c r="A86" i="1"/>
  <c r="J85" i="1"/>
  <c r="I85" i="1"/>
  <c r="H85" i="1"/>
  <c r="G85" i="1"/>
  <c r="A85" i="1"/>
  <c r="J84" i="1"/>
  <c r="I84" i="1"/>
  <c r="H84" i="1"/>
  <c r="G84" i="1"/>
  <c r="A84" i="1"/>
  <c r="J83" i="1"/>
  <c r="I83" i="1"/>
  <c r="H83" i="1"/>
  <c r="G83" i="1"/>
  <c r="A83" i="1"/>
  <c r="J82" i="1"/>
  <c r="I82" i="1"/>
  <c r="H82" i="1"/>
  <c r="G82" i="1"/>
  <c r="A82" i="1"/>
  <c r="J81" i="1"/>
  <c r="I81" i="1"/>
  <c r="H81" i="1"/>
  <c r="G81" i="1"/>
  <c r="A81" i="1"/>
  <c r="J80" i="1"/>
  <c r="I80" i="1"/>
  <c r="H80" i="1"/>
  <c r="G80" i="1"/>
  <c r="A80" i="1"/>
  <c r="J79" i="1"/>
  <c r="I79" i="1"/>
  <c r="H79" i="1"/>
  <c r="G79" i="1"/>
  <c r="A79" i="1"/>
  <c r="J78" i="1"/>
  <c r="I78" i="1"/>
  <c r="H78" i="1"/>
  <c r="G78" i="1"/>
  <c r="A78" i="1"/>
  <c r="J77" i="1"/>
  <c r="I77" i="1"/>
  <c r="H77" i="1"/>
  <c r="G77" i="1"/>
  <c r="A77" i="1"/>
  <c r="J76" i="1"/>
  <c r="I76" i="1"/>
  <c r="H76" i="1"/>
  <c r="G76" i="1"/>
  <c r="A76" i="1"/>
  <c r="J75" i="1"/>
  <c r="I75" i="1"/>
  <c r="H75" i="1"/>
  <c r="G75" i="1"/>
  <c r="A75" i="1"/>
  <c r="J74" i="1"/>
  <c r="I74" i="1"/>
  <c r="H74" i="1"/>
  <c r="G74" i="1"/>
  <c r="A74" i="1"/>
  <c r="J73" i="1"/>
  <c r="I73" i="1"/>
  <c r="H73" i="1"/>
  <c r="G73" i="1"/>
  <c r="A73" i="1"/>
  <c r="J72" i="1"/>
  <c r="I72" i="1"/>
  <c r="H72" i="1"/>
  <c r="G72" i="1"/>
  <c r="A72" i="1"/>
  <c r="J71" i="1"/>
  <c r="I71" i="1"/>
  <c r="H71" i="1"/>
  <c r="G71" i="1"/>
  <c r="A71" i="1"/>
  <c r="J70" i="1"/>
  <c r="I70" i="1"/>
  <c r="H70" i="1"/>
  <c r="G70" i="1"/>
  <c r="A70" i="1"/>
  <c r="J69" i="1"/>
  <c r="I69" i="1"/>
  <c r="H69" i="1"/>
  <c r="G69" i="1"/>
  <c r="A69" i="1"/>
  <c r="J68" i="1"/>
  <c r="I68" i="1"/>
  <c r="H68" i="1"/>
  <c r="G68" i="1"/>
  <c r="A68" i="1"/>
  <c r="J67" i="1"/>
  <c r="I67" i="1"/>
  <c r="H67" i="1"/>
  <c r="G67" i="1"/>
  <c r="A67" i="1"/>
  <c r="J66" i="1"/>
  <c r="I66" i="1"/>
  <c r="H66" i="1"/>
  <c r="G66" i="1"/>
  <c r="A66" i="1"/>
  <c r="J65" i="1"/>
  <c r="I65" i="1"/>
  <c r="H65" i="1"/>
  <c r="G65" i="1"/>
  <c r="A65" i="1"/>
  <c r="J64" i="1"/>
  <c r="I64" i="1"/>
  <c r="H64" i="1"/>
  <c r="G64" i="1"/>
  <c r="A64" i="1"/>
  <c r="J63" i="1"/>
  <c r="I63" i="1"/>
  <c r="H63" i="1"/>
  <c r="G63" i="1"/>
  <c r="A63" i="1"/>
  <c r="J62" i="1"/>
  <c r="I62" i="1"/>
  <c r="H62" i="1"/>
  <c r="G62" i="1"/>
  <c r="A62" i="1"/>
  <c r="J61" i="1"/>
  <c r="I61" i="1"/>
  <c r="H61" i="1"/>
  <c r="G61" i="1"/>
  <c r="A61" i="1"/>
  <c r="J60" i="1"/>
  <c r="I60" i="1"/>
  <c r="H60" i="1"/>
  <c r="G60" i="1"/>
  <c r="A60" i="1"/>
  <c r="J59" i="1"/>
  <c r="I59" i="1"/>
  <c r="H59" i="1"/>
  <c r="G59" i="1"/>
  <c r="A59" i="1"/>
  <c r="J58" i="1"/>
  <c r="I58" i="1"/>
  <c r="H58" i="1"/>
  <c r="G58" i="1"/>
  <c r="A58" i="1"/>
  <c r="J57" i="1"/>
  <c r="I57" i="1"/>
  <c r="H57" i="1"/>
  <c r="G57" i="1"/>
  <c r="A57" i="1"/>
  <c r="J56" i="1"/>
  <c r="I56" i="1"/>
  <c r="H56" i="1"/>
  <c r="G56" i="1"/>
  <c r="A56" i="1"/>
  <c r="J55" i="1"/>
  <c r="I55" i="1"/>
  <c r="H55" i="1"/>
  <c r="G55" i="1"/>
  <c r="A55" i="1"/>
  <c r="J54" i="1"/>
  <c r="I54" i="1"/>
  <c r="H54" i="1"/>
  <c r="G54" i="1"/>
  <c r="A54" i="1"/>
  <c r="J53" i="1"/>
  <c r="I53" i="1"/>
  <c r="H53" i="1"/>
  <c r="G53" i="1"/>
  <c r="A53" i="1"/>
  <c r="J52" i="1"/>
  <c r="I52" i="1"/>
  <c r="H52" i="1"/>
  <c r="G52" i="1"/>
  <c r="A52" i="1"/>
  <c r="J51" i="1"/>
  <c r="I51" i="1"/>
  <c r="H51" i="1"/>
  <c r="G51" i="1"/>
  <c r="A51" i="1"/>
  <c r="J50" i="1"/>
  <c r="I50" i="1"/>
  <c r="H50" i="1"/>
  <c r="G50" i="1"/>
  <c r="A50" i="1"/>
  <c r="J49" i="1"/>
  <c r="I49" i="1"/>
  <c r="H49" i="1"/>
  <c r="G49" i="1"/>
  <c r="A49" i="1"/>
  <c r="J48" i="1"/>
  <c r="I48" i="1"/>
  <c r="H48" i="1"/>
  <c r="G48" i="1"/>
  <c r="A48" i="1"/>
  <c r="J47" i="1"/>
  <c r="I47" i="1"/>
  <c r="H47" i="1"/>
  <c r="G47" i="1"/>
  <c r="A47" i="1"/>
  <c r="J46" i="1"/>
  <c r="I46" i="1"/>
  <c r="H46" i="1"/>
  <c r="G46" i="1"/>
  <c r="A46" i="1"/>
  <c r="J45" i="1"/>
  <c r="I45" i="1"/>
  <c r="H45" i="1"/>
  <c r="G45" i="1"/>
  <c r="A45" i="1"/>
  <c r="J44" i="1"/>
  <c r="I44" i="1"/>
  <c r="H44" i="1"/>
  <c r="G44" i="1"/>
  <c r="A44" i="1"/>
  <c r="J43" i="1"/>
  <c r="I43" i="1"/>
  <c r="H43" i="1"/>
  <c r="G43" i="1"/>
  <c r="A43" i="1"/>
  <c r="J42" i="1"/>
  <c r="I42" i="1"/>
  <c r="H42" i="1"/>
  <c r="G42" i="1"/>
  <c r="A42" i="1"/>
  <c r="J41" i="1"/>
  <c r="I41" i="1"/>
  <c r="H41" i="1"/>
  <c r="G41" i="1"/>
  <c r="A41" i="1"/>
  <c r="J40" i="1"/>
  <c r="I40" i="1"/>
  <c r="H40" i="1"/>
  <c r="G40" i="1"/>
  <c r="A40" i="1"/>
  <c r="J39" i="1"/>
  <c r="I39" i="1"/>
  <c r="H39" i="1"/>
  <c r="G39" i="1"/>
  <c r="A39" i="1"/>
  <c r="J38" i="1"/>
  <c r="I38" i="1"/>
  <c r="H38" i="1"/>
  <c r="G38" i="1"/>
  <c r="A38" i="1"/>
  <c r="J37" i="1"/>
  <c r="I37" i="1"/>
  <c r="H37" i="1"/>
  <c r="G37" i="1"/>
  <c r="A37" i="1"/>
  <c r="J36" i="1"/>
  <c r="I36" i="1"/>
  <c r="H36" i="1"/>
  <c r="G36" i="1"/>
  <c r="A36" i="1"/>
  <c r="J35" i="1"/>
  <c r="I35" i="1"/>
  <c r="H35" i="1"/>
  <c r="G35" i="1"/>
  <c r="A35" i="1"/>
  <c r="J34" i="1"/>
  <c r="I34" i="1"/>
  <c r="H34" i="1"/>
  <c r="G34" i="1"/>
  <c r="A34" i="1"/>
  <c r="J33" i="1"/>
  <c r="I33" i="1"/>
  <c r="H33" i="1"/>
  <c r="G33" i="1"/>
  <c r="A33" i="1"/>
  <c r="J32" i="1"/>
  <c r="I32" i="1"/>
  <c r="H32" i="1"/>
  <c r="G32" i="1"/>
  <c r="A32" i="1"/>
  <c r="J31" i="1"/>
  <c r="I31" i="1"/>
  <c r="H31" i="1"/>
  <c r="G31" i="1"/>
  <c r="A31" i="1"/>
  <c r="J30" i="1"/>
  <c r="I30" i="1"/>
  <c r="H30" i="1"/>
  <c r="G30" i="1"/>
  <c r="A30" i="1"/>
  <c r="J29" i="1"/>
  <c r="I29" i="1"/>
  <c r="H29" i="1"/>
  <c r="G29" i="1"/>
  <c r="A29" i="1"/>
  <c r="J28" i="1"/>
  <c r="I28" i="1"/>
  <c r="H28" i="1"/>
  <c r="G28" i="1"/>
  <c r="A28" i="1"/>
  <c r="J27" i="1"/>
  <c r="I27" i="1"/>
  <c r="H27" i="1"/>
  <c r="G27" i="1"/>
  <c r="A27" i="1"/>
  <c r="J26" i="1"/>
  <c r="I26" i="1"/>
  <c r="H26" i="1"/>
  <c r="G26" i="1"/>
  <c r="A26" i="1"/>
  <c r="J25" i="1"/>
  <c r="I25" i="1"/>
  <c r="H25" i="1"/>
  <c r="G25" i="1"/>
  <c r="A25" i="1"/>
  <c r="J24" i="1"/>
  <c r="I24" i="1"/>
  <c r="H24" i="1"/>
  <c r="G24" i="1"/>
  <c r="A24" i="1"/>
  <c r="J23" i="1"/>
  <c r="I23" i="1"/>
  <c r="H23" i="1"/>
  <c r="G23" i="1"/>
  <c r="A23" i="1"/>
  <c r="J22" i="1"/>
  <c r="I22" i="1"/>
  <c r="H22" i="1"/>
  <c r="G22" i="1"/>
  <c r="A22" i="1"/>
  <c r="J21" i="1"/>
  <c r="I21" i="1"/>
  <c r="H21" i="1"/>
  <c r="G21" i="1"/>
  <c r="A21" i="1"/>
  <c r="J20" i="1"/>
  <c r="I20" i="1"/>
  <c r="H20" i="1"/>
  <c r="G20" i="1"/>
  <c r="A20" i="1"/>
  <c r="J19" i="1"/>
  <c r="I19" i="1"/>
  <c r="H19" i="1"/>
  <c r="G19" i="1"/>
  <c r="A19" i="1"/>
  <c r="J18" i="1"/>
  <c r="I18" i="1"/>
  <c r="H18" i="1"/>
  <c r="G18" i="1"/>
  <c r="A18" i="1"/>
  <c r="J17" i="1"/>
  <c r="I17" i="1"/>
  <c r="H17" i="1"/>
  <c r="G17" i="1"/>
  <c r="A17" i="1"/>
  <c r="J16" i="1"/>
  <c r="I16" i="1"/>
  <c r="H16" i="1"/>
  <c r="G16" i="1"/>
  <c r="J15" i="1"/>
  <c r="I15" i="1"/>
  <c r="H15" i="1"/>
  <c r="G15" i="1"/>
  <c r="A15" i="1"/>
  <c r="J14" i="1"/>
  <c r="I14" i="1"/>
  <c r="H14" i="1"/>
  <c r="G14" i="1"/>
  <c r="A14" i="1"/>
  <c r="J13" i="1"/>
  <c r="I13" i="1"/>
  <c r="H13" i="1"/>
  <c r="G13" i="1"/>
  <c r="A13" i="1"/>
  <c r="J12" i="1"/>
  <c r="I12" i="1"/>
  <c r="H12" i="1"/>
  <c r="G12" i="1"/>
  <c r="A12" i="1"/>
  <c r="J11" i="1"/>
  <c r="I11" i="1"/>
  <c r="H11" i="1"/>
  <c r="G11" i="1"/>
  <c r="A11" i="1"/>
  <c r="J10" i="1"/>
  <c r="I10" i="1"/>
  <c r="H10" i="1"/>
  <c r="G10" i="1"/>
  <c r="A10" i="1"/>
  <c r="J9" i="1"/>
  <c r="I9" i="1"/>
  <c r="H9" i="1"/>
  <c r="G9" i="1"/>
  <c r="A9" i="1"/>
  <c r="J8" i="1"/>
  <c r="I8" i="1"/>
  <c r="H8" i="1"/>
  <c r="G8" i="1"/>
  <c r="A8" i="1"/>
  <c r="J7" i="1"/>
  <c r="I7" i="1"/>
  <c r="H7" i="1"/>
  <c r="G7" i="1"/>
  <c r="A7" i="1"/>
  <c r="J6" i="1"/>
  <c r="I6" i="1"/>
  <c r="H6" i="1"/>
  <c r="G6" i="1"/>
  <c r="A6" i="1"/>
  <c r="J5" i="1"/>
  <c r="I5" i="1"/>
  <c r="H5" i="1"/>
  <c r="G5" i="1"/>
  <c r="A5" i="1"/>
  <c r="J4" i="1"/>
  <c r="I4" i="1"/>
  <c r="H4" i="1"/>
  <c r="G4" i="1"/>
  <c r="A4" i="1"/>
  <c r="J3" i="1"/>
  <c r="I3" i="1"/>
  <c r="H3" i="1"/>
  <c r="G3" i="1"/>
  <c r="A3" i="1"/>
  <c r="J2" i="1"/>
  <c r="I2" i="1"/>
  <c r="H2" i="1"/>
  <c r="G2" i="1"/>
  <c r="A2" i="1"/>
  <c r="A5" i="2" l="1"/>
  <c r="A6" i="2" l="1"/>
  <c r="A7" i="2" l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l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l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1CB04-8517-4BC6-8CFA-09EF54E7928B}" keepAlive="1" name="Requête - Client_churn (3)" description="Connexion à la requête « Client_churn (3) » dans le classeur." type="5" refreshedVersion="8" background="1" saveData="1">
    <dbPr connection="Provider=Microsoft.Mashup.OleDb.1;Data Source=$Workbook$;Location=&quot;Client_churn (3)&quot;;Extended Properties=&quot;&quot;" command="SELECT * FROM [Client_churn (3)]"/>
  </connection>
  <connection id="2" xr16:uid="{FBB41570-AF9E-4ACE-96E3-D488A71C73CE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3" xr16:uid="{2301C6CC-0BF1-47F3-8569-72E9B2D1CFEB}" keepAlive="1" name="Requête - Exemple de fichier (5)" description="Connexion à la requête « Exemple de fichier (5) » dans le classeur." type="5" refreshedVersion="0" background="1">
    <dbPr connection="Provider=Microsoft.Mashup.OleDb.1;Data Source=$Workbook$;Location=&quot;Exemple de fichier (5)&quot;;Extended Properties=&quot;&quot;" command="SELECT * FROM [Exemple de fichier (5)]"/>
  </connection>
  <connection id="4" xr16:uid="{20E48DAA-0200-47E8-87F4-15BE37F274F8}" keepAlive="1" name="Requête - Logs_reseau" description="Connexion à la requête « Logs_reseau » dans le classeur." type="5" refreshedVersion="8" background="1" saveData="1">
    <dbPr connection="Provider=Microsoft.Mashup.OleDb.1;Data Source=$Workbook$;Location=Logs_reseau;Extended Properties=&quot;&quot;" command="SELECT * FROM [Logs_reseau]"/>
  </connection>
  <connection id="5" xr16:uid="{09251AE3-B41A-4990-AFB9-4D4D112A99A8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6" xr16:uid="{75E40585-9A9E-4844-AC9F-821D3AD06D8C}" keepAlive="1" name="Requête - Transformer le fichier (5)" description="Connexion à la requête « Transformer le fichier (5) » dans le classeur." type="5" refreshedVersion="0" background="1">
    <dbPr connection="Provider=Microsoft.Mashup.OleDb.1;Data Source=$Workbook$;Location=&quot;Transformer le fichier (5)&quot;;Extended Properties=&quot;&quot;" command="SELECT * FROM [Transformer le fichier (5)]"/>
  </connection>
</connections>
</file>

<file path=xl/sharedStrings.xml><?xml version="1.0" encoding="utf-8"?>
<sst xmlns="http://schemas.openxmlformats.org/spreadsheetml/2006/main" count="6142" uniqueCount="1533">
  <si>
    <t>ANT-0001</t>
  </si>
  <si>
    <t>Résolu</t>
  </si>
  <si>
    <t>Non Résolu</t>
  </si>
  <si>
    <t>ANT-0002</t>
  </si>
  <si>
    <t>En Cours</t>
  </si>
  <si>
    <t>ANT-0003</t>
  </si>
  <si>
    <t>ANT-0004</t>
  </si>
  <si>
    <t>ANT-0005</t>
  </si>
  <si>
    <t>ANT-0006</t>
  </si>
  <si>
    <t>ANT-0007</t>
  </si>
  <si>
    <t>ANT-0008</t>
  </si>
  <si>
    <t>ANT-0009</t>
  </si>
  <si>
    <t>ANT-0010</t>
  </si>
  <si>
    <t>ANT-0011</t>
  </si>
  <si>
    <t>ANT-0012</t>
  </si>
  <si>
    <t>ANT-0013</t>
  </si>
  <si>
    <t>ANT-0014</t>
  </si>
  <si>
    <t>ANT-0015</t>
  </si>
  <si>
    <t>ANT-0016</t>
  </si>
  <si>
    <t>ANT-0017</t>
  </si>
  <si>
    <t>ANT-0018</t>
  </si>
  <si>
    <t>ANT-0019</t>
  </si>
  <si>
    <t>ANT-0020</t>
  </si>
  <si>
    <t>ANT-0021</t>
  </si>
  <si>
    <t>ANT-0022</t>
  </si>
  <si>
    <t>ANT-0023</t>
  </si>
  <si>
    <t>ANT-0024</t>
  </si>
  <si>
    <t>ANT-0025</t>
  </si>
  <si>
    <t>ANT-0026</t>
  </si>
  <si>
    <t>ANT-0027</t>
  </si>
  <si>
    <t>ANT-0028</t>
  </si>
  <si>
    <t>ANT-0029</t>
  </si>
  <si>
    <t>ANT-0030</t>
  </si>
  <si>
    <t>ANT-0031</t>
  </si>
  <si>
    <t>ANT-0033</t>
  </si>
  <si>
    <t>ANT-0034</t>
  </si>
  <si>
    <t>ANT-0035</t>
  </si>
  <si>
    <t>ANT-0036</t>
  </si>
  <si>
    <t>ANT-0037</t>
  </si>
  <si>
    <t>ANT-0038</t>
  </si>
  <si>
    <t>ANT-0039</t>
  </si>
  <si>
    <t>ANT-0040</t>
  </si>
  <si>
    <t>ANT-0041</t>
  </si>
  <si>
    <t>ANT-0042</t>
  </si>
  <si>
    <t>ANT-0043</t>
  </si>
  <si>
    <t>ANT-0044</t>
  </si>
  <si>
    <t>ANT-0045</t>
  </si>
  <si>
    <t>ANT-0046</t>
  </si>
  <si>
    <t>ANT-0047</t>
  </si>
  <si>
    <t>ANT-0048</t>
  </si>
  <si>
    <t>ANT-0049</t>
  </si>
  <si>
    <t>ANT-0050</t>
  </si>
  <si>
    <t>ANT-0051</t>
  </si>
  <si>
    <t>ANT-0052</t>
  </si>
  <si>
    <t>ANT-0053</t>
  </si>
  <si>
    <t>ANT-0054</t>
  </si>
  <si>
    <t>ANT-0055</t>
  </si>
  <si>
    <t>ANT-0056</t>
  </si>
  <si>
    <t>ANT-0057</t>
  </si>
  <si>
    <t>ANT-0058</t>
  </si>
  <si>
    <t>ANT-0059</t>
  </si>
  <si>
    <t>ANT-0060</t>
  </si>
  <si>
    <t>ANT-0061</t>
  </si>
  <si>
    <t>ANT-0062</t>
  </si>
  <si>
    <t>ANT-0063</t>
  </si>
  <si>
    <t>ANT-0064</t>
  </si>
  <si>
    <t>ANT-0065</t>
  </si>
  <si>
    <t>ANT-0066</t>
  </si>
  <si>
    <t>ANT-0067</t>
  </si>
  <si>
    <t>ANT-0068</t>
  </si>
  <si>
    <t>ANT-0069</t>
  </si>
  <si>
    <t>ANT-0070</t>
  </si>
  <si>
    <t>ANT-0071</t>
  </si>
  <si>
    <t>ANT-0072</t>
  </si>
  <si>
    <t>ANT-0073</t>
  </si>
  <si>
    <t>ANT-0074</t>
  </si>
  <si>
    <t>ANT-0075</t>
  </si>
  <si>
    <t>ANT-0076</t>
  </si>
  <si>
    <t>ANT-0077</t>
  </si>
  <si>
    <t>ANT-0078</t>
  </si>
  <si>
    <t>ANT-0079</t>
  </si>
  <si>
    <t>ANT-0080</t>
  </si>
  <si>
    <t>ANT-0081</t>
  </si>
  <si>
    <t>ANT-0082</t>
  </si>
  <si>
    <t>ANT-0083</t>
  </si>
  <si>
    <t>ANT-0084</t>
  </si>
  <si>
    <t>ANT-0085</t>
  </si>
  <si>
    <t>ANT-0086</t>
  </si>
  <si>
    <t>ANT-0087</t>
  </si>
  <si>
    <t>ANT-0088</t>
  </si>
  <si>
    <t>ANT-0089</t>
  </si>
  <si>
    <t>ANT-0090</t>
  </si>
  <si>
    <t>ANT-0091</t>
  </si>
  <si>
    <t>ANT-0092</t>
  </si>
  <si>
    <t>ANT-0093</t>
  </si>
  <si>
    <t>ANT-0094</t>
  </si>
  <si>
    <t>ANT-0095</t>
  </si>
  <si>
    <t>ANT-0096</t>
  </si>
  <si>
    <t>ANT-0097</t>
  </si>
  <si>
    <t>ANT-0098</t>
  </si>
  <si>
    <t>ANT-0099</t>
  </si>
  <si>
    <t>ANT-0100</t>
  </si>
  <si>
    <t>ANT-0101</t>
  </si>
  <si>
    <t>ANT-0102</t>
  </si>
  <si>
    <t>ANT-0103</t>
  </si>
  <si>
    <t>ANT-0104</t>
  </si>
  <si>
    <t>ANT-0105</t>
  </si>
  <si>
    <t>ANT-0106</t>
  </si>
  <si>
    <t>ANT-0107</t>
  </si>
  <si>
    <t>ANT-0108</t>
  </si>
  <si>
    <t>ANT-0109</t>
  </si>
  <si>
    <t>ANT-0110</t>
  </si>
  <si>
    <t>ANT-0111</t>
  </si>
  <si>
    <t>ANT-0112</t>
  </si>
  <si>
    <t>ANT-0113</t>
  </si>
  <si>
    <t>ANT-0114</t>
  </si>
  <si>
    <t>ANT-0115</t>
  </si>
  <si>
    <t>ANT-0116</t>
  </si>
  <si>
    <t>ANT-0117</t>
  </si>
  <si>
    <t>ANT-0118</t>
  </si>
  <si>
    <t>ANT-0119</t>
  </si>
  <si>
    <t>ANT-0120</t>
  </si>
  <si>
    <t>ANT-0121</t>
  </si>
  <si>
    <t>ANT-0122</t>
  </si>
  <si>
    <t>ANT-0123</t>
  </si>
  <si>
    <t>ANT-0124</t>
  </si>
  <si>
    <t>ANT-0125</t>
  </si>
  <si>
    <t>ANT-0126</t>
  </si>
  <si>
    <t>ANT-0127</t>
  </si>
  <si>
    <t>ANT-0128</t>
  </si>
  <si>
    <t>ANT-0129</t>
  </si>
  <si>
    <t>ANT-0130</t>
  </si>
  <si>
    <t>ANT-0131</t>
  </si>
  <si>
    <t>ANT-0132</t>
  </si>
  <si>
    <t>ANT-0133</t>
  </si>
  <si>
    <t>ANT-0134</t>
  </si>
  <si>
    <t>ANT-0135</t>
  </si>
  <si>
    <t>ANT-0136</t>
  </si>
  <si>
    <t>ANT-0137</t>
  </si>
  <si>
    <t>ANT-0138</t>
  </si>
  <si>
    <t>ANT-0139</t>
  </si>
  <si>
    <t>ANT-0140</t>
  </si>
  <si>
    <t>ANT-0141</t>
  </si>
  <si>
    <t>ANT-0142</t>
  </si>
  <si>
    <t>ANT-0143</t>
  </si>
  <si>
    <t>ANT-0144</t>
  </si>
  <si>
    <t>ANT-0145</t>
  </si>
  <si>
    <t>ANT-0146</t>
  </si>
  <si>
    <t>ANT-0147</t>
  </si>
  <si>
    <t>ANT-0148</t>
  </si>
  <si>
    <t>ANT-0149</t>
  </si>
  <si>
    <t>ANT-0150</t>
  </si>
  <si>
    <t>ANT-0151</t>
  </si>
  <si>
    <t>ANT-0152</t>
  </si>
  <si>
    <t>ANT-0153</t>
  </si>
  <si>
    <t>ANT-0154</t>
  </si>
  <si>
    <t>ANT-0155</t>
  </si>
  <si>
    <t>ANT-0157</t>
  </si>
  <si>
    <t>ANT-0158</t>
  </si>
  <si>
    <t>ANT-0159</t>
  </si>
  <si>
    <t>ANT-0161</t>
  </si>
  <si>
    <t>ANT-0162</t>
  </si>
  <si>
    <t>ANT-0163</t>
  </si>
  <si>
    <t>ANT-0164</t>
  </si>
  <si>
    <t>ANT-0165</t>
  </si>
  <si>
    <t>ANT-0166</t>
  </si>
  <si>
    <t>ANT-0167</t>
  </si>
  <si>
    <t>ANT-0168</t>
  </si>
  <si>
    <t>ANT-0169</t>
  </si>
  <si>
    <t>ANT-0170</t>
  </si>
  <si>
    <t>ANT-0171</t>
  </si>
  <si>
    <t>ANT-0172</t>
  </si>
  <si>
    <t>ANT-0173</t>
  </si>
  <si>
    <t>ANT-0174</t>
  </si>
  <si>
    <t>ANT-0175</t>
  </si>
  <si>
    <t>ANT-0176</t>
  </si>
  <si>
    <t>ANT-0177</t>
  </si>
  <si>
    <t>ANT-0178</t>
  </si>
  <si>
    <t>ANT-0179</t>
  </si>
  <si>
    <t>ANT-0180</t>
  </si>
  <si>
    <t>ANT-0181</t>
  </si>
  <si>
    <t>ANT-0182</t>
  </si>
  <si>
    <t>ANT-0183</t>
  </si>
  <si>
    <t>ANT-0184</t>
  </si>
  <si>
    <t>ANT-0185</t>
  </si>
  <si>
    <t>ANT-0186</t>
  </si>
  <si>
    <t>ANT-0187</t>
  </si>
  <si>
    <t>ANT-0188</t>
  </si>
  <si>
    <t>ANT-0189</t>
  </si>
  <si>
    <t>ANT-0190</t>
  </si>
  <si>
    <t>ANT-0191</t>
  </si>
  <si>
    <t>ANT-0192</t>
  </si>
  <si>
    <t>ANT-0193</t>
  </si>
  <si>
    <t>ANT-0194</t>
  </si>
  <si>
    <t>ANT-0195</t>
  </si>
  <si>
    <t>ANT-0196</t>
  </si>
  <si>
    <t>ANT-0197</t>
  </si>
  <si>
    <t>ANT-0198</t>
  </si>
  <si>
    <t>ANT-0199</t>
  </si>
  <si>
    <t>ANT-0200</t>
  </si>
  <si>
    <t>ANT-0465</t>
  </si>
  <si>
    <t>ANT-0977</t>
  </si>
  <si>
    <t>ANT-0740</t>
  </si>
  <si>
    <t>ANT-0897</t>
  </si>
  <si>
    <t>ANT-0737</t>
  </si>
  <si>
    <t>ANT-0270</t>
  </si>
  <si>
    <t>ANT-0996</t>
  </si>
  <si>
    <t>ANT-0513</t>
  </si>
  <si>
    <t>ANT-0781</t>
  </si>
  <si>
    <t>ANT-0520</t>
  </si>
  <si>
    <t>ANT-0935</t>
  </si>
  <si>
    <t>ANT-0892</t>
  </si>
  <si>
    <t>ANT-0641</t>
  </si>
  <si>
    <t>ANT-0306</t>
  </si>
  <si>
    <t>ANT-0862</t>
  </si>
  <si>
    <t>ANT-0655</t>
  </si>
  <si>
    <t>ANT-0624</t>
  </si>
  <si>
    <t>ANT-0204</t>
  </si>
  <si>
    <t>ANT-0383</t>
  </si>
  <si>
    <t>ANT-0553</t>
  </si>
  <si>
    <t>ANT-0798</t>
  </si>
  <si>
    <t>ANT-0945</t>
  </si>
  <si>
    <t>ANT-0544</t>
  </si>
  <si>
    <t>ANT-0941</t>
  </si>
  <si>
    <t>ANT-0614</t>
  </si>
  <si>
    <t>ANT-0332</t>
  </si>
  <si>
    <t>ANT-0501</t>
  </si>
  <si>
    <t>ANT-0952</t>
  </si>
  <si>
    <t>ANT-0372</t>
  </si>
  <si>
    <t>ANT-0900</t>
  </si>
  <si>
    <t>ANT-0852</t>
  </si>
  <si>
    <t>ANT-0315</t>
  </si>
  <si>
    <t>ANT-0246</t>
  </si>
  <si>
    <t>ANT-0247</t>
  </si>
  <si>
    <t>ANT-0581</t>
  </si>
  <si>
    <t>ANT-0970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</si>
  <si>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</si>
  <si>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</si>
  <si>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</si>
  <si>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</si>
  <si>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</si>
  <si>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</si>
  <si>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</si>
  <si>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</si>
  <si>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ANT-0434</t>
  </si>
  <si>
    <t>ANT-0850</t>
  </si>
  <si>
    <t>ANT-0284</t>
  </si>
  <si>
    <t>ANT-0342</t>
  </si>
  <si>
    <t>ANT-0790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</si>
  <si>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</si>
  <si>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</si>
  <si>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</si>
  <si>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</si>
  <si>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</si>
  <si>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</si>
  <si>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</si>
  <si>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</si>
  <si>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ANT-0968</t>
  </si>
  <si>
    <t>ANT-0905</t>
  </si>
  <si>
    <t>ANT-0708</t>
  </si>
  <si>
    <t>ANT-0926</t>
  </si>
  <si>
    <t>ANT-0559</t>
  </si>
  <si>
    <t>ANT-0855</t>
  </si>
  <si>
    <t>ANT-0379</t>
  </si>
  <si>
    <t>ANT-0597</t>
  </si>
  <si>
    <t>ANT-0566</t>
  </si>
  <si>
    <t>ANT-0441</t>
  </si>
  <si>
    <t>ANT-0316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</si>
  <si>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</si>
  <si>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</si>
  <si>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</si>
  <si>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</si>
  <si>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</si>
  <si>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</si>
  <si>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</si>
  <si>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</si>
  <si>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</si>
  <si>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</si>
  <si>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</si>
  <si>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</si>
  <si>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</si>
  <si>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</si>
  <si>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</si>
  <si>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</si>
  <si>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</si>
  <si>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</si>
  <si>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</si>
  <si>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</si>
  <si>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</si>
  <si>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</si>
  <si>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</si>
  <si>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</si>
  <si>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</si>
  <si>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</si>
  <si>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</si>
  <si>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</si>
  <si>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</si>
  <si>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</si>
  <si>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</si>
  <si>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</si>
  <si>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</si>
  <si>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ANT-0731</t>
  </si>
  <si>
    <t>ANT-0293</t>
  </si>
  <si>
    <t>ANT-0287</t>
  </si>
  <si>
    <t>ANT-0902</t>
  </si>
  <si>
    <t>ANT-0611</t>
  </si>
  <si>
    <t>ANT-0719</t>
  </si>
  <si>
    <t>ANT-0283</t>
  </si>
  <si>
    <t>ANT-0570</t>
  </si>
  <si>
    <t>ANT-0530</t>
  </si>
  <si>
    <t>ANT-0971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</si>
  <si>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</si>
  <si>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</si>
  <si>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</si>
  <si>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</si>
  <si>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</si>
  <si>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</si>
  <si>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</si>
  <si>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</si>
  <si>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</si>
  <si>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</si>
  <si>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</si>
  <si>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</si>
  <si>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</si>
  <si>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</si>
  <si>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</si>
  <si>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</si>
  <si>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</si>
  <si>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</si>
  <si>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</si>
  <si>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</si>
  <si>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</si>
  <si>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</si>
  <si>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</si>
  <si>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</si>
  <si>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</si>
  <si>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</si>
  <si>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</si>
  <si>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ANT-0259</t>
  </si>
  <si>
    <t>ANT-0994</t>
  </si>
  <si>
    <t>ANT-0792</t>
  </si>
  <si>
    <t>ANT-0414</t>
  </si>
  <si>
    <t>ANT-0886</t>
  </si>
  <si>
    <t>ANT-0527</t>
  </si>
  <si>
    <t>ANT-0845</t>
  </si>
  <si>
    <t>ANT-0674</t>
  </si>
  <si>
    <t>ANT-0891</t>
  </si>
  <si>
    <t>ANT-0556</t>
  </si>
  <si>
    <t>ANT-0474</t>
  </si>
  <si>
    <t>ANT-0424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</si>
  <si>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</si>
  <si>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</si>
  <si>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</si>
  <si>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</si>
  <si>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</si>
  <si>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</si>
  <si>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</si>
  <si>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</si>
  <si>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</si>
  <si>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ANT-0950</t>
  </si>
  <si>
    <t>ANT-0295</t>
  </si>
  <si>
    <t>ANT-0449</t>
  </si>
  <si>
    <t>ANT-0716</t>
  </si>
  <si>
    <t>ANT-0997</t>
  </si>
  <si>
    <t>ANT-0646</t>
  </si>
  <si>
    <t>ANT-0819</t>
  </si>
  <si>
    <t>ANT-0727</t>
  </si>
  <si>
    <t>ANT-0739</t>
  </si>
  <si>
    <t>ANT-0786</t>
  </si>
  <si>
    <t>ANT-0698</t>
  </si>
  <si>
    <t>ANT-0859</t>
  </si>
  <si>
    <t>ANT-0644</t>
  </si>
  <si>
    <t>ANT-0643</t>
  </si>
  <si>
    <t>ANT-0317</t>
  </si>
  <si>
    <t>ANT-0808</t>
  </si>
  <si>
    <t>ANT-0452</t>
  </si>
  <si>
    <t>ANT-0594</t>
  </si>
  <si>
    <t>ANT-0374</t>
  </si>
  <si>
    <t>ANT-0750</t>
  </si>
  <si>
    <t>ANT-0932</t>
  </si>
  <si>
    <t>ANT-0303</t>
  </si>
  <si>
    <t>ANT-0335</t>
  </si>
  <si>
    <t>ANT-0766</t>
  </si>
  <si>
    <t>ANT-0426</t>
  </si>
  <si>
    <t>ANT-0206</t>
  </si>
  <si>
    <t>ANT-0806</t>
  </si>
  <si>
    <t>ANT-0898</t>
  </si>
  <si>
    <t>ANT-0995</t>
  </si>
  <si>
    <t>ANT-0375</t>
  </si>
  <si>
    <t>ANT-0514</t>
  </si>
  <si>
    <t>ANT-0936</t>
  </si>
  <si>
    <t>ANT-0280</t>
  </si>
  <si>
    <t>ANT-0264</t>
  </si>
  <si>
    <t>ANT-0967</t>
  </si>
  <si>
    <t>ANT-0494</t>
  </si>
  <si>
    <t>ANT-0991</t>
  </si>
  <si>
    <t>ANT-0826</t>
  </si>
  <si>
    <t>ANT-0730</t>
  </si>
  <si>
    <t>ANT-0455</t>
  </si>
  <si>
    <t>ANT-0921</t>
  </si>
  <si>
    <t>ANT-0330</t>
  </si>
  <si>
    <t>ANT-0623</t>
  </si>
  <si>
    <t>ANT-0640</t>
  </si>
  <si>
    <t>ANT-0649</t>
  </si>
  <si>
    <t>ANT-0600</t>
  </si>
  <si>
    <t>ANT-0333</t>
  </si>
  <si>
    <t>ANT-0391</t>
  </si>
  <si>
    <t>ANT-0612</t>
  </si>
  <si>
    <t>ANT-0620</t>
  </si>
  <si>
    <t>ANT-0813</t>
  </si>
  <si>
    <t>ANT-0656</t>
  </si>
  <si>
    <t>ANT-0428</t>
  </si>
  <si>
    <t>ANT-0990</t>
  </si>
  <si>
    <t>ANT-0821</t>
  </si>
  <si>
    <t>ANT-0633</t>
  </si>
  <si>
    <t>ANT-0472</t>
  </si>
  <si>
    <t>ANT-0707</t>
  </si>
  <si>
    <t>ANT-0942</t>
  </si>
  <si>
    <t>ANT-0448</t>
  </si>
  <si>
    <t>ANT-0865</t>
  </si>
  <si>
    <t>ANT-0447</t>
  </si>
  <si>
    <t>ANT-0604</t>
  </si>
  <si>
    <t>ANT-0411</t>
  </si>
  <si>
    <t>ANT-0537</t>
  </si>
  <si>
    <t>ANT-0406</t>
  </si>
  <si>
    <t>ANT-0318</t>
  </si>
  <si>
    <t>ANT-0348</t>
  </si>
  <si>
    <t>ANT-0523</t>
  </si>
  <si>
    <t>ANT-0989</t>
  </si>
  <si>
    <t>ANT-0829</t>
  </si>
  <si>
    <t>ANT-0804</t>
  </si>
  <si>
    <t>ANT-0481</t>
  </si>
  <si>
    <t>ANT-0856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</si>
  <si>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</si>
  <si>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</si>
  <si>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</si>
  <si>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</si>
  <si>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</si>
  <si>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</si>
  <si>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</si>
  <si>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</si>
  <si>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</si>
  <si>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</si>
  <si>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</si>
  <si>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</si>
  <si>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ANT-0894</t>
  </si>
  <si>
    <t>ANT-0257</t>
  </si>
  <si>
    <t>ANT-0657</t>
  </si>
  <si>
    <t>ANT-0493</t>
  </si>
  <si>
    <t>ANT-0896</t>
  </si>
  <si>
    <t>ANT-0381</t>
  </si>
  <si>
    <t>ANT-0568</t>
  </si>
  <si>
    <t>ANT-0957</t>
  </si>
  <si>
    <t>ANT-0529</t>
  </si>
  <si>
    <t>ANT-0872</t>
  </si>
  <si>
    <t>ANT-0292</t>
  </si>
  <si>
    <t>ANT-0360</t>
  </si>
  <si>
    <t>ANT-0458</t>
  </si>
  <si>
    <t>ANT-0745</t>
  </si>
  <si>
    <t>ANT-0934</t>
  </si>
  <si>
    <t>ANT-0362</t>
  </si>
  <si>
    <t>ANT-0630</t>
  </si>
  <si>
    <t>ANT-0446</t>
  </si>
  <si>
    <t>ANT-0811</t>
  </si>
  <si>
    <t>ANT-0688</t>
  </si>
  <si>
    <t>ANT-0416</t>
  </si>
  <si>
    <t>ANT-0373</t>
  </si>
  <si>
    <t>ANT-0526</t>
  </si>
  <si>
    <t>ANT-0768</t>
  </si>
  <si>
    <t>ANT-0696</t>
  </si>
  <si>
    <t>ANT-0976</t>
  </si>
  <si>
    <t>ANT-0032</t>
  </si>
  <si>
    <t>ANT-0870</t>
  </si>
  <si>
    <t>ANT-0801</t>
  </si>
  <si>
    <t>ANT-0242</t>
  </si>
  <si>
    <t>ANT-0661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</si>
  <si>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</si>
  <si>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</si>
  <si>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</si>
  <si>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</si>
  <si>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</si>
  <si>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</si>
  <si>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</si>
  <si>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</si>
  <si>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</si>
  <si>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</si>
  <si>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</si>
  <si>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</si>
  <si>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</si>
  <si>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ANT-0782</t>
  </si>
  <si>
    <t>ANT-0528</t>
  </si>
  <si>
    <t>ANT-0479</t>
  </si>
  <si>
    <t>ANT-0901</t>
  </si>
  <si>
    <t>ANT-0510</t>
  </si>
  <si>
    <t>ANT-0403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</si>
  <si>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</si>
  <si>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</si>
  <si>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</si>
  <si>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</si>
  <si>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</si>
  <si>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</si>
  <si>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</si>
  <si>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</si>
  <si>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ANT-0735</t>
  </si>
  <si>
    <t>ANT-0484</t>
  </si>
  <si>
    <t>ANT-0988</t>
  </si>
  <si>
    <t>ANT-0669</t>
  </si>
  <si>
    <t>ANT-0958</t>
  </si>
  <si>
    <t>ANT-0489</t>
  </si>
  <si>
    <t>ANT-0667</t>
  </si>
  <si>
    <t>ANT-0329</t>
  </si>
  <si>
    <t>ANT-0668</t>
  </si>
  <si>
    <t>ANT-0588</t>
  </si>
  <si>
    <t>ANT-0238</t>
  </si>
  <si>
    <t>ANT-0548</t>
  </si>
  <si>
    <t>ANT-0757</t>
  </si>
  <si>
    <t>ANT-0670</t>
  </si>
  <si>
    <t>ANT-0881</t>
  </si>
  <si>
    <t>ANT-0357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</si>
  <si>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</si>
  <si>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</si>
  <si>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</si>
  <si>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</si>
  <si>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</si>
  <si>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</si>
  <si>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</si>
  <si>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</si>
  <si>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</si>
  <si>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</si>
  <si>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</si>
  <si>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</si>
  <si>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</si>
  <si>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ANT-0960</t>
  </si>
  <si>
    <t>ANT-0743</t>
  </si>
  <si>
    <t>ANT-0784</t>
  </si>
  <si>
    <t>ANT-0677</t>
  </si>
  <si>
    <t>ANT-0430</t>
  </si>
  <si>
    <t>ANT-0422</t>
  </si>
  <si>
    <t>ANT-0543</t>
  </si>
  <si>
    <t>ANT-0549</t>
  </si>
  <si>
    <t>ANT-0294</t>
  </si>
  <si>
    <t>ANT-0833</t>
  </si>
  <si>
    <t>ANT-0715</t>
  </si>
  <si>
    <t>ANT-0691</t>
  </si>
  <si>
    <t>ANT-0963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</si>
  <si>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</si>
  <si>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</si>
  <si>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</si>
  <si>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</si>
  <si>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</si>
  <si>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</si>
  <si>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</si>
  <si>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</si>
  <si>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</si>
  <si>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</si>
  <si>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</si>
  <si>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</si>
  <si>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</si>
  <si>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ANT-0334</t>
  </si>
  <si>
    <t>ANT-0386</t>
  </si>
  <si>
    <t>ANT-0288</t>
  </si>
  <si>
    <t>ANT-0805</t>
  </si>
  <si>
    <t>ANT-0955</t>
  </si>
  <si>
    <t>ANT-0578</t>
  </si>
  <si>
    <t>ANT-0607</t>
  </si>
  <si>
    <t>ANT-0699</t>
  </si>
  <si>
    <t>ANT-0787</t>
  </si>
  <si>
    <t>ANT-0966</t>
  </si>
  <si>
    <t>ANT-0726</t>
  </si>
  <si>
    <t>ANT-0215</t>
  </si>
  <si>
    <t>ANT-0817</t>
  </si>
  <si>
    <t>ANT-0299</t>
  </si>
  <si>
    <t>ANT-0710</t>
  </si>
  <si>
    <t>ANT-0839</t>
  </si>
  <si>
    <t>ANT-0419</t>
  </si>
  <si>
    <t>ANT-0512</t>
  </si>
  <si>
    <t>ANT-0311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</si>
  <si>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</si>
  <si>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</si>
  <si>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</si>
  <si>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</si>
  <si>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</si>
  <si>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</si>
  <si>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</si>
  <si>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</si>
  <si>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</si>
  <si>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</si>
  <si>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</si>
  <si>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</si>
  <si>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</si>
  <si>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</si>
  <si>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</si>
  <si>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ANT-0754</t>
  </si>
  <si>
    <t>ANT-0305</t>
  </si>
  <si>
    <t>ANT-0450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</si>
  <si>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</si>
  <si>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</si>
  <si>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</si>
  <si>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</si>
  <si>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</si>
  <si>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</si>
  <si>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</si>
  <si>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</si>
  <si>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</si>
  <si>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</si>
  <si>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</si>
  <si>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</si>
  <si>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</si>
  <si>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</si>
  <si>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ANT-0911</t>
  </si>
  <si>
    <t>ANT-0370</t>
  </si>
  <si>
    <t>ANT-0397</t>
  </si>
  <si>
    <t>ANT-0882</t>
  </si>
  <si>
    <t>ANT-0244</t>
  </si>
  <si>
    <t>ANT-0504</t>
  </si>
  <si>
    <t>ANT-0985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</si>
  <si>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</si>
  <si>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</si>
  <si>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</si>
  <si>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</si>
  <si>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</si>
  <si>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</si>
  <si>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</si>
  <si>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</si>
  <si>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</si>
  <si>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ANT-0595</t>
  </si>
  <si>
    <t>ANT-0840</t>
  </si>
  <si>
    <t>ANT-0404</t>
  </si>
  <si>
    <t>ANT-0582</t>
  </si>
  <si>
    <t>ANT-0679</t>
  </si>
  <si>
    <t>ANT-0243</t>
  </si>
  <si>
    <t>ANT-0268</t>
  </si>
  <si>
    <t>ANT-0326</t>
  </si>
  <si>
    <t>ANT-0756</t>
  </si>
  <si>
    <t>ANT-0368</t>
  </si>
  <si>
    <t>ANT-0606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</si>
  <si>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</si>
  <si>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</si>
  <si>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</si>
  <si>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</si>
  <si>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</si>
  <si>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</si>
  <si>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</si>
  <si>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</si>
  <si>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ANT-0617</t>
  </si>
  <si>
    <t>ANT-0225</t>
  </si>
  <si>
    <t>ANT-0490</t>
  </si>
  <si>
    <t>ANT-0276</t>
  </si>
  <si>
    <t>ANT-0771</t>
  </si>
  <si>
    <t>ANT-0684</t>
  </si>
  <si>
    <t>ANT-0685</t>
  </si>
  <si>
    <t>ANT-0828</t>
  </si>
  <si>
    <t>ANT-0555</t>
  </si>
  <si>
    <t>ANT-0233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</si>
  <si>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</si>
  <si>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</si>
  <si>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</si>
  <si>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</si>
  <si>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</si>
  <si>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</si>
  <si>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</si>
  <si>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</si>
  <si>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</si>
  <si>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</si>
  <si>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</si>
  <si>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</si>
  <si>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ANT-0639</t>
  </si>
  <si>
    <t>ANT-0599</t>
  </si>
  <si>
    <t>ANT-0864</t>
  </si>
  <si>
    <t>ANT-0860</t>
  </si>
  <si>
    <t>ANT-0384</t>
  </si>
  <si>
    <t>ANT-0663</t>
  </si>
  <si>
    <t>ANT-0290</t>
  </si>
  <si>
    <t>ANT-0345</t>
  </si>
  <si>
    <t>ANT-0672</t>
  </si>
  <si>
    <t>ANT-0922</t>
  </si>
  <si>
    <t>ANT-0825</t>
  </si>
  <si>
    <t>ANT-0427</t>
  </si>
  <si>
    <t>ANT-0390</t>
  </si>
  <si>
    <t>ANT-0561</t>
  </si>
  <si>
    <t>ANT-0486</t>
  </si>
  <si>
    <t>ANT-0712</t>
  </si>
  <si>
    <t>ANT-0703</t>
  </si>
  <si>
    <t>ANT-0431</t>
  </si>
  <si>
    <t>ANT-0678</t>
  </si>
  <si>
    <t>ANT-0277</t>
  </si>
  <si>
    <t>ANT-0621</t>
  </si>
  <si>
    <t>ANT-0571</t>
  </si>
  <si>
    <t>ANT-0846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</si>
  <si>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</si>
  <si>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</si>
  <si>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</si>
  <si>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</si>
  <si>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</si>
  <si>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</si>
  <si>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</si>
  <si>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</si>
  <si>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</si>
  <si>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</si>
  <si>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</si>
  <si>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</si>
  <si>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</si>
  <si>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</si>
  <si>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</si>
  <si>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ANT-0753</t>
  </si>
  <si>
    <t>ANT-0387</t>
  </si>
  <si>
    <t>ANT-0439</t>
  </si>
  <si>
    <t>ANT-0262</t>
  </si>
  <si>
    <t>ANT-0478</t>
  </si>
  <si>
    <t>ANT-0951</t>
  </si>
  <si>
    <t>ANT-0331</t>
  </si>
  <si>
    <t>ANT-0793</t>
  </si>
  <si>
    <t>ANT-0809</t>
  </si>
  <si>
    <t>ANT-0367</t>
  </si>
  <si>
    <t>ANT-0725</t>
  </si>
  <si>
    <t>ANT-0539</t>
  </si>
  <si>
    <t>ANT-0226</t>
  </si>
  <si>
    <t>ANT-0980</t>
  </si>
  <si>
    <t>ANT-0873</t>
  </si>
  <si>
    <t>ANT-0203</t>
  </si>
  <si>
    <t>ANT-0744</t>
  </si>
  <si>
    <t>ANT-0499</t>
  </si>
  <si>
    <t>ANT-0975</t>
  </si>
  <si>
    <t>ANT-0366</t>
  </si>
  <si>
    <t>ANT-0241</t>
  </si>
  <si>
    <t>Province_RDC</t>
  </si>
  <si>
    <t>Cell_ID</t>
  </si>
  <si>
    <t>Date_Heure_Panne</t>
  </si>
  <si>
    <t>Duree_Panne_Min</t>
  </si>
  <si>
    <t>Statut_Resolution</t>
  </si>
  <si>
    <t>Latitude</t>
  </si>
  <si>
    <t>Longitude</t>
  </si>
  <si>
    <t>Technologie</t>
  </si>
  <si>
    <t>Equipementier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</si>
  <si>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</si>
  <si>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</si>
  <si>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</si>
  <si>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</si>
  <si>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</si>
  <si>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</si>
  <si>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</si>
  <si>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CLI-00007</t>
  </si>
  <si>
    <t>Tanganyika</t>
  </si>
  <si>
    <t>Bloqué 5Go</t>
  </si>
  <si>
    <t>CLI-00009</t>
  </si>
  <si>
    <t>Kwilu</t>
  </si>
  <si>
    <t>Pro Monde</t>
  </si>
  <si>
    <t>CLI-00011</t>
  </si>
  <si>
    <t>Mongala</t>
  </si>
  <si>
    <t>Illimité 50Go</t>
  </si>
  <si>
    <t>CLI-00012</t>
  </si>
  <si>
    <t>Kongo-Central</t>
  </si>
  <si>
    <t>CLI-00017</t>
  </si>
  <si>
    <t>CLI-00022</t>
  </si>
  <si>
    <t>Haut-Lomami</t>
  </si>
  <si>
    <t>Premium 5G 150Go</t>
  </si>
  <si>
    <t>CLI-00028</t>
  </si>
  <si>
    <t>CLI-00029</t>
  </si>
  <si>
    <t>Bas-Uele</t>
  </si>
  <si>
    <t>CLI-00033</t>
  </si>
  <si>
    <t>Tshuapa</t>
  </si>
  <si>
    <t>CLI-00034</t>
  </si>
  <si>
    <t>CLI-00037</t>
  </si>
  <si>
    <t>CLI-00039</t>
  </si>
  <si>
    <t>Maniema</t>
  </si>
  <si>
    <t>CLI-00041</t>
  </si>
  <si>
    <t>Ituri</t>
  </si>
  <si>
    <t>CLI-00043</t>
  </si>
  <si>
    <t>Nord-Kivu</t>
  </si>
  <si>
    <t>CLI-00044</t>
  </si>
  <si>
    <t>Lomami</t>
  </si>
  <si>
    <t>CLI-00045</t>
  </si>
  <si>
    <t>CLI-00048</t>
  </si>
  <si>
    <t>CLI-00054</t>
  </si>
  <si>
    <t>Sud-Kivu</t>
  </si>
  <si>
    <t>CLI-00055</t>
  </si>
  <si>
    <t>Haut-Uele</t>
  </si>
  <si>
    <t>CLI-00057</t>
  </si>
  <si>
    <t>Kasai</t>
  </si>
  <si>
    <t>CLI-00059</t>
  </si>
  <si>
    <t>Haut-Katanga</t>
  </si>
  <si>
    <t>CLI-00060</t>
  </si>
  <si>
    <t>Kasai-Central</t>
  </si>
  <si>
    <t xml:space="preserve"> </t>
  </si>
  <si>
    <t>CLI-00070</t>
  </si>
  <si>
    <t>Sud-Ubangi</t>
  </si>
  <si>
    <t>CLI-00072</t>
  </si>
  <si>
    <t>CLI-00074</t>
  </si>
  <si>
    <t>CLI-00076</t>
  </si>
  <si>
    <t>CLI-00083</t>
  </si>
  <si>
    <t>CLI-00084</t>
  </si>
  <si>
    <t>CLI-00085</t>
  </si>
  <si>
    <t>CLI-00087</t>
  </si>
  <si>
    <t>CLI-00090</t>
  </si>
  <si>
    <t>Mai-Ndombe</t>
  </si>
  <si>
    <t>CLI-00091</t>
  </si>
  <si>
    <t>Equateur</t>
  </si>
  <si>
    <t>CLI-00093</t>
  </si>
  <si>
    <t>CLI-00094</t>
  </si>
  <si>
    <t>Kwango</t>
  </si>
  <si>
    <t>CLI-00098</t>
  </si>
  <si>
    <t>CLI-00100</t>
  </si>
  <si>
    <t>Tshopo</t>
  </si>
  <si>
    <t>CLI-00102</t>
  </si>
  <si>
    <t>CLI-00105</t>
  </si>
  <si>
    <t>CLI-00107</t>
  </si>
  <si>
    <t>Kasai-Oriental</t>
  </si>
  <si>
    <t>CLI-00109</t>
  </si>
  <si>
    <t>CLI-00112</t>
  </si>
  <si>
    <t>Nord-Ubangi</t>
  </si>
  <si>
    <t>CLI-00114</t>
  </si>
  <si>
    <t>CLI-00115</t>
  </si>
  <si>
    <t>CLI-00121</t>
  </si>
  <si>
    <t>CLI-00125</t>
  </si>
  <si>
    <t>CLI-00131</t>
  </si>
  <si>
    <t>CLI-00136</t>
  </si>
  <si>
    <t>CLI-00145</t>
  </si>
  <si>
    <t>CLI-00150</t>
  </si>
  <si>
    <t>CLI-00157</t>
  </si>
  <si>
    <t>CLI-00158</t>
  </si>
  <si>
    <t>CLI-00161</t>
  </si>
  <si>
    <t>CLI-00163</t>
  </si>
  <si>
    <t>CLI-00165</t>
  </si>
  <si>
    <t>CLI-00167</t>
  </si>
  <si>
    <t>CLI-00168</t>
  </si>
  <si>
    <t>CLI-00169</t>
  </si>
  <si>
    <t>CLI-00171</t>
  </si>
  <si>
    <t>CLI-00172</t>
  </si>
  <si>
    <t>CLI-00173</t>
  </si>
  <si>
    <t>CLI-00176</t>
  </si>
  <si>
    <t>CLI-00177</t>
  </si>
  <si>
    <t>CLI-00180</t>
  </si>
  <si>
    <t>CLI-00183</t>
  </si>
  <si>
    <t>CLI-00184</t>
  </si>
  <si>
    <t>Kinshasa</t>
  </si>
  <si>
    <t>CLI-00185</t>
  </si>
  <si>
    <t>CLI-00190</t>
  </si>
  <si>
    <t>CLI-00191</t>
  </si>
  <si>
    <t>CLI-00192</t>
  </si>
  <si>
    <t>CLI-00194</t>
  </si>
  <si>
    <t>CLI-00196</t>
  </si>
  <si>
    <t>CLI-00197</t>
  </si>
  <si>
    <t>Sankuru</t>
  </si>
  <si>
    <t>CLI-00206</t>
  </si>
  <si>
    <t>CLI-00211</t>
  </si>
  <si>
    <t>CLI-00218</t>
  </si>
  <si>
    <t>CLI-00219</t>
  </si>
  <si>
    <t>CLI-00221</t>
  </si>
  <si>
    <t>CLI-00227</t>
  </si>
  <si>
    <t>CLI-00230</t>
  </si>
  <si>
    <t>CLI-00231</t>
  </si>
  <si>
    <t>CLI-00232</t>
  </si>
  <si>
    <t>CLI-00234</t>
  </si>
  <si>
    <t>CLI-00238</t>
  </si>
  <si>
    <t>CLI-00239</t>
  </si>
  <si>
    <t>CLI-00240</t>
  </si>
  <si>
    <t>CLI-00241</t>
  </si>
  <si>
    <t>CLI-00243</t>
  </si>
  <si>
    <t>CLI-00247</t>
  </si>
  <si>
    <t>CLI-00248</t>
  </si>
  <si>
    <t>CLI-00250</t>
  </si>
  <si>
    <t>CLI-00251</t>
  </si>
  <si>
    <t>CLI-00254</t>
  </si>
  <si>
    <t>CLI-00257</t>
  </si>
  <si>
    <t>CLI-00262</t>
  </si>
  <si>
    <t>CLI-00265</t>
  </si>
  <si>
    <t>CLI-00267</t>
  </si>
  <si>
    <t>CLI-00269</t>
  </si>
  <si>
    <t>CLI-00271</t>
  </si>
  <si>
    <t>CLI-00273</t>
  </si>
  <si>
    <t>CLI-00274</t>
  </si>
  <si>
    <t>CLI-00277</t>
  </si>
  <si>
    <t>CLI-00279</t>
  </si>
  <si>
    <t>CLI-00280</t>
  </si>
  <si>
    <t>CLI-00288</t>
  </si>
  <si>
    <t>CLI-00291</t>
  </si>
  <si>
    <t>CLI-00296</t>
  </si>
  <si>
    <t>CLI-00297</t>
  </si>
  <si>
    <t>CLI-00298</t>
  </si>
  <si>
    <t>CLI-00299</t>
  </si>
  <si>
    <t>CLI-00304</t>
  </si>
  <si>
    <t>CLI-00305</t>
  </si>
  <si>
    <t>CLI-00306</t>
  </si>
  <si>
    <t>CLI-00310</t>
  </si>
  <si>
    <t>CLI-00313</t>
  </si>
  <si>
    <t>CLI-00315</t>
  </si>
  <si>
    <t>CLI-00316</t>
  </si>
  <si>
    <t>CLI-00318</t>
  </si>
  <si>
    <t>CLI-00324</t>
  </si>
  <si>
    <t>CLI-00327</t>
  </si>
  <si>
    <t>CLI-00329</t>
  </si>
  <si>
    <t>CLI-00331</t>
  </si>
  <si>
    <t>CLI-00334</t>
  </si>
  <si>
    <t>Lualaba</t>
  </si>
  <si>
    <t>CLI-00335</t>
  </si>
  <si>
    <t>CLI-00338</t>
  </si>
  <si>
    <t>CLI-00341</t>
  </si>
  <si>
    <t>CLI-00345</t>
  </si>
  <si>
    <t>CLI-00346</t>
  </si>
  <si>
    <t>CLI-00348</t>
  </si>
  <si>
    <t>CLI-00349</t>
  </si>
  <si>
    <t>CLI-00352</t>
  </si>
  <si>
    <t>CLI-00356</t>
  </si>
  <si>
    <t>CLI-00359</t>
  </si>
  <si>
    <t>CLI-00361</t>
  </si>
  <si>
    <t>CLI-00365</t>
  </si>
  <si>
    <t>CLI-00368</t>
  </si>
  <si>
    <t>CLI-00370</t>
  </si>
  <si>
    <t>CLI-00373</t>
  </si>
  <si>
    <t>CLI-00374</t>
  </si>
  <si>
    <t>CLI-00376</t>
  </si>
  <si>
    <t>CLI-00377</t>
  </si>
  <si>
    <t>CLI-00380</t>
  </si>
  <si>
    <t>CLI-00382</t>
  </si>
  <si>
    <t>CLI-00384</t>
  </si>
  <si>
    <t>CLI-00386</t>
  </si>
  <si>
    <t>CLI-00387</t>
  </si>
  <si>
    <t>CLI-00388</t>
  </si>
  <si>
    <t>CLI-00391</t>
  </si>
  <si>
    <t>CLI-00394</t>
  </si>
  <si>
    <t>CLI-00407</t>
  </si>
  <si>
    <t>CLI-00410</t>
  </si>
  <si>
    <t>CLI-00413</t>
  </si>
  <si>
    <t>CLI-00414</t>
  </si>
  <si>
    <t>CLI-00417</t>
  </si>
  <si>
    <t>CLI-00418</t>
  </si>
  <si>
    <t>CLI-00424</t>
  </si>
  <si>
    <t>CLI-00427</t>
  </si>
  <si>
    <t>CLI-00429</t>
  </si>
  <si>
    <t>CLI-00431</t>
  </si>
  <si>
    <t>CLI-00433</t>
  </si>
  <si>
    <t>CLI-00435</t>
  </si>
  <si>
    <t>CLI-00439</t>
  </si>
  <si>
    <t>CLI-00442</t>
  </si>
  <si>
    <t>CLI-00447</t>
  </si>
  <si>
    <t>CLI-00450</t>
  </si>
  <si>
    <t>CLI-00460</t>
  </si>
  <si>
    <t>CLI-00469</t>
  </si>
  <si>
    <t>CLI-00471</t>
  </si>
  <si>
    <t>CLI-00475</t>
  </si>
  <si>
    <t>CLI-00476</t>
  </si>
  <si>
    <t>CLI-00481</t>
  </si>
  <si>
    <t>CLI-00483</t>
  </si>
  <si>
    <t>CLI-00484</t>
  </si>
  <si>
    <t>CLI-00485</t>
  </si>
  <si>
    <t>CLI-00488</t>
  </si>
  <si>
    <t>CLI-00491</t>
  </si>
  <si>
    <t>CLI-00492</t>
  </si>
  <si>
    <t>CLI-00496</t>
  </si>
  <si>
    <t>CLI-00497</t>
  </si>
  <si>
    <t>CLI-00505</t>
  </si>
  <si>
    <t>CLI-00509</t>
  </si>
  <si>
    <t>CLI-00510</t>
  </si>
  <si>
    <t>CLI-00512</t>
  </si>
  <si>
    <t>CLI-00516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</si>
  <si>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</si>
  <si>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</si>
  <si>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</si>
  <si>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</si>
  <si>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</si>
  <si>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</si>
  <si>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</si>
  <si>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CLI-00530</t>
  </si>
  <si>
    <t>CLI-00532</t>
  </si>
  <si>
    <t>CLI-00533</t>
  </si>
  <si>
    <t>CLI-00534</t>
  </si>
  <si>
    <t>CLI-00535</t>
  </si>
  <si>
    <t>CLI-00537</t>
  </si>
  <si>
    <t>CLI-00541</t>
  </si>
  <si>
    <t>CLI-00543</t>
  </si>
  <si>
    <t>CLI-00546</t>
  </si>
  <si>
    <t>CLI-00549</t>
  </si>
  <si>
    <t>CLI-00550</t>
  </si>
  <si>
    <t>CLI-00552</t>
  </si>
  <si>
    <t>CLI-00559</t>
  </si>
  <si>
    <t>CLI-00562</t>
  </si>
  <si>
    <t>CLI-00563</t>
  </si>
  <si>
    <t>CLI-00569</t>
  </si>
  <si>
    <t>CLI-00576</t>
  </si>
  <si>
    <t>CLI-00578</t>
  </si>
  <si>
    <t>CLI-00580</t>
  </si>
  <si>
    <t>CLI-00582</t>
  </si>
  <si>
    <t>CLI-00583</t>
  </si>
  <si>
    <t>CLI-00584</t>
  </si>
  <si>
    <t>CLI-00590</t>
  </si>
  <si>
    <t>CLI-00595</t>
  </si>
  <si>
    <t>CLI-00596</t>
  </si>
  <si>
    <t>CLI-00601</t>
  </si>
  <si>
    <t>CLI-00604</t>
  </si>
  <si>
    <t>CLI-00606</t>
  </si>
  <si>
    <t>CLI-00610</t>
  </si>
  <si>
    <t>CLI-00611</t>
  </si>
  <si>
    <t>CLI-00612</t>
  </si>
  <si>
    <t>CLI-00616</t>
  </si>
  <si>
    <t>CLI-00617</t>
  </si>
  <si>
    <t>CLI-00620</t>
  </si>
  <si>
    <t>CLI-00621</t>
  </si>
  <si>
    <t>CLI-00626</t>
  </si>
  <si>
    <t>CLI-00632</t>
  </si>
  <si>
    <t>CLI-00634</t>
  </si>
  <si>
    <t>CLI-00636</t>
  </si>
  <si>
    <t>CLI-00642</t>
  </si>
  <si>
    <t>CLI-00643</t>
  </si>
  <si>
    <t>CLI-00647</t>
  </si>
  <si>
    <t>CLI-00649</t>
  </si>
  <si>
    <t>CLI-00650</t>
  </si>
  <si>
    <t>CLI-00655</t>
  </si>
  <si>
    <t>CLI-00662</t>
  </si>
  <si>
    <t>CLI-00663</t>
  </si>
  <si>
    <t>CLI-00666</t>
  </si>
  <si>
    <t>CLI-00670</t>
  </si>
  <si>
    <t>CLI-00671</t>
  </si>
  <si>
    <t>CLI-00674</t>
  </si>
  <si>
    <t>CLI-00675</t>
  </si>
  <si>
    <t>CLI-00682</t>
  </si>
  <si>
    <t>CLI-00684</t>
  </si>
  <si>
    <t>CLI-00695</t>
  </si>
  <si>
    <t>CLI-00700</t>
  </si>
  <si>
    <t>CLI-00705</t>
  </si>
  <si>
    <t>CLI-00711</t>
  </si>
  <si>
    <t>CLI-00716</t>
  </si>
  <si>
    <t>CLI-00721</t>
  </si>
  <si>
    <t>CLI-00726</t>
  </si>
  <si>
    <t>CLI-00728</t>
  </si>
  <si>
    <t>CLI-00731</t>
  </si>
  <si>
    <t>CLI-00736</t>
  </si>
  <si>
    <t>CLI-00739</t>
  </si>
  <si>
    <t>CLI-00744</t>
  </si>
  <si>
    <t>CLI-00745</t>
  </si>
  <si>
    <t>CLI-00753</t>
  </si>
  <si>
    <t>CLI-00754</t>
  </si>
  <si>
    <t>CLI-00755</t>
  </si>
  <si>
    <t>CLI-00758</t>
  </si>
  <si>
    <t>CLI-00760</t>
  </si>
  <si>
    <t>CLI-00766</t>
  </si>
  <si>
    <t>CLI-00768</t>
  </si>
  <si>
    <t>CLI-00773</t>
  </si>
  <si>
    <t>CLI-00781</t>
  </si>
  <si>
    <t>CLI-00782</t>
  </si>
  <si>
    <t>CLI-00783</t>
  </si>
  <si>
    <t>CLI-00786</t>
  </si>
  <si>
    <t>CLI-00788</t>
  </si>
  <si>
    <t>CLI-00795</t>
  </si>
  <si>
    <t>CLI-00796</t>
  </si>
  <si>
    <t>CLI-00799</t>
  </si>
  <si>
    <t>CLI-00800</t>
  </si>
  <si>
    <t>CLI-00803</t>
  </si>
  <si>
    <t>CLI-00805</t>
  </si>
  <si>
    <t>CLI-00806</t>
  </si>
  <si>
    <t>CLI-00808</t>
  </si>
  <si>
    <t>CLI-00809</t>
  </si>
  <si>
    <t>CLI-00813</t>
  </si>
  <si>
    <t>CLI-00815</t>
  </si>
  <si>
    <t>CLI-00817</t>
  </si>
  <si>
    <t>CLI-00819</t>
  </si>
  <si>
    <t>CLI-00821</t>
  </si>
  <si>
    <t>CLI-00822</t>
  </si>
  <si>
    <t>CLI-00825</t>
  </si>
  <si>
    <t>CLI-00830</t>
  </si>
  <si>
    <t>CLI-00833</t>
  </si>
  <si>
    <t>CLI-00834</t>
  </si>
  <si>
    <t>CLI-00837</t>
  </si>
  <si>
    <t>CLI-00841</t>
  </si>
  <si>
    <t>CLI-00846</t>
  </si>
  <si>
    <t>CLI-00849</t>
  </si>
  <si>
    <t>CLI-00852</t>
  </si>
  <si>
    <t>CLI-00853</t>
  </si>
  <si>
    <t>CLI-00855</t>
  </si>
  <si>
    <t>CLI-00857</t>
  </si>
  <si>
    <t>CLI-00862</t>
  </si>
  <si>
    <t>CLI-00865</t>
  </si>
  <si>
    <t>CLI-00866</t>
  </si>
  <si>
    <t>CLI-00867</t>
  </si>
  <si>
    <t>CLI-00868</t>
  </si>
  <si>
    <t>CLI-00871</t>
  </si>
  <si>
    <t>CLI-00873</t>
  </si>
  <si>
    <t>CLI-00876</t>
  </si>
  <si>
    <t>CLI-00879</t>
  </si>
  <si>
    <t>CLI-00881</t>
  </si>
  <si>
    <t>CLI-00884</t>
  </si>
  <si>
    <t>CLI-00885</t>
  </si>
  <si>
    <t>CLI-00886</t>
  </si>
  <si>
    <t>CLI-00887</t>
  </si>
  <si>
    <t>CLI-00890</t>
  </si>
  <si>
    <t>CLI-00892</t>
  </si>
  <si>
    <t>CLI-00893</t>
  </si>
  <si>
    <t>CLI-00894</t>
  </si>
  <si>
    <t>CLI-00896</t>
  </si>
  <si>
    <t>CLI-00898</t>
  </si>
  <si>
    <t>CLI-00899</t>
  </si>
  <si>
    <t>CLI-00901</t>
  </si>
  <si>
    <t>CLI-00902</t>
  </si>
  <si>
    <t>CLI-00905</t>
  </si>
  <si>
    <t>CLI-00907</t>
  </si>
  <si>
    <t>CLI-00909</t>
  </si>
  <si>
    <t>CLI-00912</t>
  </si>
  <si>
    <t>CLI-00913</t>
  </si>
  <si>
    <t>CLI-00919</t>
  </si>
  <si>
    <t>CLI-00921</t>
  </si>
  <si>
    <t>CLI-00922</t>
  </si>
  <si>
    <t>CLI-00924</t>
  </si>
  <si>
    <t>CLI-00925</t>
  </si>
  <si>
    <t>CLI-00928</t>
  </si>
  <si>
    <t>CLI-00929</t>
  </si>
  <si>
    <t>CLI-00930</t>
  </si>
  <si>
    <t>CLI-00932</t>
  </si>
  <si>
    <t>CLI-00938</t>
  </si>
  <si>
    <t>CLI-00939</t>
  </si>
  <si>
    <t>CLI-00943</t>
  </si>
  <si>
    <t>CLI-00948</t>
  </si>
  <si>
    <t>CLI-00950</t>
  </si>
  <si>
    <t>CLI-00952</t>
  </si>
  <si>
    <t>CLI-00957</t>
  </si>
  <si>
    <t>CLI-00959</t>
  </si>
  <si>
    <t>CLI-00960</t>
  </si>
  <si>
    <t>CLI-00961</t>
  </si>
  <si>
    <t>CLI-00962</t>
  </si>
  <si>
    <t>CLI-00964</t>
  </si>
  <si>
    <t>CLI-00965</t>
  </si>
  <si>
    <t>CLI-00966</t>
  </si>
  <si>
    <t>CLI-00970</t>
  </si>
  <si>
    <t>CLI-00971</t>
  </si>
  <si>
    <t>CLI-00973</t>
  </si>
  <si>
    <t>CLI-00974</t>
  </si>
  <si>
    <t>CLI-00976</t>
  </si>
  <si>
    <t>CLI-00978</t>
  </si>
  <si>
    <t>CLI-00979</t>
  </si>
  <si>
    <t>CLI-00980</t>
  </si>
  <si>
    <t>CLI-00983</t>
  </si>
  <si>
    <t>CLI-00986</t>
  </si>
  <si>
    <t>CLI-00994</t>
  </si>
  <si>
    <t>CLI-00996</t>
  </si>
  <si>
    <t>CLI-00997</t>
  </si>
  <si>
    <t>CLI-00999</t>
  </si>
  <si>
    <t>CLI-01000</t>
  </si>
  <si>
    <t>CLI-01003</t>
  </si>
  <si>
    <t>CLI-01005</t>
  </si>
  <si>
    <t>CLI-01006</t>
  </si>
  <si>
    <t>CLI-01007</t>
  </si>
  <si>
    <t>CLI-01010</t>
  </si>
  <si>
    <t>CLI-01013</t>
  </si>
  <si>
    <t>CLI-01014</t>
  </si>
  <si>
    <t>CLI-01015</t>
  </si>
  <si>
    <t>CLI-01016</t>
  </si>
  <si>
    <t>CLI-01017</t>
  </si>
  <si>
    <t>CLI-01021</t>
  </si>
  <si>
    <t>CLI-01023</t>
  </si>
  <si>
    <t>CLI-01025</t>
  </si>
  <si>
    <t>CLI-01032</t>
  </si>
  <si>
    <t>CLI-01034</t>
  </si>
  <si>
    <t>CLI-01037</t>
  </si>
  <si>
    <t>CLI-01040</t>
  </si>
  <si>
    <t>CLI-01042</t>
  </si>
  <si>
    <t>CLI-01046</t>
  </si>
  <si>
    <t>CLI-01050</t>
  </si>
  <si>
    <t>CLI-01052</t>
  </si>
  <si>
    <t>CLI-01058</t>
  </si>
  <si>
    <t>CLI-01059</t>
  </si>
  <si>
    <t>CLI-01069</t>
  </si>
  <si>
    <t>CLI-01072</t>
  </si>
  <si>
    <t>CLI-01075</t>
  </si>
  <si>
    <t>CLI-01076</t>
  </si>
  <si>
    <t>CLI-01077</t>
  </si>
  <si>
    <t>CLI-01078</t>
  </si>
  <si>
    <t>CLI-01080</t>
  </si>
  <si>
    <t>CLI-01082</t>
  </si>
  <si>
    <t>CLI-01087</t>
  </si>
  <si>
    <t>CLI-01093</t>
  </si>
  <si>
    <t>CLI-01095</t>
  </si>
  <si>
    <t>CLI-01096</t>
  </si>
  <si>
    <t>CLI-01104</t>
  </si>
  <si>
    <t>CLI-01118</t>
  </si>
  <si>
    <t>CLI-01121</t>
  </si>
  <si>
    <t>CLI-01122</t>
  </si>
  <si>
    <t>CLI-01128</t>
  </si>
  <si>
    <t>CLI-01129</t>
  </si>
  <si>
    <t>CLI-01132</t>
  </si>
  <si>
    <t>CLI-01134</t>
  </si>
  <si>
    <t>CLI-01136</t>
  </si>
  <si>
    <t>CLI-01139</t>
  </si>
  <si>
    <t>CLI-01141</t>
  </si>
  <si>
    <t>CLI-01144</t>
  </si>
  <si>
    <t>CLI-01146</t>
  </si>
  <si>
    <t>CLI-01147</t>
  </si>
  <si>
    <t>CLI-01149</t>
  </si>
  <si>
    <t>CLI-01154</t>
  </si>
  <si>
    <t>CLI-01162</t>
  </si>
  <si>
    <t>CLI-01165</t>
  </si>
  <si>
    <t>CLI-01166</t>
  </si>
  <si>
    <t>CLI-01167</t>
  </si>
  <si>
    <t>CLI-01169</t>
  </si>
  <si>
    <t>CLI-01170</t>
  </si>
  <si>
    <t>CLI-01180</t>
  </si>
  <si>
    <t>CLI-01181</t>
  </si>
  <si>
    <t>CLI-01186</t>
  </si>
  <si>
    <t>CLI-01189</t>
  </si>
  <si>
    <t>CLI-01194</t>
  </si>
  <si>
    <t>CLI-01196</t>
  </si>
  <si>
    <t>CLI-01197</t>
  </si>
  <si>
    <t>CLI-01199</t>
  </si>
  <si>
    <t>CLI-01200</t>
  </si>
  <si>
    <t>CLI-01203</t>
  </si>
  <si>
    <t>CLI-01204</t>
  </si>
  <si>
    <t>CLI-01208</t>
  </si>
  <si>
    <t>CLI-01210</t>
  </si>
  <si>
    <t>CLI-01211</t>
  </si>
  <si>
    <t>CLI-01215</t>
  </si>
  <si>
    <t>CLI-01217</t>
  </si>
  <si>
    <t>CLI-01221</t>
  </si>
  <si>
    <t>CLI-01224</t>
  </si>
  <si>
    <t>CLI-01226</t>
  </si>
  <si>
    <t>CLI-01229</t>
  </si>
  <si>
    <t>CLI-01230</t>
  </si>
  <si>
    <t>CLI-01233</t>
  </si>
  <si>
    <t>CLI-01234</t>
  </si>
  <si>
    <t>CLI-01236</t>
  </si>
  <si>
    <t>CLI-01238</t>
  </si>
  <si>
    <t>CLI-01241</t>
  </si>
  <si>
    <t>CLI-01242</t>
  </si>
  <si>
    <t>CLI-01253</t>
  </si>
  <si>
    <t>CLI-01254</t>
  </si>
  <si>
    <t>CLI-01256</t>
  </si>
  <si>
    <t>CLI-01258</t>
  </si>
  <si>
    <t>CLI-01264</t>
  </si>
  <si>
    <t>CLI-01266</t>
  </si>
  <si>
    <t>CLI-01267</t>
  </si>
  <si>
    <t>CLI-01270</t>
  </si>
  <si>
    <t>CLI-01275</t>
  </si>
  <si>
    <t>CLI-01278</t>
  </si>
  <si>
    <t>CLI-01283</t>
  </si>
  <si>
    <t>CLI-01284</t>
  </si>
  <si>
    <t>CLI-01287</t>
  </si>
  <si>
    <t>CLI-01290</t>
  </si>
  <si>
    <t>CLI-01291</t>
  </si>
  <si>
    <t>CLI-01292</t>
  </si>
  <si>
    <t>CLI-01294</t>
  </si>
  <si>
    <t>CLI-01304</t>
  </si>
  <si>
    <t>CLI-01309</t>
  </si>
  <si>
    <t>CLI-01313</t>
  </si>
  <si>
    <t>CLI-01314</t>
  </si>
  <si>
    <t>CLI-01319</t>
  </si>
  <si>
    <t>CLI-01320</t>
  </si>
  <si>
    <t>CLI-01322</t>
  </si>
  <si>
    <t>CLI-01325</t>
  </si>
  <si>
    <t>CLI-01326</t>
  </si>
  <si>
    <t>CLI-01327</t>
  </si>
  <si>
    <t>CLI-01329</t>
  </si>
  <si>
    <t>CLI-01330</t>
  </si>
  <si>
    <t>CLI-01339</t>
  </si>
  <si>
    <t>CLI-01340</t>
  </si>
  <si>
    <t>CLI-01344</t>
  </si>
  <si>
    <t>CLI-01347</t>
  </si>
  <si>
    <t>CLI-01349</t>
  </si>
  <si>
    <t>CLI-01351</t>
  </si>
  <si>
    <t>CLI-01354</t>
  </si>
  <si>
    <t>CLI-01355</t>
  </si>
  <si>
    <t>CLI-01357</t>
  </si>
  <si>
    <t>CLI-01359</t>
  </si>
  <si>
    <t>CLI-01360</t>
  </si>
  <si>
    <t>CLI-01361</t>
  </si>
  <si>
    <t>CLI-01363</t>
  </si>
  <si>
    <t>CLI-01373</t>
  </si>
  <si>
    <t>CLI-01374</t>
  </si>
  <si>
    <t>CLI-01375</t>
  </si>
  <si>
    <t>CLI-01376</t>
  </si>
  <si>
    <t>CLI-01380</t>
  </si>
  <si>
    <t>CLI-01386</t>
  </si>
  <si>
    <t>CLI-01387</t>
  </si>
  <si>
    <t>CLI-01394</t>
  </si>
  <si>
    <t>CLI-01396</t>
  </si>
  <si>
    <t>CLI-01399</t>
  </si>
  <si>
    <t>CLI-01402</t>
  </si>
  <si>
    <t>CLI-01403</t>
  </si>
  <si>
    <t>CLI-01404</t>
  </si>
  <si>
    <t>CLI-01405</t>
  </si>
  <si>
    <t>CLI-01406</t>
  </si>
  <si>
    <t>CLI-01407</t>
  </si>
  <si>
    <t>CLI-01408</t>
  </si>
  <si>
    <t>CLI-01410</t>
  </si>
  <si>
    <t>CLI-01415</t>
  </si>
  <si>
    <t>CLI-01419</t>
  </si>
  <si>
    <t>CLI-01420</t>
  </si>
  <si>
    <t>CLI-01424</t>
  </si>
  <si>
    <t>CLI-01431</t>
  </si>
  <si>
    <t>CLI-01432</t>
  </si>
  <si>
    <t>CLI-01433</t>
  </si>
  <si>
    <t>CLI-01435</t>
  </si>
  <si>
    <t>CLI-01436</t>
  </si>
  <si>
    <t>CLI-01437</t>
  </si>
  <si>
    <t>CLI-01438</t>
  </si>
  <si>
    <t>CLI-01442</t>
  </si>
  <si>
    <t>CLI-01446</t>
  </si>
  <si>
    <t>CLI-01450</t>
  </si>
  <si>
    <t>CLI-01451</t>
  </si>
  <si>
    <t>CLI-01453</t>
  </si>
  <si>
    <t>CLI-01454</t>
  </si>
  <si>
    <t>CLI-01455</t>
  </si>
  <si>
    <t>CLI-01461</t>
  </si>
  <si>
    <t>CLI-01462</t>
  </si>
  <si>
    <t>CLI-01463</t>
  </si>
  <si>
    <t>CLI-01466</t>
  </si>
  <si>
    <t>CLI-01470</t>
  </si>
  <si>
    <t>CLI-01472</t>
  </si>
  <si>
    <t>CLI-01473</t>
  </si>
  <si>
    <t>CLI-01475</t>
  </si>
  <si>
    <t>CLI-01479</t>
  </si>
  <si>
    <t>CLI-01480</t>
  </si>
  <si>
    <t>CLI-01484</t>
  </si>
  <si>
    <t>CLI-01485</t>
  </si>
  <si>
    <t>CLI-01488</t>
  </si>
  <si>
    <t>CLI-01489</t>
  </si>
  <si>
    <t>CLI-01494</t>
  </si>
  <si>
    <t>CLI-01496</t>
  </si>
  <si>
    <t>CLI-01499</t>
  </si>
  <si>
    <t>CLI-01503</t>
  </si>
  <si>
    <t>CLI-01505</t>
  </si>
  <si>
    <t>CLI-01506</t>
  </si>
  <si>
    <t>CLI-01507</t>
  </si>
  <si>
    <t>CLI-01508</t>
  </si>
  <si>
    <t>CLI-01510</t>
  </si>
  <si>
    <t>CLI-01511</t>
  </si>
  <si>
    <t>CLI-01515</t>
  </si>
  <si>
    <t>CLI-01520</t>
  </si>
  <si>
    <t>CLI-01524</t>
  </si>
  <si>
    <t>CLI-01529</t>
  </si>
  <si>
    <t>CLI-01530</t>
  </si>
  <si>
    <t>CLI-01533</t>
  </si>
  <si>
    <t>CLI-01535</t>
  </si>
  <si>
    <t>CLI-01536</t>
  </si>
  <si>
    <t>CLI-01542</t>
  </si>
  <si>
    <t>CLI-01543</t>
  </si>
  <si>
    <t>CLI-01544</t>
  </si>
  <si>
    <t>CLI-01549</t>
  </si>
  <si>
    <t>CLI-01550</t>
  </si>
  <si>
    <t>CLI-01555</t>
  </si>
  <si>
    <t>CLI-01560</t>
  </si>
  <si>
    <t>CLI-01561</t>
  </si>
  <si>
    <t>CLI-01563</t>
  </si>
  <si>
    <t>CLI-01565</t>
  </si>
  <si>
    <t>CLI-01566</t>
  </si>
  <si>
    <t>CLI-01568</t>
  </si>
  <si>
    <t>CLI-01571</t>
  </si>
  <si>
    <t>CLI-01573</t>
  </si>
  <si>
    <t>CLI-01578</t>
  </si>
  <si>
    <t>CLI-01584</t>
  </si>
  <si>
    <t>CLI-01588</t>
  </si>
  <si>
    <t>CLI-01589</t>
  </si>
  <si>
    <t>CLI-01591</t>
  </si>
  <si>
    <t>CLI-01595</t>
  </si>
  <si>
    <t>CLI-01597</t>
  </si>
  <si>
    <t>CLI-01598</t>
  </si>
  <si>
    <t>CLI-01600</t>
  </si>
  <si>
    <t>CLI-01602</t>
  </si>
  <si>
    <t>CLI-01603</t>
  </si>
  <si>
    <t>CLI-01604</t>
  </si>
  <si>
    <t>CLI-01606</t>
  </si>
  <si>
    <t>CLI-01607</t>
  </si>
  <si>
    <t>CLI-01616</t>
  </si>
  <si>
    <t>CLI-01617</t>
  </si>
  <si>
    <t>CLI-01618</t>
  </si>
  <si>
    <t>CLI-01619</t>
  </si>
  <si>
    <t>CLI-01621</t>
  </si>
  <si>
    <t>CLI-01622</t>
  </si>
  <si>
    <t>CLI-01623</t>
  </si>
  <si>
    <t>CLI-01624</t>
  </si>
  <si>
    <t>CLI-01626</t>
  </si>
  <si>
    <t>CLI-01629</t>
  </si>
  <si>
    <t>CLI-01630</t>
  </si>
  <si>
    <t>CLI-01637</t>
  </si>
  <si>
    <t>CLI-01638</t>
  </si>
  <si>
    <t>CLI-01646</t>
  </si>
  <si>
    <t>CLI-01651</t>
  </si>
  <si>
    <t>CLI-01653</t>
  </si>
  <si>
    <t>CLI-01654</t>
  </si>
  <si>
    <t>CLI-01658</t>
  </si>
  <si>
    <t>CLI-01662</t>
  </si>
  <si>
    <t>CLI-01664</t>
  </si>
  <si>
    <t>CLI-01666</t>
  </si>
  <si>
    <t>CLI-01668</t>
  </si>
  <si>
    <t>CLI-01669</t>
  </si>
  <si>
    <t>CLI-01680</t>
  </si>
  <si>
    <t>CLI-01682</t>
  </si>
  <si>
    <t>CLI-01683</t>
  </si>
  <si>
    <t>CLI-01685</t>
  </si>
  <si>
    <t>CLI-01686</t>
  </si>
  <si>
    <t>CLI-01687</t>
  </si>
  <si>
    <t>CLI-01688</t>
  </si>
  <si>
    <t>CLI-01689</t>
  </si>
  <si>
    <t>CLI-01694</t>
  </si>
  <si>
    <t>CLI-01695</t>
  </si>
  <si>
    <t>CLI-01697</t>
  </si>
  <si>
    <t>CLI-01698</t>
  </si>
  <si>
    <t>CLI-01701</t>
  </si>
  <si>
    <t>CLI-01702</t>
  </si>
  <si>
    <t>CLI-01704</t>
  </si>
  <si>
    <t>CLI-01705</t>
  </si>
  <si>
    <t>CLI-01706</t>
  </si>
  <si>
    <t>CLI-01709</t>
  </si>
  <si>
    <t>CLI-01710</t>
  </si>
  <si>
    <t>CLI-01714</t>
  </si>
  <si>
    <t>CLI-01719</t>
  </si>
  <si>
    <t>CLI-01720</t>
  </si>
  <si>
    <t>CLI-01721</t>
  </si>
  <si>
    <t>CLI-01722</t>
  </si>
  <si>
    <t>CLI-01723</t>
  </si>
  <si>
    <t>CLI-01724</t>
  </si>
  <si>
    <t>CLI-01726</t>
  </si>
  <si>
    <t>CLI-01728</t>
  </si>
  <si>
    <t>CLI-01729</t>
  </si>
  <si>
    <t>CLI-01731</t>
  </si>
  <si>
    <t>CLI-01732</t>
  </si>
  <si>
    <t>CLI-01735</t>
  </si>
  <si>
    <t>CLI-01736</t>
  </si>
  <si>
    <t>CLI-01739</t>
  </si>
  <si>
    <t>CLI-01740</t>
  </si>
  <si>
    <t>CLI-01741</t>
  </si>
  <si>
    <t>CLI-01746</t>
  </si>
  <si>
    <t>CLI-01749</t>
  </si>
  <si>
    <t>CLI-01757</t>
  </si>
  <si>
    <t>CLI-01759</t>
  </si>
  <si>
    <t>CLI-01761</t>
  </si>
  <si>
    <t>CLI-01765</t>
  </si>
  <si>
    <t>CLI-01766</t>
  </si>
  <si>
    <t>CLI-01768</t>
  </si>
  <si>
    <t>CLI-01773</t>
  </si>
  <si>
    <t>CLI-01775</t>
  </si>
  <si>
    <t>CLI-01776</t>
  </si>
  <si>
    <t>CLI-01780</t>
  </si>
  <si>
    <t>CLI-01782</t>
  </si>
  <si>
    <t>CLI-01783</t>
  </si>
  <si>
    <t>CLI-01788</t>
  </si>
  <si>
    <t>CLI-01793</t>
  </si>
  <si>
    <t>CLI-01794</t>
  </si>
  <si>
    <t>CLI-01796</t>
  </si>
  <si>
    <t>CLI-01797</t>
  </si>
  <si>
    <t>CLI-01802</t>
  </si>
  <si>
    <t>CLI-01804</t>
  </si>
  <si>
    <t>CLI-01812</t>
  </si>
  <si>
    <t>CLI-01814</t>
  </si>
  <si>
    <t>CLI-01816</t>
  </si>
  <si>
    <t>CLI-01818</t>
  </si>
  <si>
    <t>CLI-01820</t>
  </si>
  <si>
    <t>CLI-01821</t>
  </si>
  <si>
    <t>CLI-01822</t>
  </si>
  <si>
    <t>CLI-01823</t>
  </si>
  <si>
    <t>CLI-01824</t>
  </si>
  <si>
    <t>CLI-01830</t>
  </si>
  <si>
    <t>CLI-01832</t>
  </si>
  <si>
    <t>CLI-01835</t>
  </si>
  <si>
    <t>CLI-01836</t>
  </si>
  <si>
    <t>CLI-01837</t>
  </si>
  <si>
    <t>CLI-01839</t>
  </si>
  <si>
    <t>CLI-01843</t>
  </si>
  <si>
    <t>CLI-01844</t>
  </si>
  <si>
    <t>CLI-01845</t>
  </si>
  <si>
    <t>CLI-01846</t>
  </si>
  <si>
    <t>CLI-01847</t>
  </si>
  <si>
    <t>CLI-01848</t>
  </si>
  <si>
    <t>CLI-01850</t>
  </si>
  <si>
    <t>CLI-01851</t>
  </si>
  <si>
    <t>CLI-01852</t>
  </si>
  <si>
    <t>CLI-01854</t>
  </si>
  <si>
    <t>CLI-01855</t>
  </si>
  <si>
    <t>CLI-01858</t>
  </si>
  <si>
    <t>CLI-01860</t>
  </si>
  <si>
    <t>CLI-01861</t>
  </si>
  <si>
    <t>CLI-01868</t>
  </si>
  <si>
    <t>CLI-01871</t>
  </si>
  <si>
    <t>CLI-01873</t>
  </si>
  <si>
    <t>CLI-01876</t>
  </si>
  <si>
    <t>CLI-01877</t>
  </si>
  <si>
    <t>CLI-01880</t>
  </si>
  <si>
    <t>CLI-01885</t>
  </si>
  <si>
    <t>CLI-01888</t>
  </si>
  <si>
    <t>CLI-01890</t>
  </si>
  <si>
    <t>CLI-01891</t>
  </si>
  <si>
    <t>CLI-01893</t>
  </si>
  <si>
    <t>CLI-01906</t>
  </si>
  <si>
    <t>CLI-01908</t>
  </si>
  <si>
    <t>CLI-01911</t>
  </si>
  <si>
    <t>CLI-01916</t>
  </si>
  <si>
    <t>CLI-01917</t>
  </si>
  <si>
    <t>CLI-01920</t>
  </si>
  <si>
    <t>CLI-01923</t>
  </si>
  <si>
    <t>CLI-01926</t>
  </si>
  <si>
    <t>CLI-01927</t>
  </si>
  <si>
    <t>CLI-01929</t>
  </si>
  <si>
    <t>CLI-01931</t>
  </si>
  <si>
    <t>CLI-01932</t>
  </si>
  <si>
    <t>CLI-01933</t>
  </si>
  <si>
    <t>CLI-01938</t>
  </si>
  <si>
    <t>CLI-01940</t>
  </si>
  <si>
    <t>CLI-01949</t>
  </si>
  <si>
    <t>CLI-01950</t>
  </si>
  <si>
    <t>CLI-01957</t>
  </si>
  <si>
    <t>CLI-01959</t>
  </si>
  <si>
    <t>CLI-01960</t>
  </si>
  <si>
    <t>CLI-01964</t>
  </si>
  <si>
    <t>CLI-01966</t>
  </si>
  <si>
    <t>CLI-01967</t>
  </si>
  <si>
    <t>CLI-01969</t>
  </si>
  <si>
    <t>CLI-01970</t>
  </si>
  <si>
    <t>CLI-01971</t>
  </si>
  <si>
    <t>CLI-01972</t>
  </si>
  <si>
    <t>CLI-01973</t>
  </si>
  <si>
    <t>CLI-01974</t>
  </si>
  <si>
    <t>CLI-01975</t>
  </si>
  <si>
    <t>CLI-01977</t>
  </si>
  <si>
    <t>CLI-01979</t>
  </si>
  <si>
    <t>CLI-01981</t>
  </si>
  <si>
    <t>CLI-01982</t>
  </si>
  <si>
    <t>CLI-01986</t>
  </si>
  <si>
    <t>CLI-01988</t>
  </si>
  <si>
    <t>CLI-01990</t>
  </si>
  <si>
    <t>CLI-01992</t>
  </si>
  <si>
    <t>CLI-01995</t>
  </si>
  <si>
    <t>CLI-01998</t>
  </si>
  <si>
    <t>CLI-01999</t>
  </si>
  <si>
    <t>Remise Client</t>
  </si>
  <si>
    <t>Type Client</t>
  </si>
  <si>
    <t xml:space="preserve">Perte financiere </t>
  </si>
  <si>
    <t>Durée_Panne_Heure</t>
  </si>
  <si>
    <t>Étiquettes de lignes</t>
  </si>
  <si>
    <t>Non trouvé</t>
  </si>
  <si>
    <t>Total général</t>
  </si>
  <si>
    <t>Nombre de Date_Heure_Panne</t>
  </si>
  <si>
    <t>Étiquettes de colonnes</t>
  </si>
  <si>
    <t>3G</t>
  </si>
  <si>
    <t>4G</t>
  </si>
  <si>
    <t>5G</t>
  </si>
  <si>
    <t>ID</t>
  </si>
  <si>
    <t>Nombre de ID_Client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</si>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</sst>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"/>
    <numFmt numFmtId="165" formatCode="_-[$$-409]* #,##0.00_ ;_-[$$-409]* \-#,##0.00\ ;_-[$$-409]* &quot;-&quot;??_ ;_-@_ "/>
    <numFmt numFmtId="166" formatCode="[h]:mm"/>
    <numFmt numFmtId="167" formatCode="0.0"/>
  </numFmts>
  <fonts count="7" x14ac:knownFonts="1">
    <font>
      <sz val="11"/>
      <color theme="1"/>
      <name val="Aptos Narrow"/>
      <family val="2"/>
      <charset val="128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28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charset val="128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9" fontId="1" fillId="2" borderId="0" xfId="1" applyFont="1" applyFill="1"/>
    <xf numFmtId="9" fontId="0" fillId="0" borderId="0" xfId="1" applyFont="1"/>
    <xf numFmtId="165" fontId="1" fillId="2" borderId="0" xfId="0" applyNumberFormat="1" applyFont="1" applyFill="1"/>
    <xf numFmtId="165" fontId="0" fillId="0" borderId="0" xfId="0" applyNumberFormat="1"/>
    <xf numFmtId="165" fontId="1" fillId="2" borderId="0" xfId="1" applyNumberFormat="1" applyFont="1" applyFill="1"/>
    <xf numFmtId="165" fontId="0" fillId="0" borderId="0" xfId="1" applyNumberFormat="1" applyFont="1"/>
    <xf numFmtId="166" fontId="1" fillId="2" borderId="0" xfId="0" applyNumberFormat="1" applyFont="1" applyFill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6" fillId="0" borderId="0" xfId="0" applyFont="1"/>
    <xf numFmtId="0" fontId="5" fillId="4" borderId="0" xfId="0" applyFont="1" applyFill="1" applyAlignment="1">
      <alignment horizontal="left"/>
    </xf>
    <xf numFmtId="167" fontId="5" fillId="4" borderId="0" xfId="0" applyNumberFormat="1" applyFont="1" applyFill="1"/>
  </cellXfs>
  <cellStyles count="2">
    <cellStyle name="Normal" xfId="0" builtinId="0"/>
    <cellStyle name="Pourcentage" xfId="1" builtinId="5"/>
  </cellStyles>
  <dxfs count="29"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ont>
        <color theme="1"/>
      </font>
    </dxf>
    <dxf>
      <font>
        <color theme="1"/>
      </font>
    </dxf>
    <dxf>
      <font>
        <sz val="14"/>
      </font>
    </dxf>
    <dxf>
      <font>
        <sz val="14"/>
      </font>
    </dxf>
    <dxf>
      <font>
        <b val="0"/>
      </font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yyyy/mm/dd\ h:mm"/>
    </dxf>
    <dxf>
      <numFmt numFmtId="168" formatCode="yyyy/mm/dd\ h:mm"/>
    </dxf>
    <dxf>
      <numFmt numFmtId="166" formatCode="[h]:mm"/>
    </dxf>
    <dxf>
      <numFmt numFmtId="164" formatCode="dd/mm/yyyy\ h:mm"/>
    </dxf>
    <dxf>
      <numFmt numFmtId="0" formatCode="General"/>
    </dxf>
    <dxf>
      <numFmt numFmtId="168" formatCode="yyyy/mm/dd\ h:mm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28"/>
        <scheme val="minor"/>
      </font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14893</xdr:colOff>
      <xdr:row>44</xdr:row>
      <xdr:rowOff>57119</xdr:rowOff>
    </xdr:from>
    <xdr:to>
      <xdr:col>3</xdr:col>
      <xdr:colOff>93963</xdr:colOff>
      <xdr:row>46</xdr:row>
      <xdr:rowOff>100662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F59E90-906A-9DDD-B108-81153209CA44}"/>
            </a:ext>
          </a:extLst>
        </xdr:cNvPr>
        <xdr:cNvSpPr/>
      </xdr:nvSpPr>
      <xdr:spPr>
        <a:xfrm>
          <a:off x="1504202" y="7491703"/>
          <a:ext cx="2961991" cy="378488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Moyenne du nombre d'abonnés impactés</a:t>
          </a:r>
          <a:r>
            <a:rPr lang="fr-F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fr-FR" sz="1100"/>
        </a:p>
      </xdr:txBody>
    </xdr:sp>
    <xdr:clientData/>
  </xdr:twoCellAnchor>
  <xdr:twoCellAnchor>
    <xdr:from>
      <xdr:col>0</xdr:col>
      <xdr:colOff>43543</xdr:colOff>
      <xdr:row>7</xdr:row>
      <xdr:rowOff>141515</xdr:rowOff>
    </xdr:from>
    <xdr:to>
      <xdr:col>3</xdr:col>
      <xdr:colOff>228601</xdr:colOff>
      <xdr:row>10</xdr:row>
      <xdr:rowOff>92529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44D60A0-444E-5D2D-ACF1-7EE0611B8928}"/>
            </a:ext>
          </a:extLst>
        </xdr:cNvPr>
        <xdr:cNvSpPr/>
      </xdr:nvSpPr>
      <xdr:spPr>
        <a:xfrm>
          <a:off x="43543" y="1322615"/>
          <a:ext cx="4245429" cy="457200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Somme totale des heures d'indisponibilité par Région</a:t>
          </a:r>
          <a:r>
            <a:rPr lang="fr-FR" sz="1100" b="1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&amp; </a:t>
          </a:r>
          <a:r>
            <a:rPr lang="fr-F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Sous-catégorisation par technologie</a:t>
          </a:r>
          <a:r>
            <a:rPr lang="fr-FR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r-FR" sz="1100" b="1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1</xdr:row>
      <xdr:rowOff>70757</xdr:rowOff>
    </xdr:from>
    <xdr:to>
      <xdr:col>9</xdr:col>
      <xdr:colOff>27214</xdr:colOff>
      <xdr:row>4</xdr:row>
      <xdr:rowOff>87086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6D03E90-4466-8470-D0CD-9FFF2436A667}"/>
            </a:ext>
          </a:extLst>
        </xdr:cNvPr>
        <xdr:cNvSpPr/>
      </xdr:nvSpPr>
      <xdr:spPr>
        <a:xfrm>
          <a:off x="4060371" y="239486"/>
          <a:ext cx="4419600" cy="522514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fr-FR" sz="16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Synthèse Macroscopique</a:t>
          </a:r>
          <a:endParaRPr lang="fr-FR" sz="1400" b="0" i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fr-F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FICHIER%20FINAL.xlsx" TargetMode="External"/><Relationship Id="rId2" Type="http://schemas.openxmlformats.org/officeDocument/2006/relationships/externalLinkPath" Target="file:///C:\Users\ThinkPad\Documents\FICHIER%20FINAL.xlsx" TargetMode="External"/><Relationship Id="rId1" Type="http://schemas.openxmlformats.org/officeDocument/2006/relationships/externalLinkPath" Target="/Users/ThinkPad/Documents/FICHIER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IENT_CHURN_FINAL"/>
      <sheetName val="LOGS VS REGISTRE_FINAL"/>
      <sheetName val="Logs_reseau_combine"/>
      <sheetName val="Registre_Maintenance_combine "/>
      <sheetName val="TCD"/>
    </sheetNames>
    <sheetDataSet>
      <sheetData sheetId="0"/>
      <sheetData sheetId="1"/>
      <sheetData sheetId="2"/>
      <sheetData sheetId="3">
        <row r="1">
          <cell r="A1" t="str">
            <v>ID_Antenne</v>
          </cell>
          <cell r="B1" t="str">
            <v>Province_RDC</v>
          </cell>
          <cell r="C1" t="str">
            <v>Latitude</v>
          </cell>
          <cell r="D1" t="str">
            <v>Longitude</v>
          </cell>
          <cell r="E1" t="str">
            <v>Technologie</v>
          </cell>
          <cell r="F1" t="str">
            <v>Equipementier</v>
          </cell>
        </row>
        <row r="2">
          <cell r="A2" t="str">
            <v>ANT-0001</v>
          </cell>
          <cell r="B2" t="str">
            <v>Nord-Ubangi</v>
          </cell>
          <cell r="C2">
            <v>-8.1437910000000002</v>
          </cell>
          <cell r="D2">
            <v>28.946161</v>
          </cell>
          <cell r="E2" t="str">
            <v>4G</v>
          </cell>
          <cell r="F2" t="str">
            <v>ZTE</v>
          </cell>
        </row>
        <row r="3">
          <cell r="A3" t="str">
            <v>ANT-0002</v>
          </cell>
          <cell r="B3" t="str">
            <v>Mai-Ndombe</v>
          </cell>
          <cell r="C3">
            <v>-10.442425</v>
          </cell>
          <cell r="D3">
            <v>23.243632000000002</v>
          </cell>
          <cell r="E3" t="str">
            <v>4G</v>
          </cell>
          <cell r="F3" t="str">
            <v>Nokia</v>
          </cell>
        </row>
        <row r="4">
          <cell r="A4" t="str">
            <v>ANT-0005</v>
          </cell>
          <cell r="B4" t="str">
            <v>Equateur</v>
          </cell>
          <cell r="C4">
            <v>-3.544581</v>
          </cell>
          <cell r="D4">
            <v>14.776605</v>
          </cell>
          <cell r="E4" t="str">
            <v>4G</v>
          </cell>
          <cell r="F4" t="str">
            <v>Nokia</v>
          </cell>
        </row>
        <row r="5">
          <cell r="A5" t="str">
            <v>ANT-0006</v>
          </cell>
          <cell r="B5" t="str">
            <v>Bas-Uele</v>
          </cell>
          <cell r="C5">
            <v>-2.8532869999999999</v>
          </cell>
          <cell r="D5">
            <v>22.117896000000002</v>
          </cell>
          <cell r="E5" t="str">
            <v>5G</v>
          </cell>
          <cell r="F5" t="str">
            <v>Huawei</v>
          </cell>
        </row>
        <row r="6">
          <cell r="A6" t="str">
            <v>ANT-0007</v>
          </cell>
          <cell r="B6" t="str">
            <v>Tshopo</v>
          </cell>
          <cell r="C6">
            <v>4.7777349999999998</v>
          </cell>
          <cell r="D6">
            <v>16.392204</v>
          </cell>
          <cell r="E6" t="str">
            <v>5G</v>
          </cell>
          <cell r="F6" t="str">
            <v>ZTE</v>
          </cell>
        </row>
        <row r="7">
          <cell r="A7" t="str">
            <v>ANT-0008</v>
          </cell>
          <cell r="B7" t="str">
            <v>Haut-Lomami</v>
          </cell>
          <cell r="C7">
            <v>-11.89448</v>
          </cell>
          <cell r="D7">
            <v>19.216214999999998</v>
          </cell>
          <cell r="E7" t="str">
            <v>3G</v>
          </cell>
          <cell r="F7" t="str">
            <v>ZTE</v>
          </cell>
        </row>
        <row r="8">
          <cell r="A8" t="str">
            <v>ANT-0010</v>
          </cell>
          <cell r="B8" t="str">
            <v>Haut-Katanga</v>
          </cell>
          <cell r="C8">
            <v>4.4712560000000003</v>
          </cell>
          <cell r="D8">
            <v>27.107028</v>
          </cell>
          <cell r="E8" t="str">
            <v>3G</v>
          </cell>
          <cell r="F8" t="str">
            <v>Ericsson</v>
          </cell>
        </row>
        <row r="9">
          <cell r="A9" t="str">
            <v>ANT-0011</v>
          </cell>
          <cell r="B9" t="str">
            <v>Mai-Ndombe</v>
          </cell>
          <cell r="C9">
            <v>-1.607639</v>
          </cell>
          <cell r="D9">
            <v>17.003636</v>
          </cell>
          <cell r="E9" t="str">
            <v>4G</v>
          </cell>
          <cell r="F9" t="str">
            <v>Ericsson</v>
          </cell>
        </row>
        <row r="10">
          <cell r="A10" t="str">
            <v>ANT-0016</v>
          </cell>
          <cell r="B10" t="str">
            <v>Kongo-Central</v>
          </cell>
          <cell r="C10">
            <v>2.9836019999999999</v>
          </cell>
          <cell r="D10">
            <v>21.893065</v>
          </cell>
          <cell r="E10" t="str">
            <v>5G</v>
          </cell>
          <cell r="F10" t="str">
            <v>Nokia</v>
          </cell>
        </row>
        <row r="11">
          <cell r="A11" t="str">
            <v>ANT-0017</v>
          </cell>
          <cell r="B11" t="str">
            <v>Sankuru</v>
          </cell>
          <cell r="C11">
            <v>-3.419035</v>
          </cell>
          <cell r="D11">
            <v>29.018315999999999</v>
          </cell>
          <cell r="E11" t="str">
            <v>5G</v>
          </cell>
          <cell r="F11" t="str">
            <v>Ericsson</v>
          </cell>
        </row>
        <row r="12">
          <cell r="A12" t="str">
            <v>ANT-0020</v>
          </cell>
          <cell r="B12" t="str">
            <v>Kasai</v>
          </cell>
          <cell r="C12">
            <v>-10.059846</v>
          </cell>
          <cell r="D12">
            <v>14.375757999999999</v>
          </cell>
          <cell r="E12" t="str">
            <v>4G</v>
          </cell>
          <cell r="F12" t="str">
            <v>Huawei</v>
          </cell>
        </row>
        <row r="13">
          <cell r="A13" t="str">
            <v>ANT-0023</v>
          </cell>
          <cell r="B13" t="str">
            <v>Haut-Lomami</v>
          </cell>
          <cell r="C13">
            <v>-9.7801860000000005</v>
          </cell>
          <cell r="D13">
            <v>16.649550000000001</v>
          </cell>
          <cell r="E13" t="str">
            <v>5G</v>
          </cell>
          <cell r="F13" t="str">
            <v>Ericsson</v>
          </cell>
        </row>
        <row r="14">
          <cell r="A14" t="str">
            <v>ANT-0029</v>
          </cell>
          <cell r="B14" t="str">
            <v>Kinshasa</v>
          </cell>
          <cell r="C14">
            <v>-10.227569000000001</v>
          </cell>
          <cell r="D14">
            <v>18.887930999999998</v>
          </cell>
          <cell r="E14" t="str">
            <v>3G</v>
          </cell>
          <cell r="F14" t="str">
            <v>ZTE</v>
          </cell>
        </row>
        <row r="15">
          <cell r="A15" t="str">
            <v>ANT-0032</v>
          </cell>
          <cell r="B15" t="str">
            <v>Lomami</v>
          </cell>
          <cell r="C15">
            <v>-11.266565999999999</v>
          </cell>
          <cell r="D15">
            <v>26.245055000000001</v>
          </cell>
          <cell r="E15" t="str">
            <v>3G</v>
          </cell>
          <cell r="F15" t="str">
            <v>Ericsson</v>
          </cell>
        </row>
        <row r="16">
          <cell r="A16" t="str">
            <v>ANT-0035</v>
          </cell>
          <cell r="B16" t="str">
            <v>Haut-Lomami</v>
          </cell>
          <cell r="C16">
            <v>-6.3324319999999998</v>
          </cell>
          <cell r="D16">
            <v>24.887858000000001</v>
          </cell>
          <cell r="E16" t="str">
            <v>4G</v>
          </cell>
          <cell r="F16" t="str">
            <v>ZTE</v>
          </cell>
        </row>
        <row r="17">
          <cell r="A17" t="str">
            <v>ANT-0037</v>
          </cell>
          <cell r="B17" t="str">
            <v>Ituri</v>
          </cell>
          <cell r="C17">
            <v>-7.0076900000000002</v>
          </cell>
          <cell r="D17">
            <v>27.367121999999998</v>
          </cell>
          <cell r="E17" t="str">
            <v>3G</v>
          </cell>
          <cell r="F17" t="str">
            <v>Nokia</v>
          </cell>
        </row>
        <row r="18">
          <cell r="A18" t="str">
            <v>ANT-0038</v>
          </cell>
          <cell r="B18" t="str">
            <v>Ituri</v>
          </cell>
          <cell r="C18">
            <v>-0.767455</v>
          </cell>
          <cell r="D18">
            <v>30.924261000000001</v>
          </cell>
          <cell r="E18" t="str">
            <v>3G</v>
          </cell>
          <cell r="F18" t="str">
            <v>Huawei</v>
          </cell>
        </row>
        <row r="19">
          <cell r="A19" t="str">
            <v>ANT-0039</v>
          </cell>
          <cell r="B19" t="str">
            <v>Mongala</v>
          </cell>
          <cell r="C19">
            <v>4.0988100000000003</v>
          </cell>
          <cell r="D19">
            <v>29.843810999999999</v>
          </cell>
          <cell r="E19" t="str">
            <v>3G</v>
          </cell>
          <cell r="F19" t="str">
            <v>Huawei</v>
          </cell>
        </row>
        <row r="20">
          <cell r="A20" t="str">
            <v>ANT-0040</v>
          </cell>
          <cell r="B20" t="str">
            <v>Tshopo</v>
          </cell>
          <cell r="C20">
            <v>1.472051</v>
          </cell>
          <cell r="D20">
            <v>17.36289</v>
          </cell>
          <cell r="E20" t="str">
            <v>4G</v>
          </cell>
          <cell r="F20" t="str">
            <v>Huawei</v>
          </cell>
        </row>
        <row r="21">
          <cell r="A21" t="str">
            <v>ANT-0041</v>
          </cell>
          <cell r="B21" t="str">
            <v>Haut-Katanga</v>
          </cell>
          <cell r="C21">
            <v>0.16841400000000001</v>
          </cell>
          <cell r="D21">
            <v>30.029876999999999</v>
          </cell>
          <cell r="E21" t="str">
            <v>5G</v>
          </cell>
          <cell r="F21" t="str">
            <v>Huawei</v>
          </cell>
        </row>
        <row r="22">
          <cell r="A22" t="str">
            <v>ANT-0042</v>
          </cell>
          <cell r="B22" t="str">
            <v>Kasai-Central</v>
          </cell>
          <cell r="C22">
            <v>-10.735106</v>
          </cell>
          <cell r="D22">
            <v>27.868673999999999</v>
          </cell>
          <cell r="E22" t="str">
            <v>3G</v>
          </cell>
          <cell r="F22" t="str">
            <v>Ericsson</v>
          </cell>
        </row>
        <row r="23">
          <cell r="A23" t="str">
            <v>ANT-0044</v>
          </cell>
          <cell r="B23" t="str">
            <v>Nord-Kivu</v>
          </cell>
          <cell r="C23">
            <v>-6.5529849999999996</v>
          </cell>
          <cell r="D23">
            <v>21.990606</v>
          </cell>
          <cell r="E23" t="str">
            <v>3G</v>
          </cell>
          <cell r="F23" t="str">
            <v>Huawei</v>
          </cell>
        </row>
        <row r="24">
          <cell r="A24" t="str">
            <v>ANT-0045</v>
          </cell>
          <cell r="B24" t="str">
            <v>Nord-Kivu</v>
          </cell>
          <cell r="C24">
            <v>-0.17258100000000001</v>
          </cell>
          <cell r="D24">
            <v>23.775555000000001</v>
          </cell>
          <cell r="E24" t="str">
            <v>5G</v>
          </cell>
          <cell r="F24" t="str">
            <v>Nokia</v>
          </cell>
        </row>
        <row r="25">
          <cell r="A25" t="str">
            <v>ANT-0048</v>
          </cell>
          <cell r="B25" t="str">
            <v>Equateur</v>
          </cell>
          <cell r="C25">
            <v>-6.7420359999999997</v>
          </cell>
          <cell r="D25">
            <v>28.905578999999999</v>
          </cell>
          <cell r="E25" t="str">
            <v>3G</v>
          </cell>
          <cell r="F25" t="str">
            <v>Huawei</v>
          </cell>
        </row>
        <row r="26">
          <cell r="A26" t="str">
            <v>ANT-0054</v>
          </cell>
          <cell r="B26" t="str">
            <v>Mongala</v>
          </cell>
          <cell r="C26">
            <v>-1.231033</v>
          </cell>
          <cell r="D26">
            <v>28.851388</v>
          </cell>
          <cell r="E26" t="str">
            <v>3G</v>
          </cell>
          <cell r="F26" t="str">
            <v>Ericsson</v>
          </cell>
        </row>
        <row r="27">
          <cell r="A27" t="str">
            <v>ANT-0056</v>
          </cell>
          <cell r="B27" t="str">
            <v>Mai-Ndombe</v>
          </cell>
          <cell r="C27">
            <v>-9.3652280000000001</v>
          </cell>
          <cell r="D27">
            <v>18.674116000000001</v>
          </cell>
          <cell r="E27" t="str">
            <v>4G</v>
          </cell>
          <cell r="F27" t="str">
            <v>Huawei</v>
          </cell>
        </row>
        <row r="28">
          <cell r="A28" t="str">
            <v>ANT-0058</v>
          </cell>
          <cell r="B28" t="str">
            <v>Tshopo</v>
          </cell>
          <cell r="C28">
            <v>-6.4670189999999996</v>
          </cell>
          <cell r="D28">
            <v>29.487309</v>
          </cell>
          <cell r="E28" t="str">
            <v>4G</v>
          </cell>
          <cell r="F28" t="str">
            <v>ZTE</v>
          </cell>
        </row>
        <row r="29">
          <cell r="A29" t="str">
            <v>ANT-0059</v>
          </cell>
          <cell r="B29" t="str">
            <v>Ituri</v>
          </cell>
          <cell r="C29">
            <v>-0.34051900000000002</v>
          </cell>
          <cell r="D29">
            <v>17.079799000000001</v>
          </cell>
          <cell r="E29" t="str">
            <v>5G</v>
          </cell>
          <cell r="F29" t="str">
            <v>Ericsson</v>
          </cell>
        </row>
        <row r="30">
          <cell r="A30" t="str">
            <v>ANT-0065</v>
          </cell>
          <cell r="B30" t="str">
            <v>Tshopo</v>
          </cell>
          <cell r="C30">
            <v>1.499457</v>
          </cell>
          <cell r="D30">
            <v>13.876317999999999</v>
          </cell>
          <cell r="E30" t="str">
            <v>5G</v>
          </cell>
          <cell r="F30" t="str">
            <v>Nokia</v>
          </cell>
        </row>
        <row r="31">
          <cell r="A31" t="str">
            <v>ANT-0066</v>
          </cell>
          <cell r="B31" t="str">
            <v>Kasai-Oriental</v>
          </cell>
          <cell r="C31">
            <v>1.7832440000000001</v>
          </cell>
          <cell r="D31">
            <v>25.477405999999998</v>
          </cell>
          <cell r="E31" t="str">
            <v>5G</v>
          </cell>
          <cell r="F31" t="str">
            <v>Huawei</v>
          </cell>
        </row>
        <row r="32">
          <cell r="A32" t="str">
            <v>ANT-0070</v>
          </cell>
          <cell r="B32" t="str">
            <v>Sankuru</v>
          </cell>
          <cell r="C32">
            <v>-10.764815</v>
          </cell>
          <cell r="D32">
            <v>14.602039</v>
          </cell>
          <cell r="E32" t="str">
            <v>4G</v>
          </cell>
          <cell r="F32" t="str">
            <v>Nokia</v>
          </cell>
        </row>
        <row r="33">
          <cell r="A33" t="str">
            <v>ANT-0071</v>
          </cell>
          <cell r="B33" t="str">
            <v>Ituri</v>
          </cell>
          <cell r="C33">
            <v>-12.595355</v>
          </cell>
          <cell r="D33">
            <v>17.897442000000002</v>
          </cell>
          <cell r="E33" t="str">
            <v>4G</v>
          </cell>
          <cell r="F33" t="str">
            <v>Huawei</v>
          </cell>
        </row>
        <row r="34">
          <cell r="A34" t="str">
            <v>ANT-0075</v>
          </cell>
          <cell r="B34" t="str">
            <v>Kasai-Central</v>
          </cell>
          <cell r="C34">
            <v>-8.0800809999999998</v>
          </cell>
          <cell r="D34">
            <v>30.147970999999998</v>
          </cell>
          <cell r="E34" t="str">
            <v>5G</v>
          </cell>
          <cell r="F34" t="str">
            <v>Huawei</v>
          </cell>
        </row>
        <row r="35">
          <cell r="A35" t="str">
            <v>ANT-0078</v>
          </cell>
          <cell r="B35" t="str">
            <v>Sud-Ubangi</v>
          </cell>
          <cell r="C35">
            <v>-12.141233</v>
          </cell>
          <cell r="D35">
            <v>15.179043999999999</v>
          </cell>
          <cell r="E35" t="str">
            <v>5G</v>
          </cell>
          <cell r="F35" t="str">
            <v>Ericsson</v>
          </cell>
        </row>
        <row r="36">
          <cell r="A36" t="str">
            <v>ANT-0079</v>
          </cell>
          <cell r="B36" t="str">
            <v>Maniema</v>
          </cell>
          <cell r="C36">
            <v>-8.4824669999999998</v>
          </cell>
          <cell r="D36">
            <v>21.897777999999999</v>
          </cell>
          <cell r="E36" t="str">
            <v>5G</v>
          </cell>
          <cell r="F36" t="str">
            <v>Ericsson</v>
          </cell>
        </row>
        <row r="37">
          <cell r="A37" t="str">
            <v>ANT-0080</v>
          </cell>
          <cell r="B37" t="str">
            <v>Ituri</v>
          </cell>
          <cell r="C37">
            <v>0.24202000000000001</v>
          </cell>
          <cell r="D37">
            <v>17.396256999999999</v>
          </cell>
          <cell r="E37" t="str">
            <v>4G</v>
          </cell>
          <cell r="F37" t="str">
            <v>Huawei</v>
          </cell>
        </row>
        <row r="38">
          <cell r="A38" t="str">
            <v>ANT-0081</v>
          </cell>
          <cell r="B38" t="str">
            <v>Tshuapa</v>
          </cell>
          <cell r="C38">
            <v>-10.577049000000001</v>
          </cell>
          <cell r="D38">
            <v>23.721854</v>
          </cell>
          <cell r="E38" t="str">
            <v>4G</v>
          </cell>
          <cell r="F38" t="str">
            <v>ZTE</v>
          </cell>
        </row>
        <row r="39">
          <cell r="A39" t="str">
            <v>ANT-0082</v>
          </cell>
          <cell r="B39" t="str">
            <v>Haut-Katanga</v>
          </cell>
          <cell r="C39">
            <v>-12.776386</v>
          </cell>
          <cell r="D39">
            <v>14.157596</v>
          </cell>
          <cell r="E39" t="str">
            <v>3G</v>
          </cell>
          <cell r="F39" t="str">
            <v>Nokia</v>
          </cell>
        </row>
        <row r="40">
          <cell r="A40" t="str">
            <v>ANT-0084</v>
          </cell>
          <cell r="B40" t="str">
            <v>Kwilu</v>
          </cell>
          <cell r="C40">
            <v>2.413557</v>
          </cell>
          <cell r="D40">
            <v>19.690681999999999</v>
          </cell>
          <cell r="E40" t="str">
            <v>4G</v>
          </cell>
          <cell r="F40" t="str">
            <v>Huawei</v>
          </cell>
        </row>
        <row r="41">
          <cell r="A41" t="str">
            <v>ANT-0086</v>
          </cell>
          <cell r="B41" t="str">
            <v>Sud-Kivu</v>
          </cell>
          <cell r="C41">
            <v>4.2904629999999999</v>
          </cell>
          <cell r="D41">
            <v>26.354195000000001</v>
          </cell>
          <cell r="E41" t="str">
            <v>3G</v>
          </cell>
          <cell r="F41" t="str">
            <v>Ericsson</v>
          </cell>
        </row>
        <row r="42">
          <cell r="A42" t="str">
            <v>ANT-0088</v>
          </cell>
          <cell r="B42" t="str">
            <v>Lualaba</v>
          </cell>
          <cell r="C42">
            <v>-9.7803979999999999</v>
          </cell>
          <cell r="D42">
            <v>17.686595000000001</v>
          </cell>
          <cell r="E42" t="str">
            <v>4G</v>
          </cell>
          <cell r="F42" t="str">
            <v>Ericsson</v>
          </cell>
        </row>
        <row r="43">
          <cell r="A43" t="str">
            <v xml:space="preserve">ANT-0089 </v>
          </cell>
          <cell r="B43" t="str">
            <v>Nord-Ubangi</v>
          </cell>
          <cell r="C43">
            <v>-3.2361680000000002</v>
          </cell>
          <cell r="D43">
            <v>13.523237999999999</v>
          </cell>
          <cell r="E43" t="str">
            <v>4G</v>
          </cell>
          <cell r="F43" t="str">
            <v>Huawei</v>
          </cell>
        </row>
        <row r="44">
          <cell r="A44" t="str">
            <v>ANT-0090</v>
          </cell>
          <cell r="B44" t="str">
            <v>Kasai-Central</v>
          </cell>
          <cell r="C44">
            <v>-7.3379339999999997</v>
          </cell>
          <cell r="D44">
            <v>28.404001999999998</v>
          </cell>
          <cell r="E44" t="str">
            <v>3G</v>
          </cell>
          <cell r="F44" t="str">
            <v>Nokia</v>
          </cell>
        </row>
        <row r="45">
          <cell r="A45" t="str">
            <v>ANT-0091</v>
          </cell>
          <cell r="B45" t="str">
            <v>Sankuru</v>
          </cell>
          <cell r="C45">
            <v>-4.7886769999999999</v>
          </cell>
          <cell r="D45">
            <v>23.600221999999999</v>
          </cell>
          <cell r="E45" t="str">
            <v>3G</v>
          </cell>
          <cell r="F45" t="str">
            <v>ZTE</v>
          </cell>
        </row>
        <row r="46">
          <cell r="A46" t="str">
            <v>ANT-0093</v>
          </cell>
          <cell r="B46" t="str">
            <v>Kongo-Central</v>
          </cell>
          <cell r="C46">
            <v>2.975352</v>
          </cell>
          <cell r="D46">
            <v>22.535886000000001</v>
          </cell>
          <cell r="E46" t="str">
            <v>4G</v>
          </cell>
          <cell r="F46" t="str">
            <v>Huawei</v>
          </cell>
        </row>
        <row r="47">
          <cell r="A47" t="str">
            <v>ANT-0094</v>
          </cell>
          <cell r="B47" t="str">
            <v>Maniema</v>
          </cell>
          <cell r="C47">
            <v>-10.650321</v>
          </cell>
          <cell r="D47">
            <v>15.917044000000001</v>
          </cell>
          <cell r="E47" t="str">
            <v>4G</v>
          </cell>
          <cell r="F47" t="str">
            <v>Nokia</v>
          </cell>
        </row>
        <row r="48">
          <cell r="A48" t="str">
            <v>ANT-0096</v>
          </cell>
          <cell r="B48" t="str">
            <v>Tshopo</v>
          </cell>
          <cell r="C48">
            <v>3.0603760000000002</v>
          </cell>
          <cell r="D48">
            <v>19.708034000000001</v>
          </cell>
          <cell r="E48" t="str">
            <v>3G</v>
          </cell>
          <cell r="F48" t="str">
            <v>ZTE</v>
          </cell>
        </row>
        <row r="49">
          <cell r="A49" t="str">
            <v>ANT-0099</v>
          </cell>
          <cell r="B49" t="str">
            <v>Kongo-Central</v>
          </cell>
          <cell r="C49">
            <v>-11.157245</v>
          </cell>
          <cell r="D49">
            <v>21.262627999999999</v>
          </cell>
          <cell r="E49" t="str">
            <v>5G</v>
          </cell>
          <cell r="F49" t="str">
            <v>ZTE</v>
          </cell>
        </row>
        <row r="50">
          <cell r="A50" t="str">
            <v>ANT-0101</v>
          </cell>
          <cell r="B50" t="str">
            <v>Haut-Uele</v>
          </cell>
          <cell r="C50">
            <v>1.0134879999999999</v>
          </cell>
          <cell r="D50">
            <v>20.363515</v>
          </cell>
          <cell r="E50" t="str">
            <v>4G</v>
          </cell>
          <cell r="F50" t="str">
            <v>Nokia</v>
          </cell>
        </row>
        <row r="51">
          <cell r="A51" t="str">
            <v>ANT-0103</v>
          </cell>
          <cell r="B51" t="str">
            <v>Equateur</v>
          </cell>
          <cell r="C51">
            <v>-0.79459900000000006</v>
          </cell>
          <cell r="D51">
            <v>26.775570999999999</v>
          </cell>
          <cell r="E51" t="str">
            <v>5G</v>
          </cell>
          <cell r="F51" t="str">
            <v>Huawei</v>
          </cell>
        </row>
        <row r="52">
          <cell r="A52" t="str">
            <v>ANT-0106</v>
          </cell>
          <cell r="B52" t="str">
            <v>Bas-Uele</v>
          </cell>
          <cell r="C52">
            <v>-2.2876210000000001</v>
          </cell>
          <cell r="D52">
            <v>27.582545</v>
          </cell>
          <cell r="E52" t="str">
            <v>4G</v>
          </cell>
          <cell r="F52" t="str">
            <v>Huawei</v>
          </cell>
        </row>
        <row r="53">
          <cell r="A53" t="str">
            <v>ANT-0110</v>
          </cell>
          <cell r="B53" t="str">
            <v>Tanganyika</v>
          </cell>
          <cell r="C53">
            <v>-7.9425049999999997</v>
          </cell>
          <cell r="D53">
            <v>24.111059000000001</v>
          </cell>
          <cell r="E53" t="str">
            <v>3G</v>
          </cell>
          <cell r="F53" t="str">
            <v>ZTE</v>
          </cell>
        </row>
        <row r="54">
          <cell r="A54" t="str">
            <v>ANT-0112</v>
          </cell>
          <cell r="B54" t="str">
            <v>Haut-Uele</v>
          </cell>
          <cell r="C54">
            <v>-7.8417870000000001</v>
          </cell>
          <cell r="D54">
            <v>14.730712</v>
          </cell>
          <cell r="E54" t="str">
            <v>5G</v>
          </cell>
          <cell r="F54" t="str">
            <v>Nokia</v>
          </cell>
        </row>
        <row r="55">
          <cell r="A55" t="str">
            <v>ANT-0117</v>
          </cell>
          <cell r="B55" t="str">
            <v>Maniema</v>
          </cell>
          <cell r="C55">
            <v>1.938083</v>
          </cell>
          <cell r="D55">
            <v>28.25281</v>
          </cell>
          <cell r="E55" t="str">
            <v>4G</v>
          </cell>
          <cell r="F55" t="str">
            <v>Nokia</v>
          </cell>
        </row>
        <row r="56">
          <cell r="A56" t="str">
            <v>ANT-0120</v>
          </cell>
          <cell r="B56" t="str">
            <v>Sud-Ubangi</v>
          </cell>
          <cell r="C56">
            <v>3.4676979999999999</v>
          </cell>
          <cell r="D56">
            <v>13.459707</v>
          </cell>
          <cell r="E56" t="str">
            <v>5G</v>
          </cell>
          <cell r="F56" t="str">
            <v>Huawei</v>
          </cell>
        </row>
        <row r="57">
          <cell r="A57" t="str">
            <v>ANT-0121</v>
          </cell>
          <cell r="B57" t="str">
            <v>Bas-Uele</v>
          </cell>
          <cell r="C57">
            <v>-7.3952039999999997</v>
          </cell>
          <cell r="D57">
            <v>21.651043999999999</v>
          </cell>
          <cell r="E57" t="str">
            <v>4G</v>
          </cell>
          <cell r="F57" t="str">
            <v>Huawei</v>
          </cell>
        </row>
        <row r="58">
          <cell r="A58" t="str">
            <v>ANT-0122</v>
          </cell>
          <cell r="B58" t="str">
            <v>Kasai-Central</v>
          </cell>
          <cell r="C58">
            <v>1.897178</v>
          </cell>
          <cell r="D58">
            <v>23.902604</v>
          </cell>
          <cell r="E58" t="str">
            <v>3G</v>
          </cell>
          <cell r="F58" t="str">
            <v>Nokia</v>
          </cell>
        </row>
        <row r="59">
          <cell r="A59" t="str">
            <v>ANT-0123</v>
          </cell>
          <cell r="B59" t="str">
            <v>Bas-Uele</v>
          </cell>
          <cell r="C59">
            <v>-1.6893210000000001</v>
          </cell>
          <cell r="D59">
            <v>30.446543999999999</v>
          </cell>
          <cell r="E59" t="str">
            <v>4G</v>
          </cell>
          <cell r="F59" t="str">
            <v>Huawei</v>
          </cell>
        </row>
        <row r="60">
          <cell r="A60" t="str">
            <v>ANT-0131</v>
          </cell>
          <cell r="B60" t="str">
            <v>Sud-Ubangi</v>
          </cell>
          <cell r="C60">
            <v>-9.3652239999999995</v>
          </cell>
          <cell r="D60">
            <v>22.593423999999999</v>
          </cell>
          <cell r="E60" t="str">
            <v>5G</v>
          </cell>
          <cell r="F60" t="str">
            <v>Nokia</v>
          </cell>
        </row>
        <row r="61">
          <cell r="A61" t="str">
            <v>ANT-0132</v>
          </cell>
          <cell r="B61" t="str">
            <v>Kwilu</v>
          </cell>
          <cell r="C61">
            <v>1.2691650000000001</v>
          </cell>
          <cell r="D61">
            <v>18.789956</v>
          </cell>
          <cell r="E61" t="str">
            <v>3G</v>
          </cell>
          <cell r="F61" t="str">
            <v>Nokia</v>
          </cell>
        </row>
        <row r="62">
          <cell r="A62" t="str">
            <v>ANT-0134</v>
          </cell>
          <cell r="B62" t="str">
            <v>Kwango</v>
          </cell>
          <cell r="C62">
            <v>-10.963041</v>
          </cell>
          <cell r="D62">
            <v>12.269857</v>
          </cell>
          <cell r="E62" t="str">
            <v>4G</v>
          </cell>
          <cell r="F62" t="str">
            <v>Huawei</v>
          </cell>
        </row>
        <row r="63">
          <cell r="A63" t="str">
            <v>ANT-0136</v>
          </cell>
          <cell r="B63" t="str">
            <v>Sud-Kivu</v>
          </cell>
          <cell r="C63">
            <v>-9.3900009999999998</v>
          </cell>
          <cell r="D63">
            <v>30.001517</v>
          </cell>
          <cell r="E63" t="str">
            <v>3G</v>
          </cell>
          <cell r="F63" t="str">
            <v>Nokia</v>
          </cell>
        </row>
        <row r="64">
          <cell r="A64" t="str">
            <v>ANT-0138</v>
          </cell>
          <cell r="B64" t="str">
            <v>Sud-Kivu</v>
          </cell>
          <cell r="C64">
            <v>-3.6233270000000002</v>
          </cell>
          <cell r="D64">
            <v>25.915645999999999</v>
          </cell>
          <cell r="E64" t="str">
            <v>3G</v>
          </cell>
          <cell r="F64" t="str">
            <v>Huawei</v>
          </cell>
        </row>
        <row r="65">
          <cell r="A65" t="str">
            <v>ANT-0142</v>
          </cell>
          <cell r="B65" t="str">
            <v>Tanganyika</v>
          </cell>
          <cell r="C65">
            <v>-12.229338</v>
          </cell>
          <cell r="D65">
            <v>29.587834999999998</v>
          </cell>
          <cell r="E65" t="str">
            <v>4G</v>
          </cell>
          <cell r="F65" t="str">
            <v>Nokia</v>
          </cell>
        </row>
        <row r="66">
          <cell r="A66" t="str">
            <v>ANT-0143</v>
          </cell>
          <cell r="B66" t="str">
            <v>Maniema</v>
          </cell>
          <cell r="C66">
            <v>4.8228650000000002</v>
          </cell>
          <cell r="D66">
            <v>30.555627000000001</v>
          </cell>
          <cell r="E66" t="str">
            <v>4G</v>
          </cell>
          <cell r="F66" t="str">
            <v>Huawei</v>
          </cell>
        </row>
        <row r="67">
          <cell r="A67" t="str">
            <v>ANT-0144</v>
          </cell>
          <cell r="B67" t="str">
            <v>Tanganyika</v>
          </cell>
          <cell r="C67">
            <v>-12.824638999999999</v>
          </cell>
          <cell r="D67">
            <v>24.407249</v>
          </cell>
          <cell r="E67" t="str">
            <v>5G</v>
          </cell>
          <cell r="F67" t="str">
            <v>Huawei</v>
          </cell>
        </row>
        <row r="68">
          <cell r="A68" t="str">
            <v>ANT-0147</v>
          </cell>
          <cell r="B68" t="str">
            <v>Kasai</v>
          </cell>
          <cell r="C68">
            <v>4.8689660000000003</v>
          </cell>
          <cell r="D68">
            <v>25.112373000000002</v>
          </cell>
          <cell r="E68" t="str">
            <v>3G</v>
          </cell>
          <cell r="F68" t="str">
            <v>Huawei</v>
          </cell>
        </row>
        <row r="69">
          <cell r="A69" t="str">
            <v>ANT-0149</v>
          </cell>
          <cell r="B69" t="str">
            <v>Kwango</v>
          </cell>
          <cell r="C69">
            <v>-9.8995180000000005</v>
          </cell>
          <cell r="D69">
            <v>24.156687999999999</v>
          </cell>
          <cell r="E69" t="str">
            <v>4G</v>
          </cell>
          <cell r="F69" t="str">
            <v>Ericsson</v>
          </cell>
        </row>
        <row r="70">
          <cell r="A70" t="str">
            <v>ANT-0150</v>
          </cell>
          <cell r="B70" t="str">
            <v>Lualaba</v>
          </cell>
          <cell r="C70">
            <v>-1.7476179999999999</v>
          </cell>
          <cell r="D70">
            <v>18.129401000000001</v>
          </cell>
          <cell r="E70" t="str">
            <v>4G</v>
          </cell>
          <cell r="F70" t="str">
            <v>Ericsson</v>
          </cell>
        </row>
        <row r="71">
          <cell r="A71" t="str">
            <v>ANT-0151</v>
          </cell>
          <cell r="B71" t="str">
            <v>Kongo-Central</v>
          </cell>
          <cell r="C71">
            <v>-4.9108280000000004</v>
          </cell>
          <cell r="D71">
            <v>17.670389</v>
          </cell>
          <cell r="E71" t="str">
            <v>5G</v>
          </cell>
          <cell r="F71" t="str">
            <v>ZTE</v>
          </cell>
        </row>
        <row r="72">
          <cell r="A72" t="str">
            <v>ANT-0153</v>
          </cell>
          <cell r="B72" t="str">
            <v>Nord-Ubangi</v>
          </cell>
          <cell r="C72">
            <v>0.94539899999999999</v>
          </cell>
          <cell r="D72">
            <v>14.401821999999999</v>
          </cell>
          <cell r="E72" t="str">
            <v>5G</v>
          </cell>
          <cell r="F72" t="str">
            <v>Nokia</v>
          </cell>
        </row>
        <row r="73">
          <cell r="A73" t="str">
            <v>ANT-0154</v>
          </cell>
          <cell r="B73" t="str">
            <v>Kongo-Central</v>
          </cell>
          <cell r="C73">
            <v>-10.977309</v>
          </cell>
          <cell r="D73">
            <v>12.408281000000001</v>
          </cell>
          <cell r="E73" t="str">
            <v>5G</v>
          </cell>
          <cell r="F73" t="str">
            <v>ZTE</v>
          </cell>
        </row>
        <row r="74">
          <cell r="A74" t="str">
            <v>ANT-0159</v>
          </cell>
          <cell r="B74" t="str">
            <v>Sud-Kivu</v>
          </cell>
          <cell r="C74">
            <v>2.4414509999999998</v>
          </cell>
          <cell r="D74">
            <v>30.167489</v>
          </cell>
          <cell r="E74" t="str">
            <v>5G</v>
          </cell>
          <cell r="F74" t="str">
            <v>Nokia</v>
          </cell>
        </row>
        <row r="75">
          <cell r="A75" t="str">
            <v>ANT-0160</v>
          </cell>
          <cell r="C75">
            <v>-8.4875830000000008</v>
          </cell>
          <cell r="D75">
            <v>19.436312000000001</v>
          </cell>
          <cell r="E75" t="str">
            <v>5G</v>
          </cell>
          <cell r="F75" t="str">
            <v>Huawei</v>
          </cell>
        </row>
        <row r="76">
          <cell r="A76" t="str">
            <v>ANT-0162</v>
          </cell>
          <cell r="B76" t="str">
            <v>Kasai-Oriental</v>
          </cell>
          <cell r="C76">
            <v>-1.648326</v>
          </cell>
          <cell r="D76">
            <v>25.528901999999999</v>
          </cell>
          <cell r="E76" t="str">
            <v>4G</v>
          </cell>
          <cell r="F76" t="str">
            <v>Huawei</v>
          </cell>
        </row>
        <row r="77">
          <cell r="A77" t="str">
            <v>ANT-0164</v>
          </cell>
          <cell r="B77" t="str">
            <v>Kinshasa</v>
          </cell>
          <cell r="C77">
            <v>-11.389362</v>
          </cell>
          <cell r="D77">
            <v>22.240174</v>
          </cell>
          <cell r="E77" t="str">
            <v>5G</v>
          </cell>
          <cell r="F77" t="str">
            <v>ZTE</v>
          </cell>
        </row>
        <row r="78">
          <cell r="A78" t="str">
            <v>ANT-0165</v>
          </cell>
          <cell r="B78" t="str">
            <v>Sud-Ubangi</v>
          </cell>
          <cell r="C78">
            <v>-0.54908599999999996</v>
          </cell>
          <cell r="D78">
            <v>14.816867</v>
          </cell>
          <cell r="E78" t="str">
            <v>5G</v>
          </cell>
          <cell r="F78" t="str">
            <v>ZTE</v>
          </cell>
        </row>
        <row r="79">
          <cell r="A79" t="str">
            <v>ANT-0166</v>
          </cell>
          <cell r="B79" t="str">
            <v>Sud-Ubangi</v>
          </cell>
          <cell r="C79">
            <v>-10.56448</v>
          </cell>
          <cell r="D79">
            <v>19.792876</v>
          </cell>
          <cell r="E79" t="str">
            <v>5G</v>
          </cell>
          <cell r="F79" t="str">
            <v>Ericsson</v>
          </cell>
        </row>
        <row r="80">
          <cell r="A80" t="str">
            <v>ANT-0170</v>
          </cell>
          <cell r="B80" t="str">
            <v>Bas-Uele</v>
          </cell>
          <cell r="C80">
            <v>-12.244119</v>
          </cell>
          <cell r="D80">
            <v>28.279755999999999</v>
          </cell>
          <cell r="E80" t="str">
            <v>5G</v>
          </cell>
          <cell r="F80" t="str">
            <v>ZTE</v>
          </cell>
        </row>
        <row r="81">
          <cell r="A81" t="str">
            <v>ANT-0171</v>
          </cell>
          <cell r="B81" t="str">
            <v>Kwilu</v>
          </cell>
          <cell r="C81">
            <v>-3.571288</v>
          </cell>
          <cell r="D81">
            <v>12.931596000000001</v>
          </cell>
          <cell r="E81" t="str">
            <v>4G</v>
          </cell>
          <cell r="F81" t="str">
            <v>Nokia</v>
          </cell>
        </row>
        <row r="82">
          <cell r="A82" t="str">
            <v>ANT-0172</v>
          </cell>
          <cell r="B82" t="str">
            <v>Lualaba</v>
          </cell>
          <cell r="C82">
            <v>2.266232</v>
          </cell>
          <cell r="D82">
            <v>29.532896000000001</v>
          </cell>
          <cell r="E82" t="str">
            <v>4G</v>
          </cell>
          <cell r="F82" t="str">
            <v>Ericsson</v>
          </cell>
        </row>
        <row r="83">
          <cell r="A83" t="str">
            <v>ANT-0174</v>
          </cell>
          <cell r="B83" t="str">
            <v>Maniema</v>
          </cell>
          <cell r="C83">
            <v>3.08182</v>
          </cell>
          <cell r="D83">
            <v>29.961940999999999</v>
          </cell>
          <cell r="E83" t="str">
            <v>4G</v>
          </cell>
          <cell r="F83" t="str">
            <v>Huawei</v>
          </cell>
        </row>
        <row r="84">
          <cell r="A84" t="str">
            <v>ANT-0175</v>
          </cell>
          <cell r="B84" t="str">
            <v>Maniema</v>
          </cell>
          <cell r="C84">
            <v>0.850665</v>
          </cell>
          <cell r="D84">
            <v>19.446418000000001</v>
          </cell>
          <cell r="E84" t="str">
            <v>4G</v>
          </cell>
          <cell r="F84" t="str">
            <v>Huawei</v>
          </cell>
        </row>
        <row r="85">
          <cell r="A85" t="str">
            <v>ANT-0178</v>
          </cell>
          <cell r="B85" t="str">
            <v>Kasai</v>
          </cell>
          <cell r="C85">
            <v>4.1464489999999996</v>
          </cell>
          <cell r="D85">
            <v>17.793337000000001</v>
          </cell>
          <cell r="E85" t="str">
            <v>5G</v>
          </cell>
          <cell r="F85" t="str">
            <v>ZTE</v>
          </cell>
        </row>
        <row r="86">
          <cell r="A86" t="str">
            <v>ANT-0179</v>
          </cell>
          <cell r="B86" t="str">
            <v>Nord-Kivu</v>
          </cell>
          <cell r="C86">
            <v>0.92885200000000001</v>
          </cell>
          <cell r="D86">
            <v>25.868548000000001</v>
          </cell>
          <cell r="E86" t="str">
            <v>5G</v>
          </cell>
          <cell r="F86" t="str">
            <v>Nokia</v>
          </cell>
        </row>
        <row r="87">
          <cell r="A87" t="str">
            <v>ANT-0180</v>
          </cell>
          <cell r="B87" t="str">
            <v>Tshopo</v>
          </cell>
          <cell r="C87">
            <v>2.4425979999999998</v>
          </cell>
          <cell r="D87">
            <v>24.924308</v>
          </cell>
          <cell r="E87" t="str">
            <v>5G</v>
          </cell>
          <cell r="F87" t="str">
            <v>Ericsson</v>
          </cell>
        </row>
        <row r="88">
          <cell r="A88" t="str">
            <v>ANT-0182</v>
          </cell>
          <cell r="B88" t="str">
            <v>Lualaba</v>
          </cell>
          <cell r="C88">
            <v>-3.234483</v>
          </cell>
          <cell r="D88">
            <v>13.241939</v>
          </cell>
          <cell r="E88" t="str">
            <v>4G</v>
          </cell>
          <cell r="F88" t="str">
            <v>ZTE</v>
          </cell>
        </row>
        <row r="89">
          <cell r="A89" t="str">
            <v>ANT-0183</v>
          </cell>
          <cell r="B89" t="str">
            <v>Kwango</v>
          </cell>
          <cell r="C89">
            <v>4.8319039999999998</v>
          </cell>
          <cell r="D89">
            <v>20.733468999999999</v>
          </cell>
          <cell r="E89" t="str">
            <v>5G</v>
          </cell>
          <cell r="F89" t="str">
            <v>Ericsson</v>
          </cell>
        </row>
        <row r="90">
          <cell r="A90" t="str">
            <v>ANT-0184</v>
          </cell>
          <cell r="B90" t="str">
            <v>Kwilu</v>
          </cell>
          <cell r="C90">
            <v>-10.161428000000001</v>
          </cell>
          <cell r="D90">
            <v>19.362325999999999</v>
          </cell>
          <cell r="E90" t="str">
            <v>3G</v>
          </cell>
          <cell r="F90" t="str">
            <v>Nokia</v>
          </cell>
        </row>
        <row r="91">
          <cell r="A91" t="str">
            <v>ANT-0185</v>
          </cell>
          <cell r="B91" t="str">
            <v>Haut-Uele</v>
          </cell>
          <cell r="C91">
            <v>1.2391989999999999</v>
          </cell>
          <cell r="D91">
            <v>15.386718999999999</v>
          </cell>
          <cell r="E91" t="str">
            <v>5G</v>
          </cell>
          <cell r="F91" t="str">
            <v>ZTE</v>
          </cell>
        </row>
        <row r="92">
          <cell r="A92" t="str">
            <v>ANT-0187</v>
          </cell>
          <cell r="B92" t="str">
            <v>Nord-Kivu</v>
          </cell>
          <cell r="C92">
            <v>-6.0234120000000004</v>
          </cell>
          <cell r="D92">
            <v>18.314309999999999</v>
          </cell>
          <cell r="E92" t="str">
            <v>5G</v>
          </cell>
          <cell r="F92" t="str">
            <v>ZTE</v>
          </cell>
        </row>
        <row r="93">
          <cell r="A93" t="str">
            <v>ANT-0188</v>
          </cell>
          <cell r="B93" t="str">
            <v>Haut-Uele</v>
          </cell>
          <cell r="C93">
            <v>-2.5254650000000001</v>
          </cell>
          <cell r="D93">
            <v>21.338113</v>
          </cell>
          <cell r="E93" t="str">
            <v>5G</v>
          </cell>
          <cell r="F93" t="str">
            <v>Nokia</v>
          </cell>
        </row>
        <row r="94">
          <cell r="A94" t="str">
            <v>ANT-0192</v>
          </cell>
          <cell r="B94" t="str">
            <v>Tshuapa</v>
          </cell>
          <cell r="C94">
            <v>-12.018316</v>
          </cell>
          <cell r="D94">
            <v>16.700451000000001</v>
          </cell>
          <cell r="E94" t="str">
            <v>3G</v>
          </cell>
          <cell r="F94" t="str">
            <v>Nokia</v>
          </cell>
        </row>
        <row r="95">
          <cell r="A95" t="str">
            <v>ANT-0194</v>
          </cell>
          <cell r="B95" t="str">
            <v>Nord-Ubangi</v>
          </cell>
          <cell r="C95">
            <v>8.5490999999999998E-2</v>
          </cell>
          <cell r="D95">
            <v>26.296129000000001</v>
          </cell>
          <cell r="E95" t="str">
            <v>3G</v>
          </cell>
          <cell r="F95" t="str">
            <v>ZTE</v>
          </cell>
        </row>
        <row r="96">
          <cell r="A96" t="str">
            <v>ANT-0195</v>
          </cell>
          <cell r="B96" t="str">
            <v>Sud-Ubangi</v>
          </cell>
          <cell r="C96">
            <v>-8.0864899999999995</v>
          </cell>
          <cell r="D96">
            <v>14.555277</v>
          </cell>
          <cell r="E96" t="str">
            <v>3G</v>
          </cell>
          <cell r="F96" t="str">
            <v>Ericsson</v>
          </cell>
        </row>
        <row r="97">
          <cell r="A97" t="str">
            <v>ANT-0200</v>
          </cell>
          <cell r="B97" t="str">
            <v>Kinshasa</v>
          </cell>
          <cell r="C97">
            <v>1.217457</v>
          </cell>
          <cell r="D97">
            <v>25.48668</v>
          </cell>
          <cell r="E97" t="str">
            <v>5G</v>
          </cell>
          <cell r="F97" t="str">
            <v>Nokia</v>
          </cell>
        </row>
        <row r="98">
          <cell r="A98" t="str">
            <v>ANT-0202</v>
          </cell>
          <cell r="B98" t="str">
            <v>Tshuapa</v>
          </cell>
          <cell r="C98">
            <v>3.0788669999999998</v>
          </cell>
          <cell r="D98">
            <v>19.513650999999999</v>
          </cell>
          <cell r="E98" t="str">
            <v>5G</v>
          </cell>
          <cell r="F98" t="str">
            <v>Huawei</v>
          </cell>
        </row>
        <row r="99">
          <cell r="A99" t="str">
            <v>ANT-0205</v>
          </cell>
          <cell r="B99" t="str">
            <v>Sankuru</v>
          </cell>
          <cell r="C99">
            <v>-1.4110389999999999</v>
          </cell>
          <cell r="D99">
            <v>21.261644</v>
          </cell>
          <cell r="E99" t="str">
            <v>4G</v>
          </cell>
          <cell r="F99" t="str">
            <v>ZTE</v>
          </cell>
        </row>
        <row r="100">
          <cell r="A100" t="str">
            <v>ANT-0206</v>
          </cell>
          <cell r="B100" t="str">
            <v>Lualaba</v>
          </cell>
          <cell r="C100">
            <v>4.0157999999999996</v>
          </cell>
          <cell r="D100">
            <v>21.430246</v>
          </cell>
          <cell r="E100" t="str">
            <v>5G</v>
          </cell>
          <cell r="F100" t="str">
            <v>Nokia</v>
          </cell>
        </row>
        <row r="101">
          <cell r="A101" t="str">
            <v>ANT-0207</v>
          </cell>
          <cell r="B101" t="str">
            <v>Bas-Uele</v>
          </cell>
          <cell r="C101">
            <v>0.89302999999999999</v>
          </cell>
          <cell r="D101">
            <v>21.238310999999999</v>
          </cell>
          <cell r="E101" t="str">
            <v>5G</v>
          </cell>
          <cell r="F101" t="str">
            <v>Huawei</v>
          </cell>
        </row>
        <row r="102">
          <cell r="A102" t="str">
            <v>ANT-0208</v>
          </cell>
          <cell r="B102" t="str">
            <v>Kasai-Central</v>
          </cell>
          <cell r="C102">
            <v>0.91016799999999998</v>
          </cell>
          <cell r="D102">
            <v>16.903002999999998</v>
          </cell>
          <cell r="E102" t="str">
            <v>3G</v>
          </cell>
          <cell r="F102" t="str">
            <v>Nokia</v>
          </cell>
        </row>
        <row r="103">
          <cell r="A103" t="str">
            <v>ANT-0209</v>
          </cell>
          <cell r="B103" t="str">
            <v>Tanganyika</v>
          </cell>
          <cell r="C103">
            <v>-10.481026999999999</v>
          </cell>
          <cell r="D103">
            <v>18.160464000000001</v>
          </cell>
          <cell r="E103" t="str">
            <v>5G</v>
          </cell>
          <cell r="F103" t="str">
            <v>Huawei</v>
          </cell>
        </row>
        <row r="104">
          <cell r="A104" t="str">
            <v>ANT-0211</v>
          </cell>
          <cell r="B104" t="str">
            <v>Sud-Kivu</v>
          </cell>
          <cell r="C104">
            <v>-11.514817000000001</v>
          </cell>
          <cell r="D104">
            <v>24.891375</v>
          </cell>
          <cell r="E104" t="str">
            <v>3G</v>
          </cell>
          <cell r="F104" t="str">
            <v>Nokia</v>
          </cell>
        </row>
        <row r="105">
          <cell r="A105" t="str">
            <v>ANT-0212</v>
          </cell>
          <cell r="B105" t="str">
            <v>Sankuru</v>
          </cell>
          <cell r="C105">
            <v>3.175935</v>
          </cell>
          <cell r="D105">
            <v>16.862832000000001</v>
          </cell>
          <cell r="E105" t="str">
            <v>5G</v>
          </cell>
          <cell r="F105" t="str">
            <v>Ericsson</v>
          </cell>
        </row>
        <row r="106">
          <cell r="A106" t="str">
            <v>ANT-0216</v>
          </cell>
          <cell r="B106" t="str">
            <v>Lualaba</v>
          </cell>
          <cell r="C106">
            <v>3.8811640000000001</v>
          </cell>
          <cell r="D106">
            <v>23.188383999999999</v>
          </cell>
          <cell r="E106" t="str">
            <v>5G</v>
          </cell>
          <cell r="F106" t="str">
            <v>Huawei</v>
          </cell>
        </row>
        <row r="107">
          <cell r="A107" t="str">
            <v>ANT-0217</v>
          </cell>
          <cell r="B107" t="str">
            <v>Mai-Ndombe</v>
          </cell>
          <cell r="C107">
            <v>2.349755</v>
          </cell>
          <cell r="D107">
            <v>29.600649000000001</v>
          </cell>
          <cell r="E107" t="str">
            <v>4G</v>
          </cell>
          <cell r="F107" t="str">
            <v>Nokia</v>
          </cell>
        </row>
        <row r="108">
          <cell r="A108" t="str">
            <v>ANT-0218</v>
          </cell>
          <cell r="B108" t="str">
            <v>Ituri</v>
          </cell>
          <cell r="C108">
            <v>-5.5883039999999999</v>
          </cell>
          <cell r="D108">
            <v>26.647739999999999</v>
          </cell>
          <cell r="E108" t="str">
            <v>3G</v>
          </cell>
          <cell r="F108" t="str">
            <v>Ericsson</v>
          </cell>
        </row>
        <row r="109">
          <cell r="A109" t="str">
            <v>ANT-0220</v>
          </cell>
          <cell r="B109" t="str">
            <v>Sud-Kivu</v>
          </cell>
          <cell r="C109">
            <v>2.7365970000000002</v>
          </cell>
          <cell r="D109">
            <v>12.296976000000001</v>
          </cell>
          <cell r="E109" t="str">
            <v>4G</v>
          </cell>
          <cell r="F109" t="str">
            <v>ZTE</v>
          </cell>
        </row>
        <row r="110">
          <cell r="A110" t="str">
            <v xml:space="preserve">ANT-0222 </v>
          </cell>
          <cell r="B110" t="str">
            <v>Sud-Kivu</v>
          </cell>
          <cell r="C110">
            <v>-6.8779139999999996</v>
          </cell>
          <cell r="D110">
            <v>12.550860999999999</v>
          </cell>
          <cell r="E110" t="str">
            <v>5G</v>
          </cell>
          <cell r="F110" t="str">
            <v>ZTE</v>
          </cell>
        </row>
        <row r="111">
          <cell r="A111" t="str">
            <v>ANT-0224</v>
          </cell>
          <cell r="B111" t="str">
            <v>Nord-Kivu</v>
          </cell>
          <cell r="C111">
            <v>-7.9866700000000002</v>
          </cell>
          <cell r="D111">
            <v>17.757847000000002</v>
          </cell>
          <cell r="E111" t="str">
            <v>5G</v>
          </cell>
          <cell r="F111" t="str">
            <v>Huawei</v>
          </cell>
        </row>
        <row r="112">
          <cell r="A112" t="str">
            <v>ANT-0225</v>
          </cell>
          <cell r="B112" t="str">
            <v>Haut-Uele</v>
          </cell>
          <cell r="C112">
            <v>-8.8118569999999998</v>
          </cell>
          <cell r="D112">
            <v>14.465711000000001</v>
          </cell>
          <cell r="E112" t="str">
            <v>5G</v>
          </cell>
          <cell r="F112" t="str">
            <v>Nokia</v>
          </cell>
        </row>
        <row r="113">
          <cell r="A113" t="str">
            <v>ANT-0226</v>
          </cell>
          <cell r="B113" t="str">
            <v>Equateur</v>
          </cell>
          <cell r="C113">
            <v>-7.8215969999999997</v>
          </cell>
          <cell r="D113">
            <v>26.797349000000001</v>
          </cell>
          <cell r="E113" t="str">
            <v>3G</v>
          </cell>
          <cell r="F113" t="str">
            <v>Ericsson</v>
          </cell>
        </row>
        <row r="114">
          <cell r="A114" t="str">
            <v>ANT-0228</v>
          </cell>
          <cell r="B114" t="str">
            <v>Sud-Ubangi</v>
          </cell>
          <cell r="C114">
            <v>-8.6707929999999998</v>
          </cell>
          <cell r="D114">
            <v>30.643781000000001</v>
          </cell>
          <cell r="E114" t="str">
            <v>4G</v>
          </cell>
          <cell r="F114" t="str">
            <v>Huawei</v>
          </cell>
        </row>
        <row r="115">
          <cell r="A115" t="str">
            <v>ANT-0229</v>
          </cell>
          <cell r="B115" t="str">
            <v>Tshuapa</v>
          </cell>
          <cell r="C115">
            <v>-1.9540519999999999</v>
          </cell>
          <cell r="D115">
            <v>12.667945</v>
          </cell>
          <cell r="E115" t="str">
            <v>4G</v>
          </cell>
          <cell r="F115" t="str">
            <v>Huawei</v>
          </cell>
        </row>
        <row r="116">
          <cell r="A116" t="str">
            <v>ANT-0232</v>
          </cell>
          <cell r="B116" t="str">
            <v>Lualaba</v>
          </cell>
          <cell r="C116">
            <v>2.0392079999999999</v>
          </cell>
          <cell r="D116">
            <v>19.090841999999999</v>
          </cell>
          <cell r="E116" t="str">
            <v>4G</v>
          </cell>
          <cell r="F116" t="str">
            <v>Nokia</v>
          </cell>
        </row>
        <row r="117">
          <cell r="A117" t="str">
            <v>ANT-0235</v>
          </cell>
          <cell r="B117" t="str">
            <v>Haut-Uele</v>
          </cell>
          <cell r="C117">
            <v>4.2873989999999997</v>
          </cell>
          <cell r="D117">
            <v>14.756335</v>
          </cell>
          <cell r="E117" t="str">
            <v>5G</v>
          </cell>
          <cell r="F117" t="str">
            <v>Ericsson</v>
          </cell>
        </row>
        <row r="118">
          <cell r="A118" t="str">
            <v>ANT-0236</v>
          </cell>
          <cell r="B118" t="str">
            <v>Mai-Ndombe</v>
          </cell>
          <cell r="C118">
            <v>-12.192204</v>
          </cell>
          <cell r="D118">
            <v>28.468682000000001</v>
          </cell>
          <cell r="E118" t="str">
            <v>3G</v>
          </cell>
          <cell r="F118" t="str">
            <v>ZTE</v>
          </cell>
        </row>
        <row r="119">
          <cell r="A119" t="str">
            <v>ANT-0238</v>
          </cell>
          <cell r="B119" t="str">
            <v>Kwilu</v>
          </cell>
          <cell r="C119">
            <v>0.62055499999999997</v>
          </cell>
          <cell r="D119">
            <v>21.222035000000002</v>
          </cell>
          <cell r="E119" t="str">
            <v>5G</v>
          </cell>
          <cell r="F119" t="str">
            <v>Nokia</v>
          </cell>
        </row>
        <row r="120">
          <cell r="A120" t="str">
            <v>ANT-0239</v>
          </cell>
          <cell r="B120" t="str">
            <v>Nord-Kivu</v>
          </cell>
          <cell r="C120">
            <v>-5.42171</v>
          </cell>
          <cell r="D120">
            <v>24.202960999999998</v>
          </cell>
          <cell r="E120" t="str">
            <v>5G</v>
          </cell>
          <cell r="F120" t="str">
            <v>Ericsson</v>
          </cell>
        </row>
        <row r="121">
          <cell r="A121" t="str">
            <v>ANT-0240</v>
          </cell>
          <cell r="B121" t="str">
            <v>Bas-Uele</v>
          </cell>
          <cell r="C121">
            <v>-0.59350000000000003</v>
          </cell>
          <cell r="D121">
            <v>24.500503999999999</v>
          </cell>
          <cell r="E121" t="str">
            <v>5G</v>
          </cell>
          <cell r="F121" t="str">
            <v>Huawei</v>
          </cell>
        </row>
        <row r="122">
          <cell r="A122" t="str">
            <v>ANT-0241</v>
          </cell>
          <cell r="B122" t="str">
            <v>Tshuapa</v>
          </cell>
          <cell r="C122">
            <v>-5.7957599999999996</v>
          </cell>
          <cell r="D122">
            <v>14.078258</v>
          </cell>
          <cell r="E122" t="str">
            <v>5G</v>
          </cell>
          <cell r="F122" t="str">
            <v>Ericsson</v>
          </cell>
        </row>
        <row r="123">
          <cell r="A123" t="str">
            <v>ANT-0245</v>
          </cell>
          <cell r="B123" t="str">
            <v>Lomami</v>
          </cell>
          <cell r="C123">
            <v>-9.9875139999999991</v>
          </cell>
          <cell r="D123">
            <v>12.013676999999999</v>
          </cell>
          <cell r="E123" t="str">
            <v>3G</v>
          </cell>
          <cell r="F123" t="str">
            <v>ZTE</v>
          </cell>
        </row>
        <row r="124">
          <cell r="A124" t="str">
            <v>ANT-0248</v>
          </cell>
          <cell r="B124" t="str">
            <v>Haut-Uele</v>
          </cell>
          <cell r="C124">
            <v>-4.4351269999999996</v>
          </cell>
          <cell r="D124">
            <v>24.825467</v>
          </cell>
          <cell r="E124" t="str">
            <v>4G</v>
          </cell>
          <cell r="F124" t="str">
            <v>Huawei</v>
          </cell>
        </row>
        <row r="125">
          <cell r="A125" t="str">
            <v>ANT-0250</v>
          </cell>
          <cell r="B125" t="str">
            <v>Maniema</v>
          </cell>
          <cell r="C125">
            <v>-2.3743210000000001</v>
          </cell>
          <cell r="D125">
            <v>22.399491000000001</v>
          </cell>
          <cell r="E125" t="str">
            <v>5G</v>
          </cell>
          <cell r="F125" t="str">
            <v>Ericsson</v>
          </cell>
        </row>
        <row r="126">
          <cell r="A126" t="str">
            <v>ANT-0255</v>
          </cell>
          <cell r="B126" t="str">
            <v>Sankuru</v>
          </cell>
          <cell r="C126">
            <v>-6.4883290000000002</v>
          </cell>
          <cell r="D126">
            <v>25.103404000000001</v>
          </cell>
          <cell r="E126" t="str">
            <v>5G</v>
          </cell>
          <cell r="F126" t="str">
            <v>ZTE</v>
          </cell>
        </row>
        <row r="127">
          <cell r="A127" t="str">
            <v>ANT-0256</v>
          </cell>
          <cell r="B127" t="str">
            <v>Ituri</v>
          </cell>
          <cell r="C127">
            <v>0.82399199999999995</v>
          </cell>
          <cell r="D127">
            <v>28.232678</v>
          </cell>
          <cell r="E127" t="str">
            <v>3G</v>
          </cell>
          <cell r="F127" t="str">
            <v>Huawei</v>
          </cell>
        </row>
        <row r="128">
          <cell r="A128" t="str">
            <v>ANT-0257</v>
          </cell>
          <cell r="B128" t="str">
            <v>Sud-Kivu</v>
          </cell>
          <cell r="C128">
            <v>-4.1694589999999998</v>
          </cell>
          <cell r="D128">
            <v>23.376487000000001</v>
          </cell>
          <cell r="E128" t="str">
            <v>3G</v>
          </cell>
          <cell r="F128" t="str">
            <v>Nokia</v>
          </cell>
        </row>
        <row r="129">
          <cell r="A129" t="str">
            <v>ANT-0258</v>
          </cell>
          <cell r="B129" t="str">
            <v>Lualaba</v>
          </cell>
          <cell r="C129">
            <v>-11.710407999999999</v>
          </cell>
          <cell r="D129">
            <v>23.741330999999999</v>
          </cell>
          <cell r="E129" t="str">
            <v>3G</v>
          </cell>
          <cell r="F129" t="str">
            <v>Huawei</v>
          </cell>
        </row>
        <row r="130">
          <cell r="A130" t="str">
            <v>ANT-0260</v>
          </cell>
          <cell r="B130" t="str">
            <v>Nord-Kivu</v>
          </cell>
          <cell r="C130">
            <v>-6.0850540000000004</v>
          </cell>
          <cell r="D130">
            <v>14.020293000000001</v>
          </cell>
          <cell r="E130" t="str">
            <v>5G</v>
          </cell>
          <cell r="F130" t="str">
            <v>Huawei</v>
          </cell>
        </row>
        <row r="131">
          <cell r="A131" t="str">
            <v>ANT-0261</v>
          </cell>
          <cell r="B131" t="str">
            <v>Equateur</v>
          </cell>
          <cell r="C131">
            <v>-4.5538169999999996</v>
          </cell>
          <cell r="D131">
            <v>25.952860999999999</v>
          </cell>
          <cell r="E131" t="str">
            <v>3G</v>
          </cell>
          <cell r="F131" t="str">
            <v>Ericsson</v>
          </cell>
        </row>
        <row r="132">
          <cell r="A132" t="str">
            <v>ANT-0264</v>
          </cell>
          <cell r="B132" t="str">
            <v>Kinshasa</v>
          </cell>
          <cell r="C132">
            <v>0.48965500000000001</v>
          </cell>
          <cell r="D132">
            <v>26.176860000000001</v>
          </cell>
          <cell r="E132" t="str">
            <v>4G</v>
          </cell>
          <cell r="F132" t="str">
            <v>Huawei</v>
          </cell>
        </row>
        <row r="133">
          <cell r="A133" t="str">
            <v>ANT-0265</v>
          </cell>
          <cell r="B133" t="str">
            <v>Haut-Uele</v>
          </cell>
          <cell r="C133">
            <v>-6.0864269999999996</v>
          </cell>
          <cell r="D133">
            <v>19.922181999999999</v>
          </cell>
          <cell r="E133" t="str">
            <v>5G</v>
          </cell>
          <cell r="F133" t="str">
            <v>Huawei</v>
          </cell>
        </row>
        <row r="134">
          <cell r="A134" t="str">
            <v>ANT-0267</v>
          </cell>
          <cell r="B134" t="str">
            <v>Lualaba</v>
          </cell>
          <cell r="C134">
            <v>-2.6166320000000001</v>
          </cell>
          <cell r="D134">
            <v>23.743941</v>
          </cell>
          <cell r="E134" t="str">
            <v>5G</v>
          </cell>
          <cell r="F134" t="str">
            <v>Nokia</v>
          </cell>
        </row>
        <row r="135">
          <cell r="A135" t="str">
            <v>ANT-0268</v>
          </cell>
          <cell r="B135" t="str">
            <v>Lomami</v>
          </cell>
          <cell r="C135">
            <v>-9.5619429999999994</v>
          </cell>
          <cell r="D135">
            <v>21.445726000000001</v>
          </cell>
          <cell r="E135" t="str">
            <v>4G</v>
          </cell>
          <cell r="F135" t="str">
            <v>Nokia</v>
          </cell>
        </row>
        <row r="136">
          <cell r="A136" t="str">
            <v>ANT-0270</v>
          </cell>
          <cell r="B136" t="str">
            <v>Kasai-Central</v>
          </cell>
          <cell r="C136">
            <v>-1.648264</v>
          </cell>
          <cell r="D136">
            <v>28.866143999999998</v>
          </cell>
          <cell r="E136" t="str">
            <v>5G</v>
          </cell>
          <cell r="F136" t="str">
            <v>Ericsson</v>
          </cell>
        </row>
        <row r="137">
          <cell r="A137" t="str">
            <v>ANT-0271</v>
          </cell>
          <cell r="B137" t="str">
            <v>Tshuapa</v>
          </cell>
          <cell r="C137">
            <v>-5.1030600000000002</v>
          </cell>
          <cell r="D137">
            <v>22.849231</v>
          </cell>
          <cell r="E137" t="str">
            <v>5G</v>
          </cell>
          <cell r="F137" t="str">
            <v>ZTE</v>
          </cell>
        </row>
        <row r="138">
          <cell r="A138" t="str">
            <v>ANT-0272</v>
          </cell>
          <cell r="B138" t="str">
            <v>Kasai-Oriental</v>
          </cell>
          <cell r="C138">
            <v>-2.1430220000000002</v>
          </cell>
          <cell r="D138">
            <v>24.541492999999999</v>
          </cell>
          <cell r="E138" t="str">
            <v>4G</v>
          </cell>
          <cell r="F138" t="str">
            <v>ZTE</v>
          </cell>
        </row>
        <row r="139">
          <cell r="A139" t="str">
            <v>ANT-0276</v>
          </cell>
          <cell r="B139" t="str">
            <v>Sankuru</v>
          </cell>
          <cell r="C139">
            <v>-0.157111</v>
          </cell>
          <cell r="D139">
            <v>25.415125</v>
          </cell>
          <cell r="E139" t="str">
            <v>4G</v>
          </cell>
          <cell r="F139" t="str">
            <v>Ericsson</v>
          </cell>
        </row>
        <row r="140">
          <cell r="A140" t="str">
            <v>ANT-0277</v>
          </cell>
          <cell r="B140" t="str">
            <v>Nord-Ubangi</v>
          </cell>
          <cell r="C140">
            <v>-6.8149179999999996</v>
          </cell>
          <cell r="D140">
            <v>23.258102000000001</v>
          </cell>
          <cell r="E140" t="str">
            <v>5G</v>
          </cell>
          <cell r="F140" t="str">
            <v>Huawei</v>
          </cell>
        </row>
        <row r="141">
          <cell r="A141" t="str">
            <v>ANT-0281</v>
          </cell>
          <cell r="B141" t="str">
            <v>Sud-Ubangi</v>
          </cell>
          <cell r="C141">
            <v>-10.620597</v>
          </cell>
          <cell r="D141">
            <v>12.432214</v>
          </cell>
          <cell r="E141" t="str">
            <v>4G</v>
          </cell>
          <cell r="F141" t="str">
            <v>Huawei</v>
          </cell>
        </row>
        <row r="142">
          <cell r="A142" t="str">
            <v>ANT-0282</v>
          </cell>
          <cell r="B142" t="str">
            <v>Nord-Kivu</v>
          </cell>
          <cell r="C142">
            <v>-10.25074</v>
          </cell>
          <cell r="D142">
            <v>26.099086</v>
          </cell>
          <cell r="E142" t="str">
            <v>4G</v>
          </cell>
          <cell r="F142" t="str">
            <v>Huawei</v>
          </cell>
        </row>
        <row r="143">
          <cell r="A143" t="str">
            <v>ANT-0283</v>
          </cell>
          <cell r="B143" t="str">
            <v>Kinshasa</v>
          </cell>
          <cell r="C143">
            <v>-1.6097570000000001</v>
          </cell>
          <cell r="D143">
            <v>30.661662</v>
          </cell>
          <cell r="E143" t="str">
            <v>4G</v>
          </cell>
          <cell r="F143" t="str">
            <v>Ericsson</v>
          </cell>
        </row>
        <row r="144">
          <cell r="A144" t="str">
            <v>ANT-0284</v>
          </cell>
          <cell r="B144" t="str">
            <v>Haut-Katanga</v>
          </cell>
          <cell r="C144">
            <v>-5.5445120000000001</v>
          </cell>
          <cell r="D144">
            <v>27.547335</v>
          </cell>
          <cell r="E144" t="str">
            <v>4G</v>
          </cell>
          <cell r="F144" t="str">
            <v>Ericsson</v>
          </cell>
        </row>
        <row r="145">
          <cell r="A145" t="str">
            <v>ANT-0287</v>
          </cell>
          <cell r="B145" t="str">
            <v>Tshuapa</v>
          </cell>
          <cell r="C145">
            <v>-11.622688999999999</v>
          </cell>
          <cell r="D145">
            <v>18.483874</v>
          </cell>
          <cell r="E145" t="str">
            <v>5G</v>
          </cell>
          <cell r="F145" t="str">
            <v>ZTE</v>
          </cell>
        </row>
        <row r="146">
          <cell r="A146" t="str">
            <v>ANT-0288</v>
          </cell>
          <cell r="B146" t="str">
            <v>Tshopo</v>
          </cell>
          <cell r="C146">
            <v>1.400674</v>
          </cell>
          <cell r="D146">
            <v>13.503126999999999</v>
          </cell>
          <cell r="E146" t="str">
            <v>5G</v>
          </cell>
          <cell r="F146" t="str">
            <v>ZTE</v>
          </cell>
        </row>
        <row r="147">
          <cell r="A147" t="str">
            <v>ANT-0291</v>
          </cell>
          <cell r="B147" t="str">
            <v>Tshopo</v>
          </cell>
          <cell r="C147">
            <v>2.6387339999999999</v>
          </cell>
          <cell r="D147">
            <v>13.769399</v>
          </cell>
          <cell r="E147" t="str">
            <v>4G</v>
          </cell>
          <cell r="F147" t="str">
            <v>Huawei</v>
          </cell>
        </row>
        <row r="148">
          <cell r="A148" t="str">
            <v>ANT-0292</v>
          </cell>
          <cell r="B148" t="str">
            <v>Bas-Uele</v>
          </cell>
          <cell r="C148">
            <v>-6.4197189999999997</v>
          </cell>
          <cell r="D148">
            <v>22.287264</v>
          </cell>
          <cell r="E148" t="str">
            <v>3G</v>
          </cell>
          <cell r="F148" t="str">
            <v>Ericsson</v>
          </cell>
        </row>
        <row r="149">
          <cell r="A149" t="str">
            <v>ANT-0293</v>
          </cell>
          <cell r="B149" t="str">
            <v>Lomami</v>
          </cell>
          <cell r="C149">
            <v>-5.7035130000000001</v>
          </cell>
          <cell r="D149">
            <v>14.331479</v>
          </cell>
          <cell r="E149" t="str">
            <v>5G</v>
          </cell>
          <cell r="F149" t="str">
            <v>Nokia</v>
          </cell>
        </row>
        <row r="150">
          <cell r="A150" t="str">
            <v>ANT-0294</v>
          </cell>
          <cell r="B150" t="str">
            <v>Kasai-Oriental</v>
          </cell>
          <cell r="C150">
            <v>-4.3639070000000002</v>
          </cell>
          <cell r="D150">
            <v>16.283307000000001</v>
          </cell>
          <cell r="E150" t="str">
            <v>5G</v>
          </cell>
          <cell r="F150" t="str">
            <v>Huawei</v>
          </cell>
        </row>
        <row r="151">
          <cell r="A151" t="str">
            <v>ANT-0295</v>
          </cell>
          <cell r="B151" t="str">
            <v>Kasai</v>
          </cell>
          <cell r="C151">
            <v>-4.351254</v>
          </cell>
          <cell r="D151">
            <v>30.097408999999999</v>
          </cell>
          <cell r="E151" t="str">
            <v>5G</v>
          </cell>
          <cell r="F151" t="str">
            <v>Nokia</v>
          </cell>
        </row>
        <row r="152">
          <cell r="A152" t="str">
            <v>ANT-0298</v>
          </cell>
          <cell r="B152" t="str">
            <v>Kasai-Oriental</v>
          </cell>
          <cell r="C152">
            <v>-5.4073029999999997</v>
          </cell>
          <cell r="D152">
            <v>29.762294000000001</v>
          </cell>
          <cell r="E152" t="str">
            <v>3G</v>
          </cell>
          <cell r="F152" t="str">
            <v>Ericsson</v>
          </cell>
        </row>
        <row r="153">
          <cell r="A153" t="str">
            <v>ANT-0302</v>
          </cell>
          <cell r="B153" t="str">
            <v>Maniema</v>
          </cell>
          <cell r="C153">
            <v>-4.6818410000000004</v>
          </cell>
          <cell r="D153">
            <v>17.541618</v>
          </cell>
          <cell r="E153" t="str">
            <v>4G</v>
          </cell>
          <cell r="F153" t="str">
            <v>Ericsson</v>
          </cell>
        </row>
        <row r="154">
          <cell r="A154" t="str">
            <v>ANT-0315</v>
          </cell>
          <cell r="B154" t="str">
            <v>Equateur</v>
          </cell>
          <cell r="C154">
            <v>4.9250049999999996</v>
          </cell>
          <cell r="D154">
            <v>19.887931999999999</v>
          </cell>
          <cell r="E154" t="str">
            <v>4G</v>
          </cell>
          <cell r="F154" t="str">
            <v>Huawei</v>
          </cell>
        </row>
        <row r="155">
          <cell r="A155" t="str">
            <v>ANT-0322</v>
          </cell>
          <cell r="B155" t="str">
            <v>Bas-Uele</v>
          </cell>
          <cell r="C155">
            <v>2.0859640000000002</v>
          </cell>
          <cell r="D155">
            <v>22.576664000000001</v>
          </cell>
          <cell r="E155" t="str">
            <v>4G</v>
          </cell>
          <cell r="F155" t="str">
            <v>ZTE</v>
          </cell>
        </row>
        <row r="156">
          <cell r="A156" t="str">
            <v>ANT-0323</v>
          </cell>
          <cell r="B156" t="str">
            <v>Tshuapa</v>
          </cell>
          <cell r="C156">
            <v>-6.1126060000000004</v>
          </cell>
          <cell r="D156">
            <v>27.901748999999999</v>
          </cell>
          <cell r="E156" t="str">
            <v>4G</v>
          </cell>
          <cell r="F156" t="str">
            <v>ZTE</v>
          </cell>
        </row>
        <row r="157">
          <cell r="A157" t="str">
            <v>ANT-0324</v>
          </cell>
          <cell r="B157" t="str">
            <v>Kongo-Central</v>
          </cell>
          <cell r="C157">
            <v>2.3260149999999999</v>
          </cell>
          <cell r="D157">
            <v>24.97465</v>
          </cell>
          <cell r="E157" t="str">
            <v>3G</v>
          </cell>
          <cell r="F157" t="str">
            <v>Nokia</v>
          </cell>
        </row>
        <row r="158">
          <cell r="A158" t="str">
            <v>ANT-0332</v>
          </cell>
          <cell r="B158" t="str">
            <v>Kasai</v>
          </cell>
          <cell r="C158">
            <v>-4.9789079999999997</v>
          </cell>
          <cell r="D158">
            <v>28.506295000000001</v>
          </cell>
          <cell r="E158" t="str">
            <v>4G</v>
          </cell>
          <cell r="F158" t="str">
            <v>Huawei</v>
          </cell>
        </row>
        <row r="159">
          <cell r="A159" t="str">
            <v>ANT-0339</v>
          </cell>
          <cell r="B159" t="str">
            <v>Bas-Uele</v>
          </cell>
          <cell r="C159">
            <v>-3.6945459999999999</v>
          </cell>
          <cell r="D159">
            <v>16.809108999999999</v>
          </cell>
          <cell r="E159" t="str">
            <v>5G</v>
          </cell>
          <cell r="F159" t="str">
            <v>ZTE</v>
          </cell>
        </row>
        <row r="160">
          <cell r="A160" t="str">
            <v>ANT-0347</v>
          </cell>
          <cell r="B160" t="str">
            <v>Sankuru</v>
          </cell>
          <cell r="C160">
            <v>3.6466850000000002</v>
          </cell>
          <cell r="D160">
            <v>15.408844</v>
          </cell>
          <cell r="E160" t="str">
            <v>3G</v>
          </cell>
          <cell r="F160" t="str">
            <v>ZTE</v>
          </cell>
        </row>
        <row r="161">
          <cell r="A161" t="str">
            <v>ANT-0348</v>
          </cell>
          <cell r="B161" t="str">
            <v>Sud-Kivu</v>
          </cell>
          <cell r="C161">
            <v>0.31740800000000002</v>
          </cell>
          <cell r="D161">
            <v>27.197666999999999</v>
          </cell>
          <cell r="E161" t="str">
            <v>5G</v>
          </cell>
          <cell r="F161" t="str">
            <v>Nokia</v>
          </cell>
        </row>
        <row r="162">
          <cell r="A162" t="str">
            <v>ANT-0349</v>
          </cell>
          <cell r="B162" t="str">
            <v>Sud-Ubangi</v>
          </cell>
          <cell r="C162">
            <v>-2.7775059999999998</v>
          </cell>
          <cell r="D162">
            <v>24.139983999999998</v>
          </cell>
          <cell r="E162" t="str">
            <v>3G</v>
          </cell>
          <cell r="F162" t="str">
            <v>Ericsson</v>
          </cell>
        </row>
        <row r="163">
          <cell r="A163" t="str">
            <v>ANT-0351</v>
          </cell>
          <cell r="B163" t="str">
            <v>Maniema</v>
          </cell>
          <cell r="C163">
            <v>3.0053459999999999</v>
          </cell>
          <cell r="D163">
            <v>13.765407</v>
          </cell>
          <cell r="E163" t="str">
            <v>5G</v>
          </cell>
          <cell r="F163" t="str">
            <v>Ericsson</v>
          </cell>
        </row>
        <row r="164">
          <cell r="A164" t="str">
            <v>ANT-0352</v>
          </cell>
          <cell r="B164" t="str">
            <v>Kasai-Central</v>
          </cell>
          <cell r="C164">
            <v>3.4689049999999999</v>
          </cell>
          <cell r="D164">
            <v>18.19622</v>
          </cell>
          <cell r="E164" t="str">
            <v>5G</v>
          </cell>
          <cell r="F164" t="str">
            <v>Huawei</v>
          </cell>
        </row>
        <row r="165">
          <cell r="A165" t="str">
            <v>ANT-0353</v>
          </cell>
          <cell r="B165" t="str">
            <v>Kinshasa</v>
          </cell>
          <cell r="C165">
            <v>-11.991020000000001</v>
          </cell>
          <cell r="D165">
            <v>22.514747</v>
          </cell>
          <cell r="E165" t="str">
            <v>5G</v>
          </cell>
          <cell r="F165" t="str">
            <v>ZTE</v>
          </cell>
        </row>
        <row r="166">
          <cell r="A166" t="str">
            <v>ANT-0354</v>
          </cell>
          <cell r="B166" t="str">
            <v>Lualaba</v>
          </cell>
          <cell r="C166">
            <v>-6.7304589999999997</v>
          </cell>
          <cell r="D166">
            <v>24.541906999999998</v>
          </cell>
          <cell r="E166" t="str">
            <v>4G</v>
          </cell>
          <cell r="F166" t="str">
            <v>Nokia</v>
          </cell>
        </row>
        <row r="167">
          <cell r="A167" t="str">
            <v>ANT-0356</v>
          </cell>
          <cell r="B167" t="str">
            <v>Kasai-Oriental</v>
          </cell>
          <cell r="C167">
            <v>0.114899</v>
          </cell>
          <cell r="D167">
            <v>30.510916000000002</v>
          </cell>
          <cell r="E167" t="str">
            <v>3G</v>
          </cell>
          <cell r="F167" t="str">
            <v>Nokia</v>
          </cell>
        </row>
        <row r="168">
          <cell r="A168" t="str">
            <v>ANT-0357</v>
          </cell>
          <cell r="B168" t="str">
            <v>Tanganyika</v>
          </cell>
          <cell r="C168">
            <v>-11.793894</v>
          </cell>
          <cell r="D168">
            <v>20.433340999999999</v>
          </cell>
          <cell r="E168" t="str">
            <v>5G</v>
          </cell>
          <cell r="F168" t="str">
            <v>Nokia</v>
          </cell>
        </row>
        <row r="169">
          <cell r="A169" t="str">
            <v>ANT-0359</v>
          </cell>
          <cell r="B169" t="str">
            <v>Sud-Ubangi</v>
          </cell>
          <cell r="C169">
            <v>1.3657680000000001</v>
          </cell>
          <cell r="D169">
            <v>21.423017000000002</v>
          </cell>
          <cell r="E169" t="str">
            <v>5G</v>
          </cell>
          <cell r="F169" t="str">
            <v>Ericsson</v>
          </cell>
        </row>
        <row r="170">
          <cell r="A170" t="str">
            <v>ANT-0362</v>
          </cell>
          <cell r="B170" t="str">
            <v>Kinshasa</v>
          </cell>
          <cell r="C170">
            <v>-0.90854400000000002</v>
          </cell>
          <cell r="D170">
            <v>17.154896999999998</v>
          </cell>
          <cell r="E170" t="str">
            <v>3G</v>
          </cell>
          <cell r="F170" t="str">
            <v>Huawei</v>
          </cell>
        </row>
        <row r="171">
          <cell r="A171" t="str">
            <v>ANT-0363</v>
          </cell>
          <cell r="B171" t="str">
            <v>Kwilu</v>
          </cell>
          <cell r="C171">
            <v>5.3608999999999997E-2</v>
          </cell>
          <cell r="D171">
            <v>28.346852999999999</v>
          </cell>
          <cell r="E171" t="str">
            <v>3G</v>
          </cell>
          <cell r="F171" t="str">
            <v>ZTE</v>
          </cell>
        </row>
        <row r="172">
          <cell r="A172" t="str">
            <v>ANT-0365</v>
          </cell>
          <cell r="B172" t="str">
            <v>Kasai-Central</v>
          </cell>
          <cell r="C172">
            <v>-11.055339999999999</v>
          </cell>
          <cell r="D172">
            <v>21.627016000000001</v>
          </cell>
          <cell r="E172" t="str">
            <v>5G</v>
          </cell>
          <cell r="F172" t="str">
            <v>Nokia</v>
          </cell>
        </row>
        <row r="173">
          <cell r="A173" t="str">
            <v>ANT-0368</v>
          </cell>
          <cell r="B173" t="str">
            <v>Kongo-Central</v>
          </cell>
          <cell r="C173">
            <v>1.2463919999999999</v>
          </cell>
          <cell r="D173">
            <v>13.266916999999999</v>
          </cell>
          <cell r="E173" t="str">
            <v>5G</v>
          </cell>
          <cell r="F173" t="str">
            <v>Huawei</v>
          </cell>
        </row>
        <row r="174">
          <cell r="A174" t="str">
            <v>ANT-0369</v>
          </cell>
          <cell r="B174" t="str">
            <v>Nord-Ubangi</v>
          </cell>
          <cell r="C174">
            <v>-12.411144999999999</v>
          </cell>
          <cell r="D174">
            <v>29.876642</v>
          </cell>
          <cell r="E174" t="str">
            <v>4G</v>
          </cell>
          <cell r="F174" t="str">
            <v>Ericsson</v>
          </cell>
        </row>
        <row r="175">
          <cell r="A175" t="str">
            <v>ANT-0370</v>
          </cell>
          <cell r="B175" t="str">
            <v>Mongala</v>
          </cell>
          <cell r="C175">
            <v>-7.6951369999999999</v>
          </cell>
          <cell r="D175">
            <v>13.346605</v>
          </cell>
          <cell r="E175" t="str">
            <v>4G</v>
          </cell>
          <cell r="F175" t="str">
            <v>Ericsson</v>
          </cell>
        </row>
        <row r="176">
          <cell r="A176" t="str">
            <v>ANT-0371</v>
          </cell>
          <cell r="B176" t="str">
            <v>Haut-Lomami</v>
          </cell>
          <cell r="C176">
            <v>-12.112682</v>
          </cell>
          <cell r="D176">
            <v>19.972052000000001</v>
          </cell>
          <cell r="E176" t="str">
            <v>4G</v>
          </cell>
          <cell r="F176" t="str">
            <v>Huawei</v>
          </cell>
        </row>
        <row r="177">
          <cell r="A177" t="str">
            <v>ANT-0373</v>
          </cell>
          <cell r="B177" t="str">
            <v>Kwango</v>
          </cell>
          <cell r="C177">
            <v>-9.0798120000000004</v>
          </cell>
          <cell r="D177">
            <v>14.945484</v>
          </cell>
          <cell r="E177" t="str">
            <v>5G</v>
          </cell>
          <cell r="F177" t="str">
            <v>Ericsson</v>
          </cell>
        </row>
        <row r="178">
          <cell r="A178" t="str">
            <v>ANT-0375</v>
          </cell>
          <cell r="B178" t="str">
            <v>Mai-Ndombe</v>
          </cell>
          <cell r="C178">
            <v>-4.9552579999999997</v>
          </cell>
          <cell r="D178">
            <v>22.008103999999999</v>
          </cell>
          <cell r="E178" t="str">
            <v>4G</v>
          </cell>
          <cell r="F178" t="str">
            <v>Huawei</v>
          </cell>
        </row>
        <row r="179">
          <cell r="A179" t="str">
            <v>ANT-0379</v>
          </cell>
          <cell r="B179" t="str">
            <v>Kasai-Central</v>
          </cell>
          <cell r="C179">
            <v>-9.5266249999999992</v>
          </cell>
          <cell r="D179">
            <v>27.889690999999999</v>
          </cell>
          <cell r="E179" t="str">
            <v>4G</v>
          </cell>
          <cell r="F179" t="str">
            <v>Ericsson</v>
          </cell>
        </row>
        <row r="180">
          <cell r="A180" t="str">
            <v>ANT-0380</v>
          </cell>
          <cell r="B180" t="str">
            <v>Kwango</v>
          </cell>
          <cell r="C180">
            <v>-11.591777</v>
          </cell>
          <cell r="D180">
            <v>21.213452</v>
          </cell>
          <cell r="E180" t="str">
            <v>5G</v>
          </cell>
          <cell r="F180" t="str">
            <v>Ericsson</v>
          </cell>
        </row>
        <row r="181">
          <cell r="A181" t="str">
            <v>ANT-0381</v>
          </cell>
          <cell r="B181" t="str">
            <v>Bas-Uele</v>
          </cell>
          <cell r="C181">
            <v>4.497306</v>
          </cell>
          <cell r="D181">
            <v>12.857251</v>
          </cell>
          <cell r="E181" t="str">
            <v>5G</v>
          </cell>
          <cell r="F181" t="str">
            <v>Ericsson</v>
          </cell>
        </row>
        <row r="182">
          <cell r="A182" t="str">
            <v>ANT-0385</v>
          </cell>
          <cell r="B182" t="str">
            <v>Equateur</v>
          </cell>
          <cell r="C182">
            <v>-1.762294</v>
          </cell>
          <cell r="D182">
            <v>29.617228000000001</v>
          </cell>
          <cell r="E182" t="str">
            <v>4G</v>
          </cell>
          <cell r="F182" t="str">
            <v>ZTE</v>
          </cell>
        </row>
        <row r="183">
          <cell r="A183" t="str">
            <v>ANT-0386</v>
          </cell>
          <cell r="B183" t="str">
            <v>Kwango</v>
          </cell>
          <cell r="C183">
            <v>-10.653247</v>
          </cell>
          <cell r="D183">
            <v>14.685601</v>
          </cell>
          <cell r="E183" t="str">
            <v>4G</v>
          </cell>
          <cell r="F183" t="str">
            <v>Ericsson</v>
          </cell>
        </row>
        <row r="184">
          <cell r="A184" t="str">
            <v>ANT-0387</v>
          </cell>
          <cell r="B184" t="str">
            <v>Mai-Ndombe</v>
          </cell>
          <cell r="C184">
            <v>-7.5641280000000002</v>
          </cell>
          <cell r="D184">
            <v>18.129529999999999</v>
          </cell>
          <cell r="E184" t="str">
            <v>3G</v>
          </cell>
          <cell r="F184" t="str">
            <v>Huawei</v>
          </cell>
        </row>
        <row r="185">
          <cell r="A185" t="str">
            <v>ANT-0388</v>
          </cell>
          <cell r="B185" t="str">
            <v>Kongo-Central</v>
          </cell>
          <cell r="C185">
            <v>-2.9326690000000002</v>
          </cell>
          <cell r="D185">
            <v>12.349382</v>
          </cell>
          <cell r="E185" t="str">
            <v>5G</v>
          </cell>
          <cell r="F185" t="str">
            <v>ZTE</v>
          </cell>
        </row>
        <row r="186">
          <cell r="A186" t="str">
            <v>ANT-0391</v>
          </cell>
          <cell r="B186" t="str">
            <v>Tanganyika</v>
          </cell>
          <cell r="C186">
            <v>-1.5936220000000001</v>
          </cell>
          <cell r="D186">
            <v>14.928856</v>
          </cell>
          <cell r="E186" t="str">
            <v>5G</v>
          </cell>
          <cell r="F186" t="str">
            <v>Ericsson</v>
          </cell>
        </row>
        <row r="187">
          <cell r="A187" t="str">
            <v>ANT-0392</v>
          </cell>
          <cell r="B187" t="str">
            <v>Haut-Uele</v>
          </cell>
          <cell r="C187">
            <v>-1.013558</v>
          </cell>
          <cell r="D187">
            <v>17.346937</v>
          </cell>
          <cell r="E187" t="str">
            <v>5G</v>
          </cell>
          <cell r="F187" t="str">
            <v>Huawei</v>
          </cell>
        </row>
        <row r="188">
          <cell r="A188" t="str">
            <v>ANT-0394</v>
          </cell>
          <cell r="B188" t="str">
            <v>Sud-Ubangi</v>
          </cell>
          <cell r="C188">
            <v>-10.611184</v>
          </cell>
          <cell r="D188">
            <v>23.022268</v>
          </cell>
          <cell r="E188" t="str">
            <v>5G</v>
          </cell>
          <cell r="F188" t="str">
            <v>ZTE</v>
          </cell>
        </row>
        <row r="189">
          <cell r="A189" t="str">
            <v>ANT-0395</v>
          </cell>
          <cell r="B189" t="str">
            <v>Kasai-Oriental</v>
          </cell>
          <cell r="C189">
            <v>-9.2227779999999999</v>
          </cell>
          <cell r="D189">
            <v>20.940372</v>
          </cell>
          <cell r="E189" t="str">
            <v>3G</v>
          </cell>
          <cell r="F189" t="str">
            <v>Ericsson</v>
          </cell>
        </row>
        <row r="190">
          <cell r="A190" t="str">
            <v>ANT-0398</v>
          </cell>
          <cell r="B190" t="str">
            <v>Haut-Lomami</v>
          </cell>
          <cell r="C190">
            <v>-0.45332</v>
          </cell>
          <cell r="D190">
            <v>29.674009999999999</v>
          </cell>
          <cell r="E190" t="str">
            <v>5G</v>
          </cell>
          <cell r="F190" t="str">
            <v>Ericsson</v>
          </cell>
        </row>
        <row r="191">
          <cell r="A191" t="str">
            <v>ANT-0399</v>
          </cell>
          <cell r="B191" t="str">
            <v>Kwango</v>
          </cell>
          <cell r="C191">
            <v>3.524343</v>
          </cell>
          <cell r="D191">
            <v>27.340824000000001</v>
          </cell>
          <cell r="E191" t="str">
            <v>4G</v>
          </cell>
          <cell r="F191" t="str">
            <v>Ericsson</v>
          </cell>
        </row>
        <row r="192">
          <cell r="A192" t="str">
            <v>ANT-0402</v>
          </cell>
          <cell r="B192" t="str">
            <v>Nord-Ubangi</v>
          </cell>
          <cell r="C192">
            <v>-11.588665000000001</v>
          </cell>
          <cell r="D192">
            <v>15.241552</v>
          </cell>
          <cell r="E192" t="str">
            <v>4G</v>
          </cell>
          <cell r="F192" t="str">
            <v>Nokia</v>
          </cell>
        </row>
        <row r="193">
          <cell r="A193" t="str">
            <v>ANT-0405</v>
          </cell>
          <cell r="B193" t="str">
            <v>Kongo-Central</v>
          </cell>
          <cell r="C193">
            <v>2.8552499999999998</v>
          </cell>
          <cell r="D193">
            <v>14.077933</v>
          </cell>
          <cell r="E193" t="str">
            <v>4G</v>
          </cell>
          <cell r="F193" t="str">
            <v>ZTE</v>
          </cell>
        </row>
        <row r="194">
          <cell r="A194" t="str">
            <v>ANT-0407</v>
          </cell>
          <cell r="B194" t="str">
            <v>Maniema</v>
          </cell>
          <cell r="C194">
            <v>2.5458379999999998</v>
          </cell>
          <cell r="D194">
            <v>13.308655</v>
          </cell>
          <cell r="E194" t="str">
            <v>5G</v>
          </cell>
          <cell r="F194" t="str">
            <v>ZTE</v>
          </cell>
        </row>
        <row r="195">
          <cell r="A195" t="str">
            <v>ANT-0408</v>
          </cell>
          <cell r="B195" t="str">
            <v>Nord-Kivu</v>
          </cell>
          <cell r="C195">
            <v>1.1800139999999999</v>
          </cell>
          <cell r="D195">
            <v>20.334562999999999</v>
          </cell>
          <cell r="E195" t="str">
            <v>3G</v>
          </cell>
          <cell r="F195" t="str">
            <v>ZTE</v>
          </cell>
        </row>
        <row r="196">
          <cell r="A196" t="str">
            <v>ANT-0409</v>
          </cell>
          <cell r="B196" t="str">
            <v>Haut-Lomami</v>
          </cell>
          <cell r="C196">
            <v>-8.3575920000000004</v>
          </cell>
          <cell r="D196">
            <v>25.538395000000001</v>
          </cell>
          <cell r="E196" t="str">
            <v>3G</v>
          </cell>
          <cell r="F196" t="str">
            <v>ZTE</v>
          </cell>
        </row>
        <row r="197">
          <cell r="A197" t="str">
            <v>ANT-0410</v>
          </cell>
          <cell r="B197" t="str">
            <v>Ituri</v>
          </cell>
          <cell r="C197">
            <v>1.178453</v>
          </cell>
          <cell r="D197">
            <v>17.479081000000001</v>
          </cell>
          <cell r="E197" t="str">
            <v>3G</v>
          </cell>
          <cell r="F197" t="str">
            <v>Ericsson</v>
          </cell>
        </row>
        <row r="198">
          <cell r="A198" t="str">
            <v>ANT-0411</v>
          </cell>
          <cell r="B198" t="str">
            <v>Tshuapa</v>
          </cell>
          <cell r="C198">
            <v>-2.571777</v>
          </cell>
          <cell r="D198">
            <v>12.120642</v>
          </cell>
          <cell r="E198" t="str">
            <v>3G</v>
          </cell>
          <cell r="F198" t="str">
            <v>Huawei</v>
          </cell>
        </row>
        <row r="199">
          <cell r="A199" t="str">
            <v>ANT-0414</v>
          </cell>
          <cell r="B199" t="str">
            <v>Kinshasa</v>
          </cell>
          <cell r="C199">
            <v>-7.5418399999999997</v>
          </cell>
          <cell r="D199">
            <v>16.931206</v>
          </cell>
          <cell r="E199" t="str">
            <v>3G</v>
          </cell>
          <cell r="F199" t="str">
            <v>Nokia</v>
          </cell>
        </row>
        <row r="200">
          <cell r="A200" t="str">
            <v>ANT-0415</v>
          </cell>
          <cell r="B200" t="str">
            <v>Sud-Kivu</v>
          </cell>
          <cell r="C200">
            <v>-2.9651529999999999</v>
          </cell>
          <cell r="D200">
            <v>29.79908</v>
          </cell>
          <cell r="E200" t="str">
            <v>4G</v>
          </cell>
          <cell r="F200" t="str">
            <v>Ericsson</v>
          </cell>
        </row>
        <row r="201">
          <cell r="A201" t="str">
            <v>ANT-0416</v>
          </cell>
          <cell r="B201" t="str">
            <v>Sud-Ubangi</v>
          </cell>
          <cell r="C201">
            <v>-11.387295999999999</v>
          </cell>
          <cell r="D201">
            <v>19.384257999999999</v>
          </cell>
          <cell r="E201" t="str">
            <v>3G</v>
          </cell>
          <cell r="F201" t="str">
            <v>Huawei</v>
          </cell>
        </row>
        <row r="202">
          <cell r="A202" t="str">
            <v>ANT-0417</v>
          </cell>
          <cell r="B202" t="str">
            <v>Tshuapa</v>
          </cell>
          <cell r="C202">
            <v>-2.3677800000000002</v>
          </cell>
          <cell r="D202">
            <v>18.790323999999998</v>
          </cell>
          <cell r="E202" t="str">
            <v>5G</v>
          </cell>
          <cell r="F202" t="str">
            <v>Huawei</v>
          </cell>
        </row>
        <row r="203">
          <cell r="A203" t="str">
            <v>ANT-0419</v>
          </cell>
          <cell r="B203" t="str">
            <v>Sud-Ubangi</v>
          </cell>
          <cell r="C203">
            <v>3.611561</v>
          </cell>
          <cell r="D203">
            <v>17.725974999999998</v>
          </cell>
          <cell r="E203" t="str">
            <v>3G</v>
          </cell>
          <cell r="F203" t="str">
            <v>ZTE</v>
          </cell>
        </row>
        <row r="204">
          <cell r="A204" t="str">
            <v>ANT-0421</v>
          </cell>
          <cell r="B204" t="str">
            <v>Nord-Kivu</v>
          </cell>
          <cell r="C204">
            <v>-4.884055</v>
          </cell>
          <cell r="D204">
            <v>23.40194</v>
          </cell>
          <cell r="E204" t="str">
            <v>3G</v>
          </cell>
          <cell r="F204" t="str">
            <v>Ericsson</v>
          </cell>
        </row>
        <row r="205">
          <cell r="A205" t="str">
            <v>ANT-0423</v>
          </cell>
          <cell r="B205" t="str">
            <v>Haut-Lomami</v>
          </cell>
          <cell r="C205">
            <v>-1.3938550000000001</v>
          </cell>
          <cell r="D205">
            <v>15.097554000000001</v>
          </cell>
          <cell r="E205" t="str">
            <v>4G</v>
          </cell>
          <cell r="F205" t="str">
            <v>Huawei</v>
          </cell>
        </row>
        <row r="206">
          <cell r="A206" t="str">
            <v>ANT-0424</v>
          </cell>
          <cell r="B206" t="str">
            <v>Lualaba</v>
          </cell>
          <cell r="C206">
            <v>-9.5243310000000001</v>
          </cell>
          <cell r="D206">
            <v>30.541212000000002</v>
          </cell>
          <cell r="E206" t="str">
            <v>3G</v>
          </cell>
          <cell r="F206" t="str">
            <v>Ericsson</v>
          </cell>
        </row>
        <row r="207">
          <cell r="A207" t="str">
            <v>ANT-0425</v>
          </cell>
          <cell r="B207" t="str">
            <v>Haut-Uele</v>
          </cell>
          <cell r="C207">
            <v>-1.9635830000000001</v>
          </cell>
          <cell r="D207">
            <v>15.854182</v>
          </cell>
          <cell r="E207" t="str">
            <v>3G</v>
          </cell>
          <cell r="F207" t="str">
            <v>Nokia</v>
          </cell>
        </row>
        <row r="208">
          <cell r="A208" t="str">
            <v>ANT-0430</v>
          </cell>
          <cell r="B208" t="str">
            <v>Kwilu</v>
          </cell>
          <cell r="C208">
            <v>-10.939712999999999</v>
          </cell>
          <cell r="D208">
            <v>18.276230999999999</v>
          </cell>
          <cell r="E208" t="str">
            <v>4G</v>
          </cell>
          <cell r="F208" t="str">
            <v>ZTE</v>
          </cell>
        </row>
        <row r="209">
          <cell r="A209" t="str">
            <v>ANT-0431</v>
          </cell>
          <cell r="B209" t="str">
            <v>Mai-Ndombe</v>
          </cell>
          <cell r="C209">
            <v>-4.6311460000000002</v>
          </cell>
          <cell r="D209">
            <v>25.314723000000001</v>
          </cell>
          <cell r="E209" t="str">
            <v>4G</v>
          </cell>
          <cell r="F209" t="str">
            <v>Huawei</v>
          </cell>
        </row>
        <row r="210">
          <cell r="A210" t="str">
            <v>ANT-0434</v>
          </cell>
          <cell r="B210" t="str">
            <v>Tanganyika</v>
          </cell>
          <cell r="C210">
            <v>3.1362930000000002</v>
          </cell>
          <cell r="D210">
            <v>16.190878000000001</v>
          </cell>
          <cell r="E210" t="str">
            <v>3G</v>
          </cell>
          <cell r="F210" t="str">
            <v>Nokia</v>
          </cell>
        </row>
        <row r="211">
          <cell r="A211" t="str">
            <v>ANT-0436</v>
          </cell>
          <cell r="B211" t="str">
            <v>Tshopo</v>
          </cell>
          <cell r="C211">
            <v>-4.5603610000000003</v>
          </cell>
          <cell r="D211">
            <v>24.113918999999999</v>
          </cell>
          <cell r="E211" t="str">
            <v>5G</v>
          </cell>
          <cell r="F211" t="str">
            <v>ZTE</v>
          </cell>
        </row>
        <row r="212">
          <cell r="A212" t="str">
            <v>ANT-0437</v>
          </cell>
          <cell r="B212" t="str">
            <v>Kinshasa</v>
          </cell>
          <cell r="C212">
            <v>-1.339734</v>
          </cell>
          <cell r="D212">
            <v>15.243098</v>
          </cell>
          <cell r="E212" t="str">
            <v>3G</v>
          </cell>
          <cell r="F212" t="str">
            <v>Nokia</v>
          </cell>
        </row>
        <row r="213">
          <cell r="A213" t="str">
            <v>ANT-0440</v>
          </cell>
          <cell r="B213" t="str">
            <v>Ituri</v>
          </cell>
          <cell r="C213">
            <v>0.35034999999999999</v>
          </cell>
          <cell r="D213">
            <v>13.603628</v>
          </cell>
          <cell r="E213" t="str">
            <v>5G</v>
          </cell>
          <cell r="F213" t="str">
            <v>ZTE</v>
          </cell>
        </row>
        <row r="214">
          <cell r="A214" t="str">
            <v>ANT-0441</v>
          </cell>
          <cell r="B214" t="str">
            <v>Sud-Kivu</v>
          </cell>
          <cell r="C214">
            <v>-5.2526849999999996</v>
          </cell>
          <cell r="D214">
            <v>12.374528</v>
          </cell>
          <cell r="E214" t="str">
            <v>3G</v>
          </cell>
          <cell r="F214" t="str">
            <v>Nokia</v>
          </cell>
        </row>
        <row r="215">
          <cell r="A215" t="str">
            <v>ANT-0442</v>
          </cell>
          <cell r="B215" t="str">
            <v>Tshuapa</v>
          </cell>
          <cell r="C215">
            <v>4.7060310000000003</v>
          </cell>
          <cell r="D215">
            <v>27.348973000000001</v>
          </cell>
          <cell r="E215" t="str">
            <v>4G</v>
          </cell>
          <cell r="F215" t="str">
            <v>Huawei</v>
          </cell>
        </row>
        <row r="216">
          <cell r="A216" t="str">
            <v>ANT-0446</v>
          </cell>
          <cell r="B216" t="str">
            <v>Lualaba</v>
          </cell>
          <cell r="C216">
            <v>1.286548</v>
          </cell>
          <cell r="D216">
            <v>29.823702999999998</v>
          </cell>
          <cell r="E216" t="str">
            <v>4G</v>
          </cell>
          <cell r="F216" t="str">
            <v>ZTE</v>
          </cell>
        </row>
        <row r="217">
          <cell r="A217" t="str">
            <v>ANT-0450</v>
          </cell>
          <cell r="B217" t="str">
            <v>Kasai-Central</v>
          </cell>
          <cell r="C217">
            <v>-12.560556999999999</v>
          </cell>
          <cell r="D217">
            <v>13.204014000000001</v>
          </cell>
          <cell r="E217" t="str">
            <v>4G</v>
          </cell>
          <cell r="F217" t="str">
            <v>Ericsson</v>
          </cell>
        </row>
        <row r="218">
          <cell r="A218" t="str">
            <v>ANT-0451</v>
          </cell>
          <cell r="B218" t="str">
            <v>Equateur</v>
          </cell>
          <cell r="C218">
            <v>-5.0402180000000003</v>
          </cell>
          <cell r="D218">
            <v>13.892471</v>
          </cell>
          <cell r="E218" t="str">
            <v>3G</v>
          </cell>
          <cell r="F218" t="str">
            <v>ZTE</v>
          </cell>
        </row>
        <row r="219">
          <cell r="A219" t="str">
            <v>ANT-0454</v>
          </cell>
          <cell r="B219" t="str">
            <v>Nord-Kivu</v>
          </cell>
          <cell r="C219">
            <v>1.8103860000000001</v>
          </cell>
          <cell r="D219">
            <v>15.175582</v>
          </cell>
          <cell r="E219" t="str">
            <v>3G</v>
          </cell>
          <cell r="F219" t="str">
            <v>Huawei</v>
          </cell>
        </row>
        <row r="220">
          <cell r="A220" t="str">
            <v>ANT-0457</v>
          </cell>
          <cell r="B220" t="str">
            <v>Nord-Kivu</v>
          </cell>
          <cell r="C220">
            <v>-6.3148239999999998</v>
          </cell>
          <cell r="D220">
            <v>24.507498999999999</v>
          </cell>
          <cell r="E220" t="str">
            <v>3G</v>
          </cell>
          <cell r="F220" t="str">
            <v>ZTE</v>
          </cell>
        </row>
        <row r="221">
          <cell r="A221" t="str">
            <v>ANT-0458</v>
          </cell>
          <cell r="B221" t="str">
            <v>Kwilu</v>
          </cell>
          <cell r="C221">
            <v>-0.98830399999999996</v>
          </cell>
          <cell r="D221">
            <v>28.099966999999999</v>
          </cell>
          <cell r="E221" t="str">
            <v>3G</v>
          </cell>
          <cell r="F221" t="str">
            <v>Huawei</v>
          </cell>
        </row>
        <row r="222">
          <cell r="A222" t="str">
            <v>ANT-0460</v>
          </cell>
          <cell r="B222" t="str">
            <v>Kwango</v>
          </cell>
          <cell r="C222">
            <v>-4.2975050000000001</v>
          </cell>
          <cell r="D222">
            <v>29.162555999999999</v>
          </cell>
          <cell r="E222" t="str">
            <v>5G</v>
          </cell>
          <cell r="F222" t="str">
            <v>Ericsson</v>
          </cell>
        </row>
        <row r="223">
          <cell r="A223" t="str">
            <v>ANT-0465</v>
          </cell>
          <cell r="B223" t="str">
            <v>Tanganyika</v>
          </cell>
          <cell r="C223">
            <v>-11.144149000000001</v>
          </cell>
          <cell r="D223">
            <v>27.244658999999999</v>
          </cell>
          <cell r="E223" t="str">
            <v>4G</v>
          </cell>
          <cell r="F223" t="str">
            <v>Nokia</v>
          </cell>
        </row>
        <row r="224">
          <cell r="A224" t="str">
            <v>ANT-0466</v>
          </cell>
          <cell r="B224" t="str">
            <v>Haut-Lomami</v>
          </cell>
          <cell r="C224">
            <v>-9.6407190000000007</v>
          </cell>
          <cell r="D224">
            <v>21.336704999999998</v>
          </cell>
          <cell r="E224" t="str">
            <v>4G</v>
          </cell>
          <cell r="F224" t="str">
            <v>ZTE</v>
          </cell>
        </row>
        <row r="225">
          <cell r="A225" t="str">
            <v>ANT-0470</v>
          </cell>
          <cell r="B225" t="str">
            <v>Nord-Kivu</v>
          </cell>
          <cell r="C225">
            <v>-8.9586360000000003</v>
          </cell>
          <cell r="D225">
            <v>17.157720000000001</v>
          </cell>
          <cell r="E225" t="str">
            <v>3G</v>
          </cell>
          <cell r="F225" t="str">
            <v>Nokia</v>
          </cell>
        </row>
        <row r="226">
          <cell r="A226" t="str">
            <v>ANT-0472</v>
          </cell>
          <cell r="B226" t="str">
            <v>Sud-Kivu</v>
          </cell>
          <cell r="C226">
            <v>1.2419519999999999</v>
          </cell>
          <cell r="D226">
            <v>25.261382999999999</v>
          </cell>
          <cell r="E226" t="str">
            <v>4G</v>
          </cell>
          <cell r="F226" t="str">
            <v>Huawei</v>
          </cell>
        </row>
        <row r="227">
          <cell r="A227" t="str">
            <v>ANT-0476</v>
          </cell>
          <cell r="B227" t="str">
            <v>Haut-Uele</v>
          </cell>
          <cell r="C227">
            <v>-8.4403710000000007</v>
          </cell>
          <cell r="D227">
            <v>17.231165000000001</v>
          </cell>
          <cell r="E227" t="str">
            <v>4G</v>
          </cell>
          <cell r="F227" t="str">
            <v>Huawei</v>
          </cell>
        </row>
        <row r="228">
          <cell r="A228" t="str">
            <v>ANT-0481</v>
          </cell>
          <cell r="B228" t="str">
            <v>Kongo-Central</v>
          </cell>
          <cell r="C228">
            <v>-9.5840350000000001</v>
          </cell>
          <cell r="D228">
            <v>15.966024000000001</v>
          </cell>
          <cell r="E228" t="str">
            <v>5G</v>
          </cell>
          <cell r="F228" t="str">
            <v>Nokia</v>
          </cell>
        </row>
        <row r="229">
          <cell r="A229" t="str">
            <v>ANT-0482</v>
          </cell>
          <cell r="B229" t="str">
            <v>Tanganyika</v>
          </cell>
          <cell r="C229">
            <v>-8.290025</v>
          </cell>
          <cell r="D229">
            <v>24.313573999999999</v>
          </cell>
          <cell r="E229" t="str">
            <v>4G</v>
          </cell>
          <cell r="F229" t="str">
            <v>Ericsson</v>
          </cell>
        </row>
        <row r="230">
          <cell r="A230" t="str">
            <v>ANT-0483</v>
          </cell>
          <cell r="B230" t="str">
            <v>Lomami</v>
          </cell>
          <cell r="C230">
            <v>-7.4135429999999998</v>
          </cell>
          <cell r="D230">
            <v>19.288392999999999</v>
          </cell>
          <cell r="E230" t="str">
            <v>4G</v>
          </cell>
          <cell r="F230" t="str">
            <v>Nokia</v>
          </cell>
        </row>
        <row r="231">
          <cell r="A231" t="str">
            <v>ANT-0484</v>
          </cell>
          <cell r="B231" t="str">
            <v>Lomami</v>
          </cell>
          <cell r="C231">
            <v>-7.8770429999999996</v>
          </cell>
          <cell r="D231">
            <v>16.357762999999998</v>
          </cell>
          <cell r="E231" t="str">
            <v>4G</v>
          </cell>
          <cell r="F231" t="str">
            <v>Ericsson</v>
          </cell>
        </row>
        <row r="232">
          <cell r="A232" t="str">
            <v>ANT-0488</v>
          </cell>
          <cell r="B232" t="str">
            <v>Kasai-Central</v>
          </cell>
          <cell r="C232">
            <v>-3.111418</v>
          </cell>
          <cell r="D232">
            <v>14.144854</v>
          </cell>
          <cell r="E232" t="str">
            <v>4G</v>
          </cell>
          <cell r="F232" t="str">
            <v>ZTE</v>
          </cell>
        </row>
        <row r="233">
          <cell r="A233" t="str">
            <v>ANT-0489</v>
          </cell>
          <cell r="B233" t="str">
            <v>Haut-Uele</v>
          </cell>
          <cell r="C233">
            <v>0.20866199999999999</v>
          </cell>
          <cell r="D233">
            <v>18.556439000000001</v>
          </cell>
          <cell r="E233" t="str">
            <v>4G</v>
          </cell>
          <cell r="F233" t="str">
            <v>Nokia</v>
          </cell>
        </row>
        <row r="234">
          <cell r="A234" t="str">
            <v>ANT-0491</v>
          </cell>
          <cell r="B234" t="str">
            <v>Ituri</v>
          </cell>
          <cell r="C234">
            <v>-10.962911</v>
          </cell>
          <cell r="D234">
            <v>28.771355</v>
          </cell>
          <cell r="E234" t="str">
            <v>5G</v>
          </cell>
          <cell r="F234" t="str">
            <v>Huawei</v>
          </cell>
        </row>
        <row r="235">
          <cell r="A235" t="str">
            <v>ANT-0494</v>
          </cell>
          <cell r="B235" t="str">
            <v>Kongo-Central</v>
          </cell>
          <cell r="C235">
            <v>-12.564277000000001</v>
          </cell>
          <cell r="D235">
            <v>28.480798</v>
          </cell>
          <cell r="E235" t="str">
            <v>5G</v>
          </cell>
          <cell r="F235" t="str">
            <v>ZTE</v>
          </cell>
        </row>
        <row r="236">
          <cell r="A236" t="str">
            <v>ANT-0495</v>
          </cell>
          <cell r="B236" t="str">
            <v>Ituri</v>
          </cell>
          <cell r="C236">
            <v>-4.1938139999999997</v>
          </cell>
          <cell r="D236">
            <v>27.892115</v>
          </cell>
          <cell r="E236" t="str">
            <v>5G</v>
          </cell>
          <cell r="F236" t="str">
            <v>Ericsson</v>
          </cell>
        </row>
        <row r="237">
          <cell r="A237" t="str">
            <v>ANT-0496</v>
          </cell>
          <cell r="B237" t="str">
            <v>Haut-Lomami</v>
          </cell>
          <cell r="C237">
            <v>-0.37609300000000001</v>
          </cell>
          <cell r="D237">
            <v>21.940809999999999</v>
          </cell>
          <cell r="E237" t="str">
            <v>5G</v>
          </cell>
          <cell r="F237" t="str">
            <v>Huawei</v>
          </cell>
        </row>
        <row r="238">
          <cell r="A238" t="str">
            <v>ANT-0499</v>
          </cell>
          <cell r="B238" t="str">
            <v>Mongala</v>
          </cell>
          <cell r="C238">
            <v>-7.2267089999999996</v>
          </cell>
          <cell r="D238">
            <v>28.421362999999999</v>
          </cell>
          <cell r="E238" t="str">
            <v>5G</v>
          </cell>
          <cell r="F238" t="str">
            <v>Ericsson</v>
          </cell>
        </row>
        <row r="239">
          <cell r="A239" t="str">
            <v>ANT-0500</v>
          </cell>
          <cell r="B239" t="str">
            <v>Lualaba</v>
          </cell>
          <cell r="C239">
            <v>1.194113</v>
          </cell>
          <cell r="D239">
            <v>15.839502</v>
          </cell>
          <cell r="E239" t="str">
            <v>3G</v>
          </cell>
          <cell r="F239" t="str">
            <v>Huawei</v>
          </cell>
        </row>
        <row r="240">
          <cell r="A240" t="str">
            <v>ANT-0503</v>
          </cell>
          <cell r="B240" t="str">
            <v>Haut-Uele</v>
          </cell>
          <cell r="C240">
            <v>-1.8045979999999999</v>
          </cell>
          <cell r="D240">
            <v>12.511096999999999</v>
          </cell>
          <cell r="E240" t="str">
            <v>3G</v>
          </cell>
          <cell r="F240" t="str">
            <v>Huawei</v>
          </cell>
        </row>
        <row r="241">
          <cell r="A241" t="str">
            <v>ANT-0505</v>
          </cell>
          <cell r="B241" t="str">
            <v>Sud-Kivu</v>
          </cell>
          <cell r="C241">
            <v>-11.207139</v>
          </cell>
          <cell r="D241">
            <v>18.702511999999999</v>
          </cell>
          <cell r="E241" t="str">
            <v>5G</v>
          </cell>
          <cell r="F241" t="str">
            <v>Ericsson</v>
          </cell>
        </row>
        <row r="242">
          <cell r="A242" t="str">
            <v>ANT-0507</v>
          </cell>
          <cell r="B242" t="str">
            <v>Bas-Uele</v>
          </cell>
          <cell r="C242">
            <v>0.45116099999999998</v>
          </cell>
          <cell r="D242">
            <v>17.265761000000001</v>
          </cell>
          <cell r="E242" t="str">
            <v>4G</v>
          </cell>
          <cell r="F242" t="str">
            <v>Huawei</v>
          </cell>
        </row>
        <row r="243">
          <cell r="A243" t="str">
            <v>ANT-0511</v>
          </cell>
          <cell r="B243" t="str">
            <v>Haut-Lomami</v>
          </cell>
          <cell r="C243">
            <v>1.210869</v>
          </cell>
          <cell r="D243">
            <v>25.598741</v>
          </cell>
          <cell r="E243" t="str">
            <v>4G</v>
          </cell>
          <cell r="F243" t="str">
            <v>Ericsson</v>
          </cell>
        </row>
        <row r="244">
          <cell r="A244" t="str">
            <v>ANT-0514</v>
          </cell>
          <cell r="B244" t="str">
            <v>Tanganyika</v>
          </cell>
          <cell r="C244">
            <v>-1.50664</v>
          </cell>
          <cell r="D244">
            <v>27.795642000000001</v>
          </cell>
          <cell r="E244" t="str">
            <v>5G</v>
          </cell>
          <cell r="F244" t="str">
            <v>ZTE</v>
          </cell>
        </row>
        <row r="245">
          <cell r="A245" t="str">
            <v>ANT-0515</v>
          </cell>
          <cell r="B245" t="str">
            <v>Lualaba</v>
          </cell>
          <cell r="C245">
            <v>-10.967288</v>
          </cell>
          <cell r="D245">
            <v>17.617781000000001</v>
          </cell>
          <cell r="E245" t="str">
            <v>4G</v>
          </cell>
          <cell r="F245" t="str">
            <v>Ericsson</v>
          </cell>
        </row>
        <row r="246">
          <cell r="A246" t="str">
            <v>ANT-0516</v>
          </cell>
          <cell r="B246" t="str">
            <v>Haut-Katanga</v>
          </cell>
          <cell r="C246">
            <v>-9.9170499999999997</v>
          </cell>
          <cell r="D246">
            <v>22.918887000000002</v>
          </cell>
          <cell r="E246" t="str">
            <v>4G</v>
          </cell>
          <cell r="F246" t="str">
            <v>Huawei</v>
          </cell>
        </row>
        <row r="247">
          <cell r="A247" t="str">
            <v>ANT-0517</v>
          </cell>
          <cell r="B247" t="str">
            <v>Sankuru</v>
          </cell>
          <cell r="C247">
            <v>-8.0922239999999999</v>
          </cell>
          <cell r="D247">
            <v>15.483708</v>
          </cell>
          <cell r="E247" t="str">
            <v>5G</v>
          </cell>
          <cell r="F247" t="str">
            <v>Nokia</v>
          </cell>
        </row>
        <row r="248">
          <cell r="A248" t="str">
            <v>ANT-0519</v>
          </cell>
          <cell r="B248" t="str">
            <v>Kwango</v>
          </cell>
          <cell r="C248">
            <v>-6.236097</v>
          </cell>
          <cell r="D248">
            <v>13.004878</v>
          </cell>
          <cell r="E248" t="str">
            <v>4G</v>
          </cell>
          <cell r="F248" t="str">
            <v>Ericsson</v>
          </cell>
        </row>
        <row r="249">
          <cell r="A249" t="str">
            <v>ANT-0520</v>
          </cell>
          <cell r="B249" t="str">
            <v>Lomami</v>
          </cell>
          <cell r="C249">
            <v>-8.4227860000000003</v>
          </cell>
          <cell r="D249">
            <v>16.781293000000002</v>
          </cell>
          <cell r="E249" t="str">
            <v>4G</v>
          </cell>
          <cell r="F249" t="str">
            <v>Huawei</v>
          </cell>
        </row>
        <row r="250">
          <cell r="A250" t="str">
            <v>ANT-0521</v>
          </cell>
          <cell r="B250" t="str">
            <v>Maniema</v>
          </cell>
          <cell r="C250">
            <v>-10.318835</v>
          </cell>
          <cell r="D250">
            <v>21.252382000000001</v>
          </cell>
          <cell r="E250" t="str">
            <v>4G</v>
          </cell>
          <cell r="F250" t="str">
            <v>Ericsson</v>
          </cell>
        </row>
        <row r="251">
          <cell r="A251" t="str">
            <v>ANT-0523</v>
          </cell>
          <cell r="B251" t="str">
            <v>Haut-Katanga</v>
          </cell>
          <cell r="C251">
            <v>-9.4229749999999992</v>
          </cell>
          <cell r="D251">
            <v>29.375005999999999</v>
          </cell>
          <cell r="E251" t="str">
            <v>3G</v>
          </cell>
          <cell r="F251" t="str">
            <v>Ericsson</v>
          </cell>
        </row>
        <row r="252">
          <cell r="A252" t="str">
            <v>ANT-0524</v>
          </cell>
          <cell r="B252" t="str">
            <v>Kwilu</v>
          </cell>
          <cell r="C252">
            <v>-7.402336</v>
          </cell>
          <cell r="D252">
            <v>27.376697</v>
          </cell>
          <cell r="E252" t="str">
            <v>4G</v>
          </cell>
          <cell r="F252" t="str">
            <v>Huawei</v>
          </cell>
        </row>
        <row r="253">
          <cell r="A253" t="str">
            <v>ANT-0525</v>
          </cell>
          <cell r="B253" t="str">
            <v>Mongala</v>
          </cell>
          <cell r="C253">
            <v>-6.9254999999999997E-2</v>
          </cell>
          <cell r="D253">
            <v>28.222756</v>
          </cell>
          <cell r="E253" t="str">
            <v>5G</v>
          </cell>
          <cell r="F253" t="str">
            <v>Huawei</v>
          </cell>
        </row>
        <row r="254">
          <cell r="A254" t="str">
            <v>ANT-0526</v>
          </cell>
          <cell r="B254" t="str">
            <v>Tshopo</v>
          </cell>
          <cell r="C254">
            <v>-9.4133639999999996</v>
          </cell>
          <cell r="D254">
            <v>15.682482</v>
          </cell>
          <cell r="E254" t="str">
            <v>4G</v>
          </cell>
          <cell r="F254" t="str">
            <v>Huawei</v>
          </cell>
        </row>
        <row r="255">
          <cell r="A255" t="str">
            <v>ANT-0527</v>
          </cell>
          <cell r="B255" t="str">
            <v>Kasai-Central</v>
          </cell>
          <cell r="C255">
            <v>-4.4451280000000004</v>
          </cell>
          <cell r="D255">
            <v>16.536944999999999</v>
          </cell>
          <cell r="E255" t="str">
            <v>4G</v>
          </cell>
          <cell r="F255" t="str">
            <v>Ericsson</v>
          </cell>
        </row>
        <row r="256">
          <cell r="A256" t="str">
            <v>ANT-0529</v>
          </cell>
          <cell r="B256" t="str">
            <v>Mongala</v>
          </cell>
          <cell r="C256">
            <v>3.6344850000000002</v>
          </cell>
          <cell r="D256">
            <v>12.158348999999999</v>
          </cell>
          <cell r="E256" t="str">
            <v>5G</v>
          </cell>
          <cell r="F256" t="str">
            <v>Ericsson</v>
          </cell>
        </row>
        <row r="257">
          <cell r="A257" t="str">
            <v>ANT-0530</v>
          </cell>
          <cell r="B257" t="str">
            <v>Kwilu</v>
          </cell>
          <cell r="C257">
            <v>-8.5675749999999997</v>
          </cell>
          <cell r="D257">
            <v>26.994581</v>
          </cell>
          <cell r="E257" t="str">
            <v>3G</v>
          </cell>
          <cell r="F257" t="str">
            <v>Nokia</v>
          </cell>
        </row>
        <row r="258">
          <cell r="A258" t="str">
            <v>ANT-0531</v>
          </cell>
          <cell r="B258" t="str">
            <v>Maniema</v>
          </cell>
          <cell r="C258">
            <v>-4.2645619999999997</v>
          </cell>
          <cell r="D258">
            <v>18.960726000000001</v>
          </cell>
          <cell r="E258" t="str">
            <v>4G</v>
          </cell>
          <cell r="F258" t="str">
            <v>Huawei</v>
          </cell>
        </row>
        <row r="259">
          <cell r="A259" t="str">
            <v>ANT-0533</v>
          </cell>
          <cell r="B259" t="str">
            <v>Lomami</v>
          </cell>
          <cell r="C259">
            <v>4.8265669999999998</v>
          </cell>
          <cell r="D259">
            <v>28.535277000000001</v>
          </cell>
          <cell r="E259" t="str">
            <v>3G</v>
          </cell>
          <cell r="F259" t="str">
            <v>Huawei</v>
          </cell>
        </row>
        <row r="260">
          <cell r="A260" t="str">
            <v>ANT-0534</v>
          </cell>
          <cell r="B260" t="str">
            <v>Tanganyika</v>
          </cell>
          <cell r="C260">
            <v>-9.002459</v>
          </cell>
          <cell r="D260">
            <v>25.182109000000001</v>
          </cell>
          <cell r="E260" t="str">
            <v>5G</v>
          </cell>
          <cell r="F260" t="str">
            <v>Huawei</v>
          </cell>
        </row>
        <row r="261">
          <cell r="A261" t="str">
            <v>ANT-0535</v>
          </cell>
          <cell r="B261" t="str">
            <v>Ituri</v>
          </cell>
          <cell r="C261">
            <v>1.019657</v>
          </cell>
          <cell r="D261">
            <v>16.963799000000002</v>
          </cell>
          <cell r="E261" t="str">
            <v>3G</v>
          </cell>
          <cell r="F261" t="str">
            <v>Nokia</v>
          </cell>
        </row>
        <row r="262">
          <cell r="A262" t="str">
            <v>ANT-0536</v>
          </cell>
          <cell r="B262" t="str">
            <v>Tshopo</v>
          </cell>
          <cell r="C262">
            <v>-0.919767</v>
          </cell>
          <cell r="D262">
            <v>18.905538</v>
          </cell>
          <cell r="E262" t="str">
            <v>5G</v>
          </cell>
          <cell r="F262" t="str">
            <v>Ericsson</v>
          </cell>
        </row>
        <row r="263">
          <cell r="A263" t="str">
            <v>ANT-0543</v>
          </cell>
          <cell r="B263" t="str">
            <v>Haut-Katanga</v>
          </cell>
          <cell r="C263">
            <v>-4.4958720000000003</v>
          </cell>
          <cell r="D263">
            <v>18.514112000000001</v>
          </cell>
          <cell r="E263" t="str">
            <v>4G</v>
          </cell>
          <cell r="F263" t="str">
            <v>Nokia</v>
          </cell>
        </row>
        <row r="264">
          <cell r="A264" t="str">
            <v>ANT-0545</v>
          </cell>
          <cell r="B264" t="str">
            <v>Kinshasa</v>
          </cell>
          <cell r="C264">
            <v>-2.6665070000000002</v>
          </cell>
          <cell r="D264">
            <v>18.623692999999999</v>
          </cell>
          <cell r="E264" t="str">
            <v>3G</v>
          </cell>
          <cell r="F264" t="str">
            <v>ZTE</v>
          </cell>
        </row>
        <row r="265">
          <cell r="A265" t="str">
            <v>ANT-0549</v>
          </cell>
          <cell r="B265" t="str">
            <v>Mai-Ndombe</v>
          </cell>
          <cell r="C265">
            <v>-0.47411900000000001</v>
          </cell>
          <cell r="D265">
            <v>27.184329000000002</v>
          </cell>
          <cell r="E265" t="str">
            <v>5G</v>
          </cell>
          <cell r="F265" t="str">
            <v>ZTE</v>
          </cell>
        </row>
        <row r="266">
          <cell r="A266" t="str">
            <v>ANT-0551</v>
          </cell>
          <cell r="B266" t="str">
            <v>Tshuapa</v>
          </cell>
          <cell r="C266">
            <v>-7.789663</v>
          </cell>
          <cell r="D266">
            <v>26.529098000000001</v>
          </cell>
          <cell r="E266" t="str">
            <v>5G</v>
          </cell>
          <cell r="F266" t="str">
            <v>Nokia</v>
          </cell>
        </row>
        <row r="267">
          <cell r="A267" t="str">
            <v>ANT-0552</v>
          </cell>
          <cell r="B267" t="str">
            <v>Kinshasa</v>
          </cell>
          <cell r="C267">
            <v>-10.579510000000001</v>
          </cell>
          <cell r="D267">
            <v>23.502313999999998</v>
          </cell>
          <cell r="E267" t="str">
            <v>4G</v>
          </cell>
          <cell r="F267" t="str">
            <v>ZTE</v>
          </cell>
        </row>
        <row r="268">
          <cell r="A268" t="str">
            <v>ANT-0553</v>
          </cell>
          <cell r="B268" t="str">
            <v>Nord-Kivu</v>
          </cell>
          <cell r="C268">
            <v>4.6287159999999998</v>
          </cell>
          <cell r="D268">
            <v>19.407077999999998</v>
          </cell>
          <cell r="E268" t="str">
            <v>4G</v>
          </cell>
          <cell r="F268" t="str">
            <v>Ericsson</v>
          </cell>
        </row>
        <row r="269">
          <cell r="A269" t="str">
            <v>ANT-0557</v>
          </cell>
          <cell r="B269" t="str">
            <v>Sud-Kivu</v>
          </cell>
          <cell r="C269">
            <v>-1.3024210000000001</v>
          </cell>
          <cell r="D269">
            <v>13.601914000000001</v>
          </cell>
          <cell r="E269" t="str">
            <v>3G</v>
          </cell>
          <cell r="F269" t="str">
            <v>Huawei</v>
          </cell>
        </row>
        <row r="270">
          <cell r="A270" t="str">
            <v>ANT-0558</v>
          </cell>
          <cell r="B270" t="str">
            <v>Haut-Katanga</v>
          </cell>
          <cell r="C270">
            <v>-11.468578000000001</v>
          </cell>
          <cell r="D270">
            <v>16.914501999999999</v>
          </cell>
          <cell r="E270" t="str">
            <v>4G</v>
          </cell>
          <cell r="F270" t="str">
            <v>Ericsson</v>
          </cell>
        </row>
        <row r="271">
          <cell r="A271" t="str">
            <v>ANT-0563</v>
          </cell>
          <cell r="B271" t="str">
            <v>Nord-Kivu</v>
          </cell>
          <cell r="C271">
            <v>-1.8555980000000001</v>
          </cell>
          <cell r="D271">
            <v>30.421918000000002</v>
          </cell>
          <cell r="E271" t="str">
            <v>3G</v>
          </cell>
          <cell r="F271" t="str">
            <v>ZTE</v>
          </cell>
        </row>
        <row r="272">
          <cell r="A272" t="str">
            <v>ANT-0564</v>
          </cell>
          <cell r="B272" t="str">
            <v>Nord-Kivu</v>
          </cell>
          <cell r="C272">
            <v>-12.336202</v>
          </cell>
          <cell r="D272">
            <v>13.693683999999999</v>
          </cell>
          <cell r="E272" t="str">
            <v>5G</v>
          </cell>
          <cell r="F272" t="str">
            <v>Huawei</v>
          </cell>
        </row>
        <row r="273">
          <cell r="A273" t="str">
            <v>ANT-0565</v>
          </cell>
          <cell r="B273" t="str">
            <v>Tanganyika</v>
          </cell>
          <cell r="C273">
            <v>-2.099631</v>
          </cell>
          <cell r="D273">
            <v>13.974640000000001</v>
          </cell>
          <cell r="E273" t="str">
            <v>3G</v>
          </cell>
          <cell r="F273" t="str">
            <v>Nokia</v>
          </cell>
        </row>
        <row r="274">
          <cell r="A274" t="str">
            <v>ANT-0566</v>
          </cell>
          <cell r="B274" t="str">
            <v>Bas-Uele</v>
          </cell>
          <cell r="C274">
            <v>-4.4697000000000001E-2</v>
          </cell>
          <cell r="D274">
            <v>22.943373000000001</v>
          </cell>
          <cell r="E274" t="str">
            <v>3G</v>
          </cell>
          <cell r="F274" t="str">
            <v>Huawei</v>
          </cell>
        </row>
        <row r="275">
          <cell r="A275" t="str">
            <v>ANT-0569</v>
          </cell>
          <cell r="B275" t="str">
            <v>Haut-Katanga</v>
          </cell>
          <cell r="C275">
            <v>-3.3890790000000002</v>
          </cell>
          <cell r="D275">
            <v>18.374571</v>
          </cell>
          <cell r="E275" t="str">
            <v>5G</v>
          </cell>
          <cell r="F275" t="str">
            <v>ZTE</v>
          </cell>
        </row>
        <row r="276">
          <cell r="A276" t="str">
            <v>ANT-0571</v>
          </cell>
          <cell r="B276" t="str">
            <v>Bas-Uele</v>
          </cell>
          <cell r="C276">
            <v>-2.3269820000000001</v>
          </cell>
          <cell r="D276">
            <v>14.609259</v>
          </cell>
          <cell r="E276" t="str">
            <v>3G</v>
          </cell>
          <cell r="F276" t="str">
            <v>Nokia</v>
          </cell>
        </row>
        <row r="277">
          <cell r="A277" t="str">
            <v>ANT-0573</v>
          </cell>
          <cell r="B277" t="str">
            <v>Lualaba</v>
          </cell>
          <cell r="C277">
            <v>-7.4608439999999998</v>
          </cell>
          <cell r="D277">
            <v>23.268619999999999</v>
          </cell>
          <cell r="E277" t="str">
            <v>4G</v>
          </cell>
          <cell r="F277" t="str">
            <v>Huawei</v>
          </cell>
        </row>
        <row r="278">
          <cell r="A278" t="str">
            <v>ANT-0578</v>
          </cell>
          <cell r="B278" t="str">
            <v>Equateur</v>
          </cell>
          <cell r="C278">
            <v>-6.1490739999999997</v>
          </cell>
          <cell r="D278">
            <v>23.304411000000002</v>
          </cell>
          <cell r="E278" t="str">
            <v>5G</v>
          </cell>
          <cell r="F278" t="str">
            <v>ZTE</v>
          </cell>
        </row>
        <row r="279">
          <cell r="A279" t="str">
            <v>ANT-0579</v>
          </cell>
          <cell r="B279" t="str">
            <v>Maniema</v>
          </cell>
          <cell r="C279">
            <v>-1.6488929999999999</v>
          </cell>
          <cell r="D279">
            <v>27.284617000000001</v>
          </cell>
          <cell r="E279" t="str">
            <v>5G</v>
          </cell>
          <cell r="F279" t="str">
            <v>Nokia</v>
          </cell>
        </row>
        <row r="280">
          <cell r="A280" t="str">
            <v>ANT-0580</v>
          </cell>
          <cell r="B280" t="str">
            <v>Lualaba</v>
          </cell>
          <cell r="C280">
            <v>-11.354772000000001</v>
          </cell>
          <cell r="D280">
            <v>21.957325999999998</v>
          </cell>
          <cell r="E280" t="str">
            <v>3G</v>
          </cell>
          <cell r="F280" t="str">
            <v>Nokia</v>
          </cell>
        </row>
        <row r="281">
          <cell r="A281" t="str">
            <v>ANT-0582</v>
          </cell>
          <cell r="B281" t="str">
            <v>Sud-Kivu</v>
          </cell>
          <cell r="C281">
            <v>-1.4700059999999999</v>
          </cell>
          <cell r="D281">
            <v>18.680958</v>
          </cell>
          <cell r="E281" t="str">
            <v>3G</v>
          </cell>
          <cell r="F281" t="str">
            <v>Huawei</v>
          </cell>
        </row>
        <row r="282">
          <cell r="A282" t="str">
            <v>ANT-0584</v>
          </cell>
          <cell r="B282" t="str">
            <v>Nord-Ubangi</v>
          </cell>
          <cell r="C282">
            <v>-3.967184</v>
          </cell>
          <cell r="D282">
            <v>21.177499999999998</v>
          </cell>
          <cell r="E282" t="str">
            <v>3G</v>
          </cell>
          <cell r="F282" t="str">
            <v>Huawei</v>
          </cell>
        </row>
        <row r="283">
          <cell r="A283" t="str">
            <v>ANT-0587</v>
          </cell>
          <cell r="B283" t="str">
            <v>Haut-Katanga</v>
          </cell>
          <cell r="C283">
            <v>-10.945031</v>
          </cell>
          <cell r="D283">
            <v>27.922274000000002</v>
          </cell>
          <cell r="E283" t="str">
            <v>4G</v>
          </cell>
          <cell r="F283" t="str">
            <v>Ericsson</v>
          </cell>
        </row>
        <row r="284">
          <cell r="A284" t="str">
            <v>ANT-0588</v>
          </cell>
          <cell r="B284" t="str">
            <v>Haut-Lomami</v>
          </cell>
          <cell r="C284">
            <v>-4.8157019999999999</v>
          </cell>
          <cell r="D284">
            <v>27.679798000000002</v>
          </cell>
          <cell r="E284" t="str">
            <v>3G</v>
          </cell>
          <cell r="F284" t="str">
            <v>Ericsson</v>
          </cell>
        </row>
        <row r="285">
          <cell r="A285" t="str">
            <v>ANT-0589</v>
          </cell>
          <cell r="B285" t="str">
            <v>Kwango</v>
          </cell>
          <cell r="C285">
            <v>4.7908840000000001</v>
          </cell>
          <cell r="D285">
            <v>23.051435000000001</v>
          </cell>
          <cell r="E285" t="str">
            <v>3G</v>
          </cell>
          <cell r="F285" t="str">
            <v>Nokia</v>
          </cell>
        </row>
        <row r="286">
          <cell r="A286" t="str">
            <v>ANT-0590</v>
          </cell>
          <cell r="B286" t="str">
            <v>Kasai</v>
          </cell>
          <cell r="C286">
            <v>-6.8161690000000004</v>
          </cell>
          <cell r="D286">
            <v>16.521000999999998</v>
          </cell>
          <cell r="E286" t="str">
            <v>5G</v>
          </cell>
          <cell r="F286" t="str">
            <v>Ericsson</v>
          </cell>
        </row>
        <row r="287">
          <cell r="A287" t="str">
            <v>ANT-0592</v>
          </cell>
          <cell r="B287" t="str">
            <v>Kasai-Oriental</v>
          </cell>
          <cell r="C287">
            <v>-4.4831099999999999</v>
          </cell>
          <cell r="D287">
            <v>25.406548000000001</v>
          </cell>
          <cell r="E287" t="str">
            <v>5G</v>
          </cell>
          <cell r="F287" t="str">
            <v>Nokia</v>
          </cell>
        </row>
        <row r="288">
          <cell r="A288" t="str">
            <v>ANT-0593</v>
          </cell>
          <cell r="B288" t="str">
            <v>Maniema</v>
          </cell>
          <cell r="C288">
            <v>-6.5144820000000001</v>
          </cell>
          <cell r="D288">
            <v>13.815521</v>
          </cell>
          <cell r="E288" t="str">
            <v>4G</v>
          </cell>
          <cell r="F288" t="str">
            <v>ZTE</v>
          </cell>
        </row>
        <row r="289">
          <cell r="A289" t="str">
            <v>ANT-0596</v>
          </cell>
          <cell r="B289" t="str">
            <v>Sud-Ubangi</v>
          </cell>
          <cell r="C289">
            <v>-8.3241560000000003</v>
          </cell>
          <cell r="D289">
            <v>19.543866000000001</v>
          </cell>
          <cell r="E289" t="str">
            <v>4G</v>
          </cell>
          <cell r="F289" t="str">
            <v>ZTE</v>
          </cell>
        </row>
        <row r="290">
          <cell r="A290" t="str">
            <v>ANT-0597</v>
          </cell>
          <cell r="B290" t="str">
            <v>Nord-Ubangi</v>
          </cell>
          <cell r="C290">
            <v>-9.3066320000000005</v>
          </cell>
          <cell r="D290">
            <v>20.470889</v>
          </cell>
          <cell r="E290" t="str">
            <v>5G</v>
          </cell>
          <cell r="F290" t="str">
            <v>ZTE</v>
          </cell>
        </row>
        <row r="291">
          <cell r="A291" t="str">
            <v>ANT-0600</v>
          </cell>
          <cell r="B291" t="str">
            <v>Tshuapa</v>
          </cell>
          <cell r="C291">
            <v>-12.292039000000001</v>
          </cell>
          <cell r="D291">
            <v>27.538202999999999</v>
          </cell>
          <cell r="E291" t="str">
            <v>3G</v>
          </cell>
          <cell r="F291" t="str">
            <v>Huawei</v>
          </cell>
        </row>
        <row r="292">
          <cell r="A292" t="str">
            <v>ANT-0601</v>
          </cell>
          <cell r="B292" t="str">
            <v>Haut-Lomami</v>
          </cell>
          <cell r="C292">
            <v>-12.013389999999999</v>
          </cell>
          <cell r="D292">
            <v>25.24456</v>
          </cell>
          <cell r="E292" t="str">
            <v>3G</v>
          </cell>
          <cell r="F292" t="str">
            <v>Huawei</v>
          </cell>
        </row>
        <row r="293">
          <cell r="A293" t="str">
            <v>ANT-0602</v>
          </cell>
          <cell r="B293" t="str">
            <v>Maniema</v>
          </cell>
          <cell r="C293">
            <v>-1.259528</v>
          </cell>
          <cell r="D293">
            <v>24.607037999999999</v>
          </cell>
          <cell r="E293" t="str">
            <v>4G</v>
          </cell>
          <cell r="F293" t="str">
            <v>ZTE</v>
          </cell>
        </row>
        <row r="294">
          <cell r="A294" t="str">
            <v>ANT-0603</v>
          </cell>
          <cell r="B294" t="str">
            <v>Nord-Kivu</v>
          </cell>
          <cell r="C294">
            <v>-1.501492</v>
          </cell>
          <cell r="D294">
            <v>24.088695999999999</v>
          </cell>
          <cell r="E294" t="str">
            <v>4G</v>
          </cell>
          <cell r="F294" t="str">
            <v>Nokia</v>
          </cell>
        </row>
        <row r="295">
          <cell r="A295" t="str">
            <v>ANT-0604</v>
          </cell>
          <cell r="B295" t="str">
            <v>Haut-Lomami</v>
          </cell>
          <cell r="C295">
            <v>2.628638</v>
          </cell>
          <cell r="D295">
            <v>28.420582</v>
          </cell>
          <cell r="E295" t="str">
            <v>4G</v>
          </cell>
          <cell r="F295" t="str">
            <v>Huawei</v>
          </cell>
        </row>
        <row r="296">
          <cell r="A296" t="str">
            <v>ANT-0605</v>
          </cell>
          <cell r="B296" t="str">
            <v>Bas-Uele</v>
          </cell>
          <cell r="C296">
            <v>-6.8054750000000004</v>
          </cell>
          <cell r="D296">
            <v>13.022683000000001</v>
          </cell>
          <cell r="E296" t="str">
            <v>4G</v>
          </cell>
          <cell r="F296" t="str">
            <v>Huawei</v>
          </cell>
        </row>
        <row r="297">
          <cell r="A297" t="str">
            <v>ANT-0607</v>
          </cell>
          <cell r="B297" t="str">
            <v>Nord-Ubangi</v>
          </cell>
          <cell r="C297">
            <v>-8.4985189999999999</v>
          </cell>
          <cell r="D297">
            <v>12.929456999999999</v>
          </cell>
          <cell r="E297" t="str">
            <v>4G</v>
          </cell>
          <cell r="F297" t="str">
            <v>Ericsson</v>
          </cell>
        </row>
        <row r="298">
          <cell r="A298" t="str">
            <v>ANT-0611</v>
          </cell>
          <cell r="B298" t="str">
            <v>Kongo-Central</v>
          </cell>
          <cell r="C298">
            <v>0.79124300000000003</v>
          </cell>
          <cell r="D298">
            <v>25.273389000000002</v>
          </cell>
          <cell r="E298" t="str">
            <v>4G</v>
          </cell>
          <cell r="F298" t="str">
            <v>Nokia</v>
          </cell>
        </row>
        <row r="299">
          <cell r="A299" t="str">
            <v>ANT-0612</v>
          </cell>
          <cell r="B299" t="str">
            <v>Kwango</v>
          </cell>
          <cell r="C299">
            <v>-7.5129409999999996</v>
          </cell>
          <cell r="D299">
            <v>18.701522000000001</v>
          </cell>
          <cell r="E299" t="str">
            <v>4G</v>
          </cell>
          <cell r="F299" t="str">
            <v>Nokia</v>
          </cell>
        </row>
        <row r="300">
          <cell r="A300" t="str">
            <v>ANT-0613</v>
          </cell>
          <cell r="B300" t="str">
            <v>Kasai</v>
          </cell>
          <cell r="C300">
            <v>-7.7942479999999996</v>
          </cell>
          <cell r="D300">
            <v>15.184407999999999</v>
          </cell>
          <cell r="E300" t="str">
            <v>3G</v>
          </cell>
          <cell r="F300" t="str">
            <v>ZTE</v>
          </cell>
        </row>
        <row r="301">
          <cell r="A301" t="str">
            <v>ANT-0614</v>
          </cell>
          <cell r="B301" t="str">
            <v>Tshopo</v>
          </cell>
          <cell r="C301">
            <v>-6.1837850000000003</v>
          </cell>
          <cell r="D301">
            <v>25.138759</v>
          </cell>
          <cell r="E301" t="str">
            <v>3G</v>
          </cell>
          <cell r="F301" t="str">
            <v>Ericsson</v>
          </cell>
        </row>
        <row r="302">
          <cell r="A302" t="str">
            <v>ANT-0615</v>
          </cell>
          <cell r="C302">
            <v>3.9790009999999998</v>
          </cell>
          <cell r="D302">
            <v>28.069559000000002</v>
          </cell>
          <cell r="E302" t="str">
            <v>3G</v>
          </cell>
          <cell r="F302" t="str">
            <v>Huawei</v>
          </cell>
        </row>
        <row r="303">
          <cell r="A303" t="str">
            <v>ANT-0616</v>
          </cell>
          <cell r="B303" t="str">
            <v>Equateur</v>
          </cell>
          <cell r="C303">
            <v>-3.7093609999999999</v>
          </cell>
          <cell r="D303">
            <v>23.959942999999999</v>
          </cell>
          <cell r="E303" t="str">
            <v>4G</v>
          </cell>
          <cell r="F303" t="str">
            <v>Huawei</v>
          </cell>
        </row>
        <row r="304">
          <cell r="A304" t="str">
            <v>ANT-0617</v>
          </cell>
          <cell r="B304" t="str">
            <v>Tshuapa</v>
          </cell>
          <cell r="C304">
            <v>-7.7587710000000003</v>
          </cell>
          <cell r="D304">
            <v>17.880848</v>
          </cell>
          <cell r="E304" t="str">
            <v>3G</v>
          </cell>
          <cell r="F304" t="str">
            <v>Ericsson</v>
          </cell>
        </row>
        <row r="305">
          <cell r="A305" t="str">
            <v>ANT-0618</v>
          </cell>
          <cell r="B305" t="str">
            <v>Mongala</v>
          </cell>
          <cell r="C305">
            <v>-4.332408</v>
          </cell>
          <cell r="D305">
            <v>14.119439</v>
          </cell>
          <cell r="E305" t="str">
            <v>5G</v>
          </cell>
          <cell r="F305" t="str">
            <v>Nokia</v>
          </cell>
        </row>
        <row r="306">
          <cell r="A306" t="str">
            <v>ANT-0619</v>
          </cell>
          <cell r="B306" t="str">
            <v>Sankuru</v>
          </cell>
          <cell r="C306">
            <v>-7.513261</v>
          </cell>
          <cell r="D306">
            <v>24.338812000000001</v>
          </cell>
          <cell r="E306" t="str">
            <v>5G</v>
          </cell>
          <cell r="F306" t="str">
            <v>Huawei</v>
          </cell>
        </row>
        <row r="307">
          <cell r="A307" t="str">
            <v>ANT-0620</v>
          </cell>
          <cell r="B307" t="str">
            <v>Nord-Kivu</v>
          </cell>
          <cell r="C307">
            <v>-4.1754939999999996</v>
          </cell>
          <cell r="D307">
            <v>16.704664999999999</v>
          </cell>
          <cell r="E307" t="str">
            <v>3G</v>
          </cell>
          <cell r="F307" t="str">
            <v>Ericsson</v>
          </cell>
        </row>
        <row r="308">
          <cell r="A308" t="str">
            <v>ANT-0621</v>
          </cell>
          <cell r="B308" t="str">
            <v>Haut-Katanga</v>
          </cell>
          <cell r="C308">
            <v>-2.926736</v>
          </cell>
          <cell r="D308">
            <v>18.170461</v>
          </cell>
          <cell r="E308" t="str">
            <v>5G</v>
          </cell>
          <cell r="F308" t="str">
            <v>Ericsson</v>
          </cell>
        </row>
        <row r="309">
          <cell r="A309" t="str">
            <v>ANT-0622</v>
          </cell>
          <cell r="B309" t="str">
            <v>Haut-Uele</v>
          </cell>
          <cell r="C309">
            <v>-3.003879</v>
          </cell>
          <cell r="D309">
            <v>23.633893</v>
          </cell>
          <cell r="E309" t="str">
            <v>5G</v>
          </cell>
          <cell r="F309" t="str">
            <v>Ericsson</v>
          </cell>
        </row>
        <row r="310">
          <cell r="A310" t="str">
            <v>ANT-0624</v>
          </cell>
          <cell r="B310" t="str">
            <v>Haut-Katanga</v>
          </cell>
          <cell r="C310">
            <v>0.172153</v>
          </cell>
          <cell r="D310">
            <v>21.091376</v>
          </cell>
          <cell r="E310" t="str">
            <v>3G</v>
          </cell>
          <cell r="F310" t="str">
            <v>Ericsson</v>
          </cell>
        </row>
        <row r="311">
          <cell r="A311" t="str">
            <v>ANT-0625</v>
          </cell>
          <cell r="B311" t="str">
            <v>Haut-Lomami</v>
          </cell>
          <cell r="C311">
            <v>0.76493</v>
          </cell>
          <cell r="D311">
            <v>21.564274999999999</v>
          </cell>
          <cell r="E311" t="str">
            <v>3G</v>
          </cell>
          <cell r="F311" t="str">
            <v>ZTE</v>
          </cell>
        </row>
        <row r="312">
          <cell r="A312" t="str">
            <v>ANT-0627</v>
          </cell>
          <cell r="B312" t="str">
            <v>Nord-Ubangi</v>
          </cell>
          <cell r="C312">
            <v>-11.472474999999999</v>
          </cell>
          <cell r="D312">
            <v>27.418900000000001</v>
          </cell>
          <cell r="E312" t="str">
            <v>4G</v>
          </cell>
          <cell r="F312" t="str">
            <v>ZTE</v>
          </cell>
        </row>
        <row r="313">
          <cell r="A313" t="str">
            <v>ANT-0629</v>
          </cell>
          <cell r="B313" t="str">
            <v>Kwango</v>
          </cell>
          <cell r="C313">
            <v>1.204588</v>
          </cell>
          <cell r="D313">
            <v>15.525152</v>
          </cell>
          <cell r="E313" t="str">
            <v>5G</v>
          </cell>
          <cell r="F313" t="str">
            <v>Huawei</v>
          </cell>
        </row>
        <row r="314">
          <cell r="A314" t="str">
            <v>ANT-0630</v>
          </cell>
          <cell r="B314" t="str">
            <v>Kwango</v>
          </cell>
          <cell r="C314">
            <v>-8.1210620000000002</v>
          </cell>
          <cell r="D314">
            <v>21.094390000000001</v>
          </cell>
          <cell r="E314" t="str">
            <v>5G</v>
          </cell>
          <cell r="F314" t="str">
            <v>ZTE</v>
          </cell>
        </row>
        <row r="315">
          <cell r="A315" t="str">
            <v>ANT-0631</v>
          </cell>
          <cell r="B315" t="str">
            <v>Tshopo</v>
          </cell>
          <cell r="C315">
            <v>-0.85624699999999998</v>
          </cell>
          <cell r="D315">
            <v>28.624870000000001</v>
          </cell>
          <cell r="E315" t="str">
            <v>3G</v>
          </cell>
          <cell r="F315" t="str">
            <v>Ericsson</v>
          </cell>
        </row>
        <row r="316">
          <cell r="A316" t="str">
            <v>ANT-0636</v>
          </cell>
          <cell r="B316" t="str">
            <v>Tshuapa</v>
          </cell>
          <cell r="C316">
            <v>3.796754</v>
          </cell>
          <cell r="D316">
            <v>25.172377999999998</v>
          </cell>
          <cell r="E316" t="str">
            <v>4G</v>
          </cell>
          <cell r="F316" t="str">
            <v>Huawei</v>
          </cell>
        </row>
        <row r="317">
          <cell r="A317" t="str">
            <v>ANT-0639</v>
          </cell>
          <cell r="B317" t="str">
            <v>Kasai</v>
          </cell>
          <cell r="C317">
            <v>2.5665840000000002</v>
          </cell>
          <cell r="D317">
            <v>15.764796</v>
          </cell>
          <cell r="E317" t="str">
            <v>3G</v>
          </cell>
          <cell r="F317" t="str">
            <v>ZTE</v>
          </cell>
        </row>
        <row r="318">
          <cell r="A318" t="str">
            <v>ANT-0641</v>
          </cell>
          <cell r="B318" t="str">
            <v>Lomami</v>
          </cell>
          <cell r="C318">
            <v>-2.2371569999999998</v>
          </cell>
          <cell r="D318">
            <v>25.926188</v>
          </cell>
          <cell r="E318" t="str">
            <v>3G</v>
          </cell>
          <cell r="F318" t="str">
            <v>Nokia</v>
          </cell>
        </row>
        <row r="319">
          <cell r="A319" t="str">
            <v>ANT-0642</v>
          </cell>
          <cell r="B319" t="str">
            <v>Kwilu</v>
          </cell>
          <cell r="C319">
            <v>-4.2408359999999998</v>
          </cell>
          <cell r="D319">
            <v>26.210014000000001</v>
          </cell>
          <cell r="E319" t="str">
            <v>4G</v>
          </cell>
          <cell r="F319" t="str">
            <v>Huawei</v>
          </cell>
        </row>
        <row r="320">
          <cell r="A320" t="str">
            <v>ANT-0645</v>
          </cell>
          <cell r="B320" t="str">
            <v>Tshopo</v>
          </cell>
          <cell r="C320">
            <v>1.3367519999999999</v>
          </cell>
          <cell r="D320">
            <v>12.697699999999999</v>
          </cell>
          <cell r="E320" t="str">
            <v>5G</v>
          </cell>
          <cell r="F320" t="str">
            <v>Huawei</v>
          </cell>
        </row>
        <row r="321">
          <cell r="A321" t="str">
            <v>ANT-0647</v>
          </cell>
          <cell r="B321" t="str">
            <v>Kasai-Oriental</v>
          </cell>
          <cell r="C321">
            <v>2.1014910000000002</v>
          </cell>
          <cell r="D321">
            <v>26.133631999999999</v>
          </cell>
          <cell r="E321" t="str">
            <v>5G</v>
          </cell>
          <cell r="F321" t="str">
            <v>Huawei</v>
          </cell>
        </row>
        <row r="322">
          <cell r="A322" t="str">
            <v>ANT-0648</v>
          </cell>
          <cell r="B322" t="str">
            <v>Kwango</v>
          </cell>
          <cell r="C322">
            <v>0.81629799999999997</v>
          </cell>
          <cell r="D322">
            <v>18.557718000000001</v>
          </cell>
          <cell r="E322" t="str">
            <v>5G</v>
          </cell>
          <cell r="F322" t="str">
            <v>Ericsson</v>
          </cell>
        </row>
        <row r="323">
          <cell r="A323" t="str">
            <v>ANT-0649</v>
          </cell>
          <cell r="B323" t="str">
            <v>Nord-Ubangi</v>
          </cell>
          <cell r="C323">
            <v>-7.7839049999999999</v>
          </cell>
          <cell r="D323">
            <v>14.114281999999999</v>
          </cell>
          <cell r="E323" t="str">
            <v>3G</v>
          </cell>
          <cell r="F323" t="str">
            <v>ZTE</v>
          </cell>
        </row>
        <row r="324">
          <cell r="A324" t="str">
            <v>ANT-0652</v>
          </cell>
          <cell r="B324" t="str">
            <v>Sud-Kivu</v>
          </cell>
          <cell r="C324">
            <v>-12.17557</v>
          </cell>
          <cell r="D324">
            <v>26.678691000000001</v>
          </cell>
          <cell r="E324" t="str">
            <v>4G</v>
          </cell>
          <cell r="F324" t="str">
            <v>Huawei</v>
          </cell>
        </row>
        <row r="325">
          <cell r="A325" t="str">
            <v>ANT-0653</v>
          </cell>
          <cell r="B325" t="str">
            <v>Nord-Kivu</v>
          </cell>
          <cell r="C325">
            <v>0.82868600000000003</v>
          </cell>
          <cell r="D325">
            <v>26.958843999999999</v>
          </cell>
          <cell r="E325" t="str">
            <v>5G</v>
          </cell>
          <cell r="F325" t="str">
            <v>ZTE</v>
          </cell>
        </row>
        <row r="326">
          <cell r="A326" t="str">
            <v>ANT-0659</v>
          </cell>
          <cell r="B326" t="str">
            <v>Tanganyika</v>
          </cell>
          <cell r="C326">
            <v>-6.2712260000000004</v>
          </cell>
          <cell r="D326">
            <v>21.512366</v>
          </cell>
          <cell r="E326" t="str">
            <v>5G</v>
          </cell>
          <cell r="F326" t="str">
            <v>Huawei</v>
          </cell>
        </row>
        <row r="327">
          <cell r="A327" t="str">
            <v>ANT-0662</v>
          </cell>
          <cell r="B327" t="str">
            <v>Nord-Ubangi</v>
          </cell>
          <cell r="C327">
            <v>-1.342476</v>
          </cell>
          <cell r="D327">
            <v>15.986086</v>
          </cell>
          <cell r="E327" t="str">
            <v>4G</v>
          </cell>
          <cell r="F327" t="str">
            <v>Ericsson</v>
          </cell>
        </row>
        <row r="328">
          <cell r="A328" t="str">
            <v>ANT-0663</v>
          </cell>
          <cell r="B328" t="str">
            <v>Haut-Lomami</v>
          </cell>
          <cell r="C328">
            <v>-5.5559329999999996</v>
          </cell>
          <cell r="D328">
            <v>13.508692999999999</v>
          </cell>
          <cell r="E328" t="str">
            <v>3G</v>
          </cell>
          <cell r="F328" t="str">
            <v>Nokia</v>
          </cell>
        </row>
        <row r="329">
          <cell r="A329" t="str">
            <v>ANT-0665</v>
          </cell>
          <cell r="B329" t="str">
            <v>Bas-Uele</v>
          </cell>
          <cell r="C329">
            <v>-5.9281110000000004</v>
          </cell>
          <cell r="D329">
            <v>29.607863999999999</v>
          </cell>
          <cell r="E329" t="str">
            <v>4G</v>
          </cell>
          <cell r="F329" t="str">
            <v>Huawei</v>
          </cell>
        </row>
        <row r="330">
          <cell r="A330" t="str">
            <v>ANT-0668</v>
          </cell>
          <cell r="B330" t="str">
            <v>Kongo-Central</v>
          </cell>
          <cell r="C330">
            <v>-9.8208710000000004</v>
          </cell>
          <cell r="D330">
            <v>23.229807000000001</v>
          </cell>
          <cell r="E330" t="str">
            <v>5G</v>
          </cell>
          <cell r="F330" t="str">
            <v>Nokia</v>
          </cell>
        </row>
        <row r="331">
          <cell r="A331" t="str">
            <v>ANT-0670</v>
          </cell>
          <cell r="B331" t="str">
            <v>Haut-Uele</v>
          </cell>
          <cell r="C331">
            <v>-7.1483749999999997</v>
          </cell>
          <cell r="D331">
            <v>26.014271000000001</v>
          </cell>
          <cell r="E331" t="str">
            <v>5G</v>
          </cell>
          <cell r="F331" t="str">
            <v>Huawei</v>
          </cell>
        </row>
        <row r="332">
          <cell r="A332" t="str">
            <v>ANT-0671</v>
          </cell>
          <cell r="B332" t="str">
            <v>Nord-Ubangi</v>
          </cell>
          <cell r="C332">
            <v>-7.8373179999999998</v>
          </cell>
          <cell r="D332">
            <v>20.527591999999999</v>
          </cell>
          <cell r="E332" t="str">
            <v>4G</v>
          </cell>
          <cell r="F332" t="str">
            <v>Ericsson</v>
          </cell>
        </row>
        <row r="333">
          <cell r="A333" t="str">
            <v>ANT-0674</v>
          </cell>
          <cell r="B333" t="str">
            <v>Tshuapa</v>
          </cell>
          <cell r="C333">
            <v>0.52897499999999997</v>
          </cell>
          <cell r="D333">
            <v>13.849651</v>
          </cell>
          <cell r="E333" t="str">
            <v>3G</v>
          </cell>
          <cell r="F333" t="str">
            <v>ZTE</v>
          </cell>
        </row>
        <row r="334">
          <cell r="A334" t="str">
            <v>ANT-0676</v>
          </cell>
          <cell r="B334" t="str">
            <v>Kasai-Oriental</v>
          </cell>
          <cell r="C334">
            <v>3.7552780000000001</v>
          </cell>
          <cell r="D334">
            <v>22.477888</v>
          </cell>
          <cell r="E334" t="str">
            <v>3G</v>
          </cell>
          <cell r="F334" t="str">
            <v>Nokia</v>
          </cell>
        </row>
        <row r="335">
          <cell r="A335" t="str">
            <v>ANT-0677</v>
          </cell>
          <cell r="B335" t="str">
            <v>Kwango</v>
          </cell>
          <cell r="C335">
            <v>-4.6957509999999996</v>
          </cell>
          <cell r="D335">
            <v>14.233525999999999</v>
          </cell>
          <cell r="E335" t="str">
            <v>4G</v>
          </cell>
          <cell r="F335" t="str">
            <v>Nokia</v>
          </cell>
        </row>
        <row r="336">
          <cell r="A336" t="str">
            <v>ANT-0678</v>
          </cell>
          <cell r="B336" t="str">
            <v>Nord-Kivu</v>
          </cell>
          <cell r="C336">
            <v>-10.298385</v>
          </cell>
          <cell r="D336">
            <v>29.698117</v>
          </cell>
          <cell r="E336" t="str">
            <v>5G</v>
          </cell>
          <cell r="F336" t="str">
            <v>Nokia</v>
          </cell>
        </row>
        <row r="337">
          <cell r="A337" t="str">
            <v>ANT-0679</v>
          </cell>
          <cell r="B337" t="str">
            <v>Kongo-Central</v>
          </cell>
          <cell r="C337">
            <v>-7.1587569999999996</v>
          </cell>
          <cell r="D337">
            <v>18.975141000000001</v>
          </cell>
          <cell r="E337" t="str">
            <v>5G</v>
          </cell>
          <cell r="F337" t="str">
            <v>Ericsson</v>
          </cell>
        </row>
        <row r="338">
          <cell r="A338" t="str">
            <v>ANT-0680</v>
          </cell>
          <cell r="B338" t="str">
            <v>Tshuapa</v>
          </cell>
          <cell r="C338">
            <v>-0.79406600000000005</v>
          </cell>
          <cell r="D338">
            <v>12.534793000000001</v>
          </cell>
          <cell r="E338" t="str">
            <v>3G</v>
          </cell>
          <cell r="F338" t="str">
            <v>Huawei</v>
          </cell>
        </row>
        <row r="339">
          <cell r="A339" t="str">
            <v>ANT-0681</v>
          </cell>
          <cell r="B339" t="str">
            <v>Haut-Katanga</v>
          </cell>
          <cell r="C339">
            <v>-9.8451869999999992</v>
          </cell>
          <cell r="D339">
            <v>14.508520000000001</v>
          </cell>
          <cell r="E339" t="str">
            <v>5G</v>
          </cell>
          <cell r="F339" t="str">
            <v>Nokia</v>
          </cell>
        </row>
        <row r="340">
          <cell r="A340" t="str">
            <v>ANT-0682</v>
          </cell>
          <cell r="B340" t="str">
            <v>Kasai</v>
          </cell>
          <cell r="C340">
            <v>-2.947235</v>
          </cell>
          <cell r="D340">
            <v>16.534020999999999</v>
          </cell>
          <cell r="E340" t="str">
            <v>3G</v>
          </cell>
          <cell r="F340" t="str">
            <v>Nokia</v>
          </cell>
        </row>
        <row r="341">
          <cell r="A341" t="str">
            <v>ANT-0685</v>
          </cell>
          <cell r="B341" t="str">
            <v>Tshuapa</v>
          </cell>
          <cell r="C341">
            <v>-10.574821</v>
          </cell>
          <cell r="D341">
            <v>25.324966</v>
          </cell>
          <cell r="E341" t="str">
            <v>5G</v>
          </cell>
          <cell r="F341" t="str">
            <v>Ericsson</v>
          </cell>
        </row>
        <row r="342">
          <cell r="A342" t="str">
            <v>ANT-0690</v>
          </cell>
          <cell r="B342" t="str">
            <v>Kinshasa</v>
          </cell>
          <cell r="C342">
            <v>1.3006180000000001</v>
          </cell>
          <cell r="D342">
            <v>29.060970999999999</v>
          </cell>
          <cell r="E342" t="str">
            <v>3G</v>
          </cell>
          <cell r="F342" t="str">
            <v>ZTE</v>
          </cell>
        </row>
        <row r="343">
          <cell r="A343" t="str">
            <v>ANT-0691</v>
          </cell>
          <cell r="B343" t="str">
            <v>Haut-Uele</v>
          </cell>
          <cell r="C343">
            <v>-12.488033</v>
          </cell>
          <cell r="D343">
            <v>16.139648000000001</v>
          </cell>
          <cell r="E343" t="str">
            <v>4G</v>
          </cell>
          <cell r="F343" t="str">
            <v>Huawei</v>
          </cell>
        </row>
        <row r="344">
          <cell r="A344" t="str">
            <v>ANT-0692</v>
          </cell>
          <cell r="B344" t="str">
            <v>Kasai-Oriental</v>
          </cell>
          <cell r="C344">
            <v>7.6420000000000004E-3</v>
          </cell>
          <cell r="D344">
            <v>12.109260000000001</v>
          </cell>
          <cell r="E344" t="str">
            <v>4G</v>
          </cell>
          <cell r="F344" t="str">
            <v>Ericsson</v>
          </cell>
        </row>
        <row r="345">
          <cell r="A345" t="str">
            <v>ANT-0694</v>
          </cell>
          <cell r="B345" t="str">
            <v>Nord-Kivu</v>
          </cell>
          <cell r="C345">
            <v>-1.082322</v>
          </cell>
          <cell r="D345">
            <v>24.563559999999999</v>
          </cell>
          <cell r="E345" t="str">
            <v>4G</v>
          </cell>
          <cell r="F345" t="str">
            <v>ZTE</v>
          </cell>
        </row>
        <row r="346">
          <cell r="A346" t="str">
            <v>ANT-0695</v>
          </cell>
          <cell r="B346" t="str">
            <v>Haut-Lomami</v>
          </cell>
          <cell r="C346">
            <v>0.16327700000000001</v>
          </cell>
          <cell r="D346">
            <v>14.871577</v>
          </cell>
          <cell r="E346" t="str">
            <v>4G</v>
          </cell>
          <cell r="F346" t="str">
            <v>Huawei</v>
          </cell>
        </row>
        <row r="347">
          <cell r="A347" t="str">
            <v>ANT-0696</v>
          </cell>
          <cell r="B347" t="str">
            <v>Haut-Uele</v>
          </cell>
          <cell r="C347">
            <v>-6.9624990000000002</v>
          </cell>
          <cell r="D347">
            <v>20.759834999999999</v>
          </cell>
          <cell r="E347" t="str">
            <v>4G</v>
          </cell>
          <cell r="F347" t="str">
            <v>Huawei</v>
          </cell>
        </row>
        <row r="348">
          <cell r="A348" t="str">
            <v>ANT-0697</v>
          </cell>
          <cell r="B348" t="str">
            <v>Kwango</v>
          </cell>
          <cell r="C348">
            <v>-4.9124689999999998</v>
          </cell>
          <cell r="D348">
            <v>14.683498999999999</v>
          </cell>
          <cell r="E348" t="str">
            <v>3G</v>
          </cell>
          <cell r="F348" t="str">
            <v>ZTE</v>
          </cell>
        </row>
        <row r="349">
          <cell r="A349" t="str">
            <v>ANT-0701</v>
          </cell>
          <cell r="B349" t="str">
            <v>Equateur</v>
          </cell>
          <cell r="C349">
            <v>-12.839263000000001</v>
          </cell>
          <cell r="D349">
            <v>12.355677</v>
          </cell>
          <cell r="E349" t="str">
            <v>3G</v>
          </cell>
          <cell r="F349" t="str">
            <v>Huawei</v>
          </cell>
        </row>
        <row r="350">
          <cell r="A350" t="str">
            <v>ANT-0702</v>
          </cell>
          <cell r="B350" t="str">
            <v>Tshopo</v>
          </cell>
          <cell r="C350">
            <v>-12.88086</v>
          </cell>
          <cell r="D350">
            <v>18.862106000000001</v>
          </cell>
          <cell r="E350" t="str">
            <v>3G</v>
          </cell>
          <cell r="F350" t="str">
            <v>Nokia</v>
          </cell>
        </row>
        <row r="351">
          <cell r="A351" t="str">
            <v>ANT-0703</v>
          </cell>
          <cell r="B351" t="str">
            <v>Tanganyika</v>
          </cell>
          <cell r="C351">
            <v>-7.0007840000000003</v>
          </cell>
          <cell r="D351">
            <v>22.787997000000001</v>
          </cell>
          <cell r="E351" t="str">
            <v>5G</v>
          </cell>
          <cell r="F351" t="str">
            <v>ZTE</v>
          </cell>
        </row>
        <row r="352">
          <cell r="A352" t="str">
            <v>ANT-0705</v>
          </cell>
          <cell r="B352" t="str">
            <v>Kongo-Central</v>
          </cell>
          <cell r="C352">
            <v>-3.89927</v>
          </cell>
          <cell r="D352">
            <v>30.273492000000001</v>
          </cell>
          <cell r="E352" t="str">
            <v>3G</v>
          </cell>
          <cell r="F352" t="str">
            <v>Nokia</v>
          </cell>
        </row>
        <row r="353">
          <cell r="A353" t="str">
            <v>ANT-0706</v>
          </cell>
          <cell r="B353" t="str">
            <v>Kasai-Central</v>
          </cell>
          <cell r="C353">
            <v>3.3222779999999998</v>
          </cell>
          <cell r="D353">
            <v>29.497240000000001</v>
          </cell>
          <cell r="E353" t="str">
            <v>3G</v>
          </cell>
          <cell r="F353" t="str">
            <v>ZTE</v>
          </cell>
        </row>
        <row r="354">
          <cell r="A354" t="str">
            <v>ANT-0708</v>
          </cell>
          <cell r="B354" t="str">
            <v>Kwango</v>
          </cell>
          <cell r="C354">
            <v>-9.7712979999999998</v>
          </cell>
          <cell r="D354">
            <v>19.827895999999999</v>
          </cell>
          <cell r="E354" t="str">
            <v>3G</v>
          </cell>
          <cell r="F354" t="str">
            <v>ZTE</v>
          </cell>
        </row>
        <row r="355">
          <cell r="A355" t="str">
            <v>ANT-0714</v>
          </cell>
          <cell r="B355" t="str">
            <v>Sud-Ubangi</v>
          </cell>
          <cell r="C355">
            <v>-12.050063</v>
          </cell>
          <cell r="D355">
            <v>26.636987999999999</v>
          </cell>
          <cell r="E355" t="str">
            <v>3G</v>
          </cell>
          <cell r="F355" t="str">
            <v>Nokia</v>
          </cell>
        </row>
        <row r="356">
          <cell r="A356" t="str">
            <v>ANT-0715</v>
          </cell>
          <cell r="B356" t="str">
            <v>Mongala</v>
          </cell>
          <cell r="C356">
            <v>-11.407966</v>
          </cell>
          <cell r="D356">
            <v>28.378274000000001</v>
          </cell>
          <cell r="E356" t="str">
            <v>4G</v>
          </cell>
          <cell r="F356" t="str">
            <v>ZTE</v>
          </cell>
        </row>
        <row r="357">
          <cell r="A357" t="str">
            <v>ANT-0716</v>
          </cell>
          <cell r="B357" t="str">
            <v>Equateur</v>
          </cell>
          <cell r="C357">
            <v>-0.37665700000000002</v>
          </cell>
          <cell r="D357">
            <v>25.154807999999999</v>
          </cell>
          <cell r="E357" t="str">
            <v>3G</v>
          </cell>
          <cell r="F357" t="str">
            <v>Nokia</v>
          </cell>
        </row>
        <row r="358">
          <cell r="A358" t="str">
            <v>ANT-0718</v>
          </cell>
          <cell r="B358" t="str">
            <v>Kongo-Central</v>
          </cell>
          <cell r="C358">
            <v>1.981107</v>
          </cell>
          <cell r="D358">
            <v>23.932569000000001</v>
          </cell>
          <cell r="E358" t="str">
            <v>3G</v>
          </cell>
          <cell r="F358" t="str">
            <v>Nokia</v>
          </cell>
        </row>
        <row r="359">
          <cell r="A359" t="str">
            <v>ANT-0719</v>
          </cell>
          <cell r="B359" t="str">
            <v>Nord-Ubangi</v>
          </cell>
          <cell r="C359">
            <v>-7.9987219999999999</v>
          </cell>
          <cell r="D359">
            <v>12.779335</v>
          </cell>
          <cell r="E359" t="str">
            <v>5G</v>
          </cell>
          <cell r="F359" t="str">
            <v>Nokia</v>
          </cell>
        </row>
        <row r="360">
          <cell r="A360" t="str">
            <v>ANT-0721</v>
          </cell>
          <cell r="B360" t="str">
            <v>Tanganyika</v>
          </cell>
          <cell r="C360">
            <v>-3.9148719999999999</v>
          </cell>
          <cell r="D360">
            <v>12.260933</v>
          </cell>
          <cell r="E360" t="str">
            <v>4G</v>
          </cell>
          <cell r="F360" t="str">
            <v>Ericsson</v>
          </cell>
        </row>
        <row r="361">
          <cell r="A361" t="str">
            <v>ANT-0731</v>
          </cell>
          <cell r="B361" t="str">
            <v>Kasai-Oriental</v>
          </cell>
          <cell r="C361">
            <v>-12.333232000000001</v>
          </cell>
          <cell r="D361">
            <v>25.229620000000001</v>
          </cell>
          <cell r="E361" t="str">
            <v>5G</v>
          </cell>
          <cell r="F361" t="str">
            <v>Nokia</v>
          </cell>
        </row>
        <row r="362">
          <cell r="A362" t="str">
            <v>ANT-0735</v>
          </cell>
          <cell r="B362" t="str">
            <v>Kasai-Central</v>
          </cell>
          <cell r="C362">
            <v>-5.8352820000000003</v>
          </cell>
          <cell r="D362">
            <v>26.603978000000001</v>
          </cell>
          <cell r="E362" t="str">
            <v>4G</v>
          </cell>
          <cell r="F362" t="str">
            <v>Huawei</v>
          </cell>
        </row>
        <row r="363">
          <cell r="A363" t="str">
            <v>ANT-0736</v>
          </cell>
          <cell r="B363" t="str">
            <v>Ituri</v>
          </cell>
          <cell r="C363">
            <v>-4.2784089999999999</v>
          </cell>
          <cell r="D363">
            <v>22.871994000000001</v>
          </cell>
          <cell r="E363" t="str">
            <v>3G</v>
          </cell>
          <cell r="F363" t="str">
            <v>Ericsson</v>
          </cell>
        </row>
        <row r="364">
          <cell r="A364" t="str">
            <v>ANT-0737</v>
          </cell>
          <cell r="B364" t="str">
            <v>Kongo-Central</v>
          </cell>
          <cell r="C364">
            <v>-2.8211520000000001</v>
          </cell>
          <cell r="D364">
            <v>20.651419000000001</v>
          </cell>
          <cell r="E364" t="str">
            <v>5G</v>
          </cell>
          <cell r="F364" t="str">
            <v>Ericsson</v>
          </cell>
        </row>
        <row r="365">
          <cell r="A365" t="str">
            <v>ANT-0738</v>
          </cell>
          <cell r="B365" t="str">
            <v>Tanganyika</v>
          </cell>
          <cell r="C365">
            <v>-10.439686999999999</v>
          </cell>
          <cell r="D365">
            <v>20.714210000000001</v>
          </cell>
          <cell r="E365" t="str">
            <v>4G</v>
          </cell>
          <cell r="F365" t="str">
            <v>ZTE</v>
          </cell>
        </row>
        <row r="366">
          <cell r="A366" t="str">
            <v xml:space="preserve">ANT-0739 </v>
          </cell>
          <cell r="B366" t="str">
            <v>Ituri</v>
          </cell>
          <cell r="C366">
            <v>1.5601240000000001</v>
          </cell>
          <cell r="D366">
            <v>12.225398</v>
          </cell>
          <cell r="E366" t="str">
            <v>5G</v>
          </cell>
          <cell r="F366" t="str">
            <v>Nokia</v>
          </cell>
        </row>
        <row r="367">
          <cell r="A367" t="str">
            <v>ANT-0741</v>
          </cell>
          <cell r="B367" t="str">
            <v>Haut-Lomami</v>
          </cell>
          <cell r="C367">
            <v>-3.2700629999999999</v>
          </cell>
          <cell r="D367">
            <v>26.520330000000001</v>
          </cell>
          <cell r="E367" t="str">
            <v>5G</v>
          </cell>
          <cell r="F367" t="str">
            <v>Nokia</v>
          </cell>
        </row>
        <row r="368">
          <cell r="A368" t="str">
            <v>ANT-0742</v>
          </cell>
          <cell r="B368" t="str">
            <v>Sankuru</v>
          </cell>
          <cell r="C368">
            <v>2.6937519999999999</v>
          </cell>
          <cell r="D368">
            <v>26.524137</v>
          </cell>
          <cell r="E368" t="str">
            <v>3G</v>
          </cell>
          <cell r="F368" t="str">
            <v>Ericsson</v>
          </cell>
        </row>
        <row r="369">
          <cell r="A369" t="str">
            <v>ANT-0745</v>
          </cell>
          <cell r="B369" t="str">
            <v>Sud-Kivu</v>
          </cell>
          <cell r="C369">
            <v>2.453036</v>
          </cell>
          <cell r="D369">
            <v>20.555484</v>
          </cell>
          <cell r="E369" t="str">
            <v>5G</v>
          </cell>
          <cell r="F369" t="str">
            <v>Ericsson</v>
          </cell>
        </row>
        <row r="370">
          <cell r="A370" t="str">
            <v>ANT-0746</v>
          </cell>
          <cell r="B370" t="str">
            <v>Equateur</v>
          </cell>
          <cell r="C370">
            <v>-1.1284540000000001</v>
          </cell>
          <cell r="D370">
            <v>23.000360000000001</v>
          </cell>
          <cell r="E370" t="str">
            <v>5G</v>
          </cell>
          <cell r="F370" t="str">
            <v>Ericsson</v>
          </cell>
        </row>
        <row r="371">
          <cell r="A371" t="str">
            <v>ANT-0750</v>
          </cell>
          <cell r="B371" t="str">
            <v>Kasai-Oriental</v>
          </cell>
          <cell r="C371">
            <v>-1.3976519999999999</v>
          </cell>
          <cell r="D371">
            <v>14.098819000000001</v>
          </cell>
          <cell r="E371" t="str">
            <v>3G</v>
          </cell>
          <cell r="F371" t="str">
            <v>Ericsson</v>
          </cell>
        </row>
        <row r="372">
          <cell r="A372" t="str">
            <v>ANT-0751</v>
          </cell>
          <cell r="B372" t="str">
            <v>Lomami</v>
          </cell>
          <cell r="C372">
            <v>-1.4695480000000001</v>
          </cell>
          <cell r="D372">
            <v>20.876676</v>
          </cell>
          <cell r="E372" t="str">
            <v>5G</v>
          </cell>
          <cell r="F372" t="str">
            <v>Ericsson</v>
          </cell>
        </row>
        <row r="373">
          <cell r="A373" t="str">
            <v>ANT-0752</v>
          </cell>
          <cell r="B373" t="str">
            <v>Nord-Kivu</v>
          </cell>
          <cell r="C373">
            <v>-3.3883130000000001</v>
          </cell>
          <cell r="D373">
            <v>26.838507</v>
          </cell>
          <cell r="E373" t="str">
            <v>5G</v>
          </cell>
          <cell r="F373" t="str">
            <v>Nokia</v>
          </cell>
        </row>
        <row r="374">
          <cell r="A374" t="str">
            <v>ANT-0753</v>
          </cell>
          <cell r="B374" t="str">
            <v>Haut-Katanga</v>
          </cell>
          <cell r="C374">
            <v>-5.1507670000000001</v>
          </cell>
          <cell r="D374">
            <v>28.075324999999999</v>
          </cell>
          <cell r="E374" t="str">
            <v>5G</v>
          </cell>
          <cell r="F374" t="str">
            <v>Huawei</v>
          </cell>
        </row>
        <row r="375">
          <cell r="A375" t="str">
            <v>ANT-0754</v>
          </cell>
          <cell r="B375" t="str">
            <v>Haut-Uele</v>
          </cell>
          <cell r="C375">
            <v>-11.924048000000001</v>
          </cell>
          <cell r="D375">
            <v>24.177174999999998</v>
          </cell>
          <cell r="E375" t="str">
            <v>3G</v>
          </cell>
          <cell r="F375" t="str">
            <v>Nokia</v>
          </cell>
        </row>
        <row r="376">
          <cell r="A376" t="str">
            <v>ANT-0755</v>
          </cell>
          <cell r="B376" t="str">
            <v>Bas-Uele</v>
          </cell>
          <cell r="C376">
            <v>-9.8519260000000006</v>
          </cell>
          <cell r="D376">
            <v>12.925583</v>
          </cell>
          <cell r="E376" t="str">
            <v>5G</v>
          </cell>
          <cell r="F376" t="str">
            <v>Ericsson</v>
          </cell>
        </row>
        <row r="377">
          <cell r="A377" t="str">
            <v>ANT-0758</v>
          </cell>
          <cell r="B377" t="str">
            <v>Lualaba</v>
          </cell>
          <cell r="C377">
            <v>-7.4679279999999997</v>
          </cell>
          <cell r="D377">
            <v>19.828595</v>
          </cell>
          <cell r="E377" t="str">
            <v>5G</v>
          </cell>
          <cell r="F377" t="str">
            <v>Nokia</v>
          </cell>
        </row>
        <row r="378">
          <cell r="A378" t="str">
            <v>ANT-0760</v>
          </cell>
          <cell r="B378" t="str">
            <v>Sankuru</v>
          </cell>
          <cell r="C378">
            <v>-2.7140689999999998</v>
          </cell>
          <cell r="D378">
            <v>22.222104000000002</v>
          </cell>
          <cell r="E378" t="str">
            <v>4G</v>
          </cell>
          <cell r="F378" t="str">
            <v>Nokia</v>
          </cell>
        </row>
        <row r="379">
          <cell r="A379" t="str">
            <v>ANT-0768</v>
          </cell>
          <cell r="B379" t="str">
            <v>Tanganyika</v>
          </cell>
          <cell r="C379">
            <v>-9.9565739999999998</v>
          </cell>
          <cell r="D379">
            <v>21.017202000000001</v>
          </cell>
          <cell r="E379" t="str">
            <v>4G</v>
          </cell>
          <cell r="F379" t="str">
            <v>Huawei</v>
          </cell>
        </row>
        <row r="380">
          <cell r="A380" t="str">
            <v>ANT-0769</v>
          </cell>
          <cell r="B380" t="str">
            <v>Sankuru</v>
          </cell>
          <cell r="C380">
            <v>-7.9799689999999996</v>
          </cell>
          <cell r="D380">
            <v>21.042310000000001</v>
          </cell>
          <cell r="E380" t="str">
            <v>4G</v>
          </cell>
          <cell r="F380" t="str">
            <v>ZTE</v>
          </cell>
        </row>
        <row r="381">
          <cell r="A381" t="str">
            <v>ANT-0770</v>
          </cell>
          <cell r="B381" t="str">
            <v>Kwilu</v>
          </cell>
          <cell r="C381">
            <v>2.4741019999999998</v>
          </cell>
          <cell r="D381">
            <v>29.297391000000001</v>
          </cell>
          <cell r="E381" t="str">
            <v>4G</v>
          </cell>
          <cell r="F381" t="str">
            <v>Ericsson</v>
          </cell>
        </row>
        <row r="382">
          <cell r="A382" t="str">
            <v>ANT-0775</v>
          </cell>
          <cell r="B382" t="str">
            <v>Bas-Uele</v>
          </cell>
          <cell r="C382">
            <v>1.5278670000000001</v>
          </cell>
          <cell r="D382">
            <v>13.899388999999999</v>
          </cell>
          <cell r="E382" t="str">
            <v>3G</v>
          </cell>
          <cell r="F382" t="str">
            <v>Huawei</v>
          </cell>
        </row>
        <row r="383">
          <cell r="A383" t="str">
            <v>ANT-0776</v>
          </cell>
          <cell r="B383" t="str">
            <v>Kasai</v>
          </cell>
          <cell r="C383">
            <v>1.102554</v>
          </cell>
          <cell r="D383">
            <v>26.744315</v>
          </cell>
          <cell r="E383" t="str">
            <v>3G</v>
          </cell>
          <cell r="F383" t="str">
            <v>Ericsson</v>
          </cell>
        </row>
        <row r="384">
          <cell r="A384" t="str">
            <v>ANT-0780</v>
          </cell>
          <cell r="B384" t="str">
            <v>Haut-Lomami</v>
          </cell>
          <cell r="C384">
            <v>4.6701629999999996</v>
          </cell>
          <cell r="D384">
            <v>28.596363</v>
          </cell>
          <cell r="E384" t="str">
            <v>5G</v>
          </cell>
          <cell r="F384" t="str">
            <v>Ericsson</v>
          </cell>
        </row>
        <row r="385">
          <cell r="A385" t="str">
            <v>ANT-0786</v>
          </cell>
          <cell r="B385" t="str">
            <v>Sud-Ubangi</v>
          </cell>
          <cell r="C385">
            <v>-12.342053999999999</v>
          </cell>
          <cell r="D385">
            <v>18.756862000000002</v>
          </cell>
          <cell r="E385" t="str">
            <v>3G</v>
          </cell>
          <cell r="F385" t="str">
            <v>Ericsson</v>
          </cell>
        </row>
        <row r="386">
          <cell r="A386" t="str">
            <v>ANT-0788</v>
          </cell>
          <cell r="B386" t="str">
            <v>Kasai</v>
          </cell>
          <cell r="C386">
            <v>1.5802860000000001</v>
          </cell>
          <cell r="D386">
            <v>20.99053</v>
          </cell>
          <cell r="E386" t="str">
            <v>4G</v>
          </cell>
          <cell r="F386" t="str">
            <v>ZTE</v>
          </cell>
        </row>
        <row r="387">
          <cell r="A387" t="str">
            <v>ANT-0789</v>
          </cell>
          <cell r="B387" t="str">
            <v>Kasai-Central</v>
          </cell>
          <cell r="C387">
            <v>-12.086929</v>
          </cell>
          <cell r="D387">
            <v>14.032645</v>
          </cell>
          <cell r="E387" t="str">
            <v>3G</v>
          </cell>
          <cell r="F387" t="str">
            <v>ZTE</v>
          </cell>
        </row>
        <row r="388">
          <cell r="A388" t="str">
            <v>ANT-0790</v>
          </cell>
          <cell r="B388" t="str">
            <v>Haut-Katanga</v>
          </cell>
          <cell r="C388">
            <v>-2.9417719999999998</v>
          </cell>
          <cell r="D388">
            <v>18.587305000000001</v>
          </cell>
          <cell r="E388" t="str">
            <v>5G</v>
          </cell>
          <cell r="F388" t="str">
            <v>Ericsson</v>
          </cell>
        </row>
        <row r="389">
          <cell r="A389" t="str">
            <v>ANT-0791</v>
          </cell>
          <cell r="B389" t="str">
            <v>Kwilu</v>
          </cell>
          <cell r="C389">
            <v>4.2187000000000001</v>
          </cell>
          <cell r="D389">
            <v>29.390174999999999</v>
          </cell>
          <cell r="E389" t="str">
            <v>4G</v>
          </cell>
          <cell r="F389" t="str">
            <v>ZTE</v>
          </cell>
        </row>
        <row r="390">
          <cell r="A390" t="str">
            <v>ANT-0794</v>
          </cell>
          <cell r="B390" t="str">
            <v>Kasai</v>
          </cell>
          <cell r="C390">
            <v>-3.8119990000000001</v>
          </cell>
          <cell r="D390">
            <v>20.420048000000001</v>
          </cell>
          <cell r="E390" t="str">
            <v>3G</v>
          </cell>
          <cell r="F390" t="str">
            <v>ZTE</v>
          </cell>
        </row>
        <row r="391">
          <cell r="A391" t="str">
            <v>ANT-0796</v>
          </cell>
          <cell r="B391" t="str">
            <v>Mai-Ndombe</v>
          </cell>
          <cell r="C391">
            <v>-3.269612</v>
          </cell>
          <cell r="D391">
            <v>25.571189</v>
          </cell>
          <cell r="E391" t="str">
            <v>5G</v>
          </cell>
          <cell r="F391" t="str">
            <v>Ericsson</v>
          </cell>
        </row>
        <row r="392">
          <cell r="A392" t="str">
            <v>ANT-0797</v>
          </cell>
          <cell r="B392" t="str">
            <v>Haut-Uele</v>
          </cell>
          <cell r="C392">
            <v>-12.100756000000001</v>
          </cell>
          <cell r="D392">
            <v>21.938649999999999</v>
          </cell>
          <cell r="E392" t="str">
            <v>4G</v>
          </cell>
          <cell r="F392" t="str">
            <v>Huawei</v>
          </cell>
        </row>
        <row r="393">
          <cell r="A393" t="str">
            <v>ANT-0802</v>
          </cell>
          <cell r="B393" t="str">
            <v>Kasai-Oriental</v>
          </cell>
          <cell r="C393">
            <v>1.368018</v>
          </cell>
          <cell r="D393">
            <v>14.203893000000001</v>
          </cell>
          <cell r="E393" t="str">
            <v>5G</v>
          </cell>
          <cell r="F393" t="str">
            <v>Huawei</v>
          </cell>
        </row>
        <row r="394">
          <cell r="A394" t="str">
            <v>ANT-0804</v>
          </cell>
          <cell r="B394" t="str">
            <v>Ituri</v>
          </cell>
          <cell r="C394">
            <v>-4.1250960000000001</v>
          </cell>
          <cell r="D394">
            <v>27.799897999999999</v>
          </cell>
          <cell r="E394" t="str">
            <v>3G</v>
          </cell>
          <cell r="F394" t="str">
            <v>Nokia</v>
          </cell>
        </row>
        <row r="395">
          <cell r="A395" t="str">
            <v>ANT-0809</v>
          </cell>
          <cell r="B395" t="str">
            <v>Ituri</v>
          </cell>
          <cell r="C395">
            <v>-4.6426759999999998</v>
          </cell>
          <cell r="D395">
            <v>22.124254000000001</v>
          </cell>
          <cell r="E395" t="str">
            <v>4G</v>
          </cell>
          <cell r="F395" t="str">
            <v>ZTE</v>
          </cell>
        </row>
        <row r="396">
          <cell r="A396" t="str">
            <v>ANT-0810</v>
          </cell>
          <cell r="B396" t="str">
            <v>Bas-Uele</v>
          </cell>
          <cell r="C396">
            <v>0.24369399999999999</v>
          </cell>
          <cell r="D396">
            <v>17.242912</v>
          </cell>
          <cell r="E396" t="str">
            <v>4G</v>
          </cell>
          <cell r="F396" t="str">
            <v>Nokia</v>
          </cell>
        </row>
        <row r="397">
          <cell r="A397" t="str">
            <v>ANT-0811</v>
          </cell>
          <cell r="B397" t="str">
            <v>Kasai</v>
          </cell>
          <cell r="C397">
            <v>-5.125</v>
          </cell>
          <cell r="D397">
            <v>23.513119</v>
          </cell>
          <cell r="E397" t="str">
            <v>5G</v>
          </cell>
          <cell r="F397" t="str">
            <v>Huawei</v>
          </cell>
        </row>
        <row r="398">
          <cell r="A398" t="str">
            <v>ANT-0812</v>
          </cell>
          <cell r="B398" t="str">
            <v>Nord-Kivu</v>
          </cell>
          <cell r="C398">
            <v>-2.3102109999999998</v>
          </cell>
          <cell r="D398">
            <v>12.362488000000001</v>
          </cell>
          <cell r="E398" t="str">
            <v>5G</v>
          </cell>
          <cell r="F398" t="str">
            <v>Nokia</v>
          </cell>
        </row>
        <row r="399">
          <cell r="A399" t="str">
            <v>ANT-0813</v>
          </cell>
          <cell r="B399" t="str">
            <v>Sud-Kivu</v>
          </cell>
          <cell r="C399">
            <v>-1.5419050000000001</v>
          </cell>
          <cell r="D399">
            <v>14.730632999999999</v>
          </cell>
          <cell r="E399" t="str">
            <v>3G</v>
          </cell>
          <cell r="F399" t="str">
            <v>ZTE</v>
          </cell>
        </row>
        <row r="400">
          <cell r="A400" t="str">
            <v>ANT-0821</v>
          </cell>
          <cell r="B400" t="str">
            <v>Ituri</v>
          </cell>
          <cell r="C400">
            <v>-3.7720639999999999</v>
          </cell>
          <cell r="D400">
            <v>16.006277999999998</v>
          </cell>
          <cell r="E400" t="str">
            <v>5G</v>
          </cell>
          <cell r="F400" t="str">
            <v>ZTE</v>
          </cell>
        </row>
        <row r="401">
          <cell r="A401" t="str">
            <v>ANT-0822</v>
          </cell>
          <cell r="B401" t="str">
            <v>Mongala</v>
          </cell>
          <cell r="C401">
            <v>-4.5180470000000001</v>
          </cell>
          <cell r="D401">
            <v>19.908223</v>
          </cell>
          <cell r="E401" t="str">
            <v>5G</v>
          </cell>
          <cell r="F401" t="str">
            <v>Huawei</v>
          </cell>
        </row>
        <row r="402">
          <cell r="A402" t="str">
            <v>ANT-0824</v>
          </cell>
          <cell r="B402" t="str">
            <v>Haut-Katanga</v>
          </cell>
          <cell r="C402">
            <v>-4.0490719999999998</v>
          </cell>
          <cell r="D402">
            <v>21.399131000000001</v>
          </cell>
          <cell r="E402" t="str">
            <v>3G</v>
          </cell>
          <cell r="F402" t="str">
            <v>ZTE</v>
          </cell>
        </row>
        <row r="403">
          <cell r="A403" t="str">
            <v>ANT-0826</v>
          </cell>
          <cell r="B403" t="str">
            <v>Nord-Kivu</v>
          </cell>
          <cell r="C403">
            <v>-10.846306999999999</v>
          </cell>
          <cell r="D403">
            <v>19.201827999999999</v>
          </cell>
          <cell r="E403" t="str">
            <v>4G</v>
          </cell>
          <cell r="F403" t="str">
            <v>Ericsson</v>
          </cell>
        </row>
        <row r="404">
          <cell r="A404" t="str">
            <v>ANT-0827</v>
          </cell>
          <cell r="B404" t="str">
            <v>Ituri</v>
          </cell>
          <cell r="C404">
            <v>-4.1061909999999999</v>
          </cell>
          <cell r="D404">
            <v>28.054902999999999</v>
          </cell>
          <cell r="E404" t="str">
            <v>3G</v>
          </cell>
          <cell r="F404" t="str">
            <v>Huawei</v>
          </cell>
        </row>
        <row r="405">
          <cell r="A405" t="str">
            <v>ANT-0829</v>
          </cell>
          <cell r="B405" t="str">
            <v>Mongala</v>
          </cell>
          <cell r="C405">
            <v>4.6809229999999999</v>
          </cell>
          <cell r="D405">
            <v>28.934242000000001</v>
          </cell>
          <cell r="E405" t="str">
            <v>5G</v>
          </cell>
          <cell r="F405" t="str">
            <v>Nokia</v>
          </cell>
        </row>
        <row r="406">
          <cell r="A406" t="str">
            <v>ANT-0831</v>
          </cell>
          <cell r="B406" t="str">
            <v>Sud-Ubangi</v>
          </cell>
          <cell r="C406">
            <v>-12.01816</v>
          </cell>
          <cell r="D406">
            <v>23.828645999999999</v>
          </cell>
          <cell r="E406" t="str">
            <v>3G</v>
          </cell>
          <cell r="F406" t="str">
            <v>Huawei</v>
          </cell>
        </row>
        <row r="407">
          <cell r="A407" t="str">
            <v>ANT-0832</v>
          </cell>
          <cell r="B407" t="str">
            <v>Lomami</v>
          </cell>
          <cell r="C407">
            <v>0.419985</v>
          </cell>
          <cell r="D407">
            <v>13.847996999999999</v>
          </cell>
          <cell r="E407" t="str">
            <v>5G</v>
          </cell>
          <cell r="F407" t="str">
            <v>ZTE</v>
          </cell>
        </row>
        <row r="408">
          <cell r="A408" t="str">
            <v>ANT-0833</v>
          </cell>
          <cell r="B408" t="str">
            <v>Bas-Uele</v>
          </cell>
          <cell r="C408">
            <v>0.40267799999999998</v>
          </cell>
          <cell r="D408">
            <v>16.000858000000001</v>
          </cell>
          <cell r="E408" t="str">
            <v>3G</v>
          </cell>
          <cell r="F408" t="str">
            <v>Nokia</v>
          </cell>
        </row>
        <row r="409">
          <cell r="A409" t="str">
            <v>ANT-0835</v>
          </cell>
          <cell r="B409" t="str">
            <v>Nord-Kivu</v>
          </cell>
          <cell r="C409">
            <v>1.017161</v>
          </cell>
          <cell r="D409">
            <v>16.519689</v>
          </cell>
          <cell r="E409" t="str">
            <v>3G</v>
          </cell>
          <cell r="F409" t="str">
            <v>Nokia</v>
          </cell>
        </row>
        <row r="410">
          <cell r="A410" t="str">
            <v>ANT-0837</v>
          </cell>
          <cell r="B410" t="str">
            <v>Mongala</v>
          </cell>
          <cell r="C410">
            <v>-5.3762689999999997</v>
          </cell>
          <cell r="D410">
            <v>28.189575999999999</v>
          </cell>
          <cell r="E410" t="str">
            <v>5G</v>
          </cell>
          <cell r="F410" t="str">
            <v>Huawei</v>
          </cell>
        </row>
        <row r="411">
          <cell r="A411" t="str">
            <v>ANT-0839</v>
          </cell>
          <cell r="B411" t="str">
            <v>Tshopo</v>
          </cell>
          <cell r="C411">
            <v>-11.265995</v>
          </cell>
          <cell r="D411">
            <v>28.935514999999999</v>
          </cell>
          <cell r="E411" t="str">
            <v>4G</v>
          </cell>
          <cell r="F411" t="str">
            <v>Ericsson</v>
          </cell>
        </row>
        <row r="412">
          <cell r="A412" t="str">
            <v>ANT-0841</v>
          </cell>
          <cell r="B412" t="str">
            <v>Nord-Ubangi</v>
          </cell>
          <cell r="C412">
            <v>-4.749333</v>
          </cell>
          <cell r="D412">
            <v>23.636389000000001</v>
          </cell>
          <cell r="E412" t="str">
            <v>3G</v>
          </cell>
          <cell r="F412" t="str">
            <v>ZTE</v>
          </cell>
        </row>
        <row r="413">
          <cell r="A413" t="str">
            <v>ANT-0843</v>
          </cell>
          <cell r="B413" t="str">
            <v>Kwango</v>
          </cell>
          <cell r="C413">
            <v>0.65288900000000005</v>
          </cell>
          <cell r="D413">
            <v>24.243953999999999</v>
          </cell>
          <cell r="E413" t="str">
            <v>5G</v>
          </cell>
          <cell r="F413" t="str">
            <v>Ericsson</v>
          </cell>
        </row>
        <row r="414">
          <cell r="A414" t="str">
            <v>ANT-0845</v>
          </cell>
          <cell r="B414" t="str">
            <v>Lualaba</v>
          </cell>
          <cell r="C414">
            <v>-10.872631999999999</v>
          </cell>
          <cell r="D414">
            <v>12.773279</v>
          </cell>
          <cell r="E414" t="str">
            <v>3G</v>
          </cell>
          <cell r="F414" t="str">
            <v>ZTE</v>
          </cell>
        </row>
        <row r="415">
          <cell r="A415" t="str">
            <v>ANT-0846</v>
          </cell>
          <cell r="B415" t="str">
            <v>Kinshasa</v>
          </cell>
          <cell r="C415">
            <v>-7.1079169999999996</v>
          </cell>
          <cell r="D415">
            <v>13.636272</v>
          </cell>
          <cell r="E415" t="str">
            <v>5G</v>
          </cell>
          <cell r="F415" t="str">
            <v>Nokia</v>
          </cell>
        </row>
        <row r="416">
          <cell r="A416" t="str">
            <v>ANT-0847</v>
          </cell>
          <cell r="B416" t="str">
            <v>Maniema</v>
          </cell>
          <cell r="C416">
            <v>-4.4862339999999996</v>
          </cell>
          <cell r="D416">
            <v>17.956159</v>
          </cell>
          <cell r="E416" t="str">
            <v>3G</v>
          </cell>
          <cell r="F416" t="str">
            <v>Huawei</v>
          </cell>
        </row>
        <row r="417">
          <cell r="A417" t="str">
            <v>ANT-0849</v>
          </cell>
          <cell r="B417" t="str">
            <v>Bas-Uele</v>
          </cell>
          <cell r="C417">
            <v>-10.614302</v>
          </cell>
          <cell r="D417">
            <v>29.436530999999999</v>
          </cell>
          <cell r="E417" t="str">
            <v>3G</v>
          </cell>
          <cell r="F417" t="str">
            <v>Ericsson</v>
          </cell>
        </row>
        <row r="418">
          <cell r="A418" t="str">
            <v>ANT-0850</v>
          </cell>
          <cell r="B418" t="str">
            <v>Kwilu</v>
          </cell>
          <cell r="C418">
            <v>-5.9021970000000001</v>
          </cell>
          <cell r="D418">
            <v>20.551169999999999</v>
          </cell>
          <cell r="E418" t="str">
            <v>3G</v>
          </cell>
          <cell r="F418" t="str">
            <v>Huawei</v>
          </cell>
        </row>
        <row r="419">
          <cell r="A419" t="str">
            <v>ANT-0852</v>
          </cell>
          <cell r="B419" t="str">
            <v>Sud-Kivu</v>
          </cell>
          <cell r="C419">
            <v>4.2493650000000001</v>
          </cell>
          <cell r="D419">
            <v>28.355039999999999</v>
          </cell>
          <cell r="E419" t="str">
            <v>3G</v>
          </cell>
          <cell r="F419" t="str">
            <v>ZTE</v>
          </cell>
        </row>
        <row r="420">
          <cell r="A420" t="str">
            <v>ANT-0855</v>
          </cell>
          <cell r="B420" t="str">
            <v>Mongala</v>
          </cell>
          <cell r="C420">
            <v>-11.514188000000001</v>
          </cell>
          <cell r="D420">
            <v>15.971181</v>
          </cell>
          <cell r="E420" t="str">
            <v>5G</v>
          </cell>
          <cell r="F420" t="str">
            <v>Ericsson</v>
          </cell>
        </row>
        <row r="421">
          <cell r="A421" t="str">
            <v>ANT-0856</v>
          </cell>
          <cell r="B421" t="str">
            <v>Ituri</v>
          </cell>
          <cell r="C421">
            <v>-1.9120569999999999</v>
          </cell>
          <cell r="D421">
            <v>15.236072999999999</v>
          </cell>
          <cell r="E421" t="str">
            <v>5G</v>
          </cell>
          <cell r="F421" t="str">
            <v>Huawei</v>
          </cell>
        </row>
        <row r="422">
          <cell r="A422" t="str">
            <v>ANT-0858</v>
          </cell>
          <cell r="B422" t="str">
            <v>Kasai</v>
          </cell>
          <cell r="C422">
            <v>-5.3956809999999997</v>
          </cell>
          <cell r="D422">
            <v>14.49985</v>
          </cell>
          <cell r="E422" t="str">
            <v>4G</v>
          </cell>
          <cell r="F422" t="str">
            <v>ZTE</v>
          </cell>
        </row>
        <row r="423">
          <cell r="A423" t="str">
            <v>ANT-0862</v>
          </cell>
          <cell r="B423" t="str">
            <v>Tanganyika</v>
          </cell>
          <cell r="C423">
            <v>-9.4708620000000003</v>
          </cell>
          <cell r="D423">
            <v>29.234387999999999</v>
          </cell>
          <cell r="E423" t="str">
            <v>3G</v>
          </cell>
          <cell r="F423" t="str">
            <v>ZTE</v>
          </cell>
        </row>
        <row r="424">
          <cell r="A424" t="str">
            <v>ANT-0863</v>
          </cell>
          <cell r="B424" t="str">
            <v>Kasai</v>
          </cell>
          <cell r="C424">
            <v>-12.048655999999999</v>
          </cell>
          <cell r="D424">
            <v>30.577876</v>
          </cell>
          <cell r="E424" t="str">
            <v>5G</v>
          </cell>
          <cell r="F424" t="str">
            <v>ZTE</v>
          </cell>
        </row>
        <row r="425">
          <cell r="A425" t="str">
            <v>ANT-0865</v>
          </cell>
          <cell r="B425" t="str">
            <v>Haut-Uele</v>
          </cell>
          <cell r="C425">
            <v>-4.869434</v>
          </cell>
          <cell r="D425">
            <v>22.326522000000001</v>
          </cell>
          <cell r="E425" t="str">
            <v>5G</v>
          </cell>
          <cell r="F425" t="str">
            <v>Ericsson</v>
          </cell>
        </row>
        <row r="426">
          <cell r="A426" t="str">
            <v>ANT-0869</v>
          </cell>
          <cell r="B426" t="str">
            <v>Lualaba</v>
          </cell>
          <cell r="C426">
            <v>-8.0301989999999996</v>
          </cell>
          <cell r="D426">
            <v>24.122495000000001</v>
          </cell>
          <cell r="E426" t="str">
            <v>5G</v>
          </cell>
          <cell r="F426" t="str">
            <v>ZTE</v>
          </cell>
        </row>
        <row r="427">
          <cell r="A427" t="str">
            <v>ANT-0870</v>
          </cell>
          <cell r="B427" t="str">
            <v>Equateur</v>
          </cell>
          <cell r="C427">
            <v>-9.1215879999999991</v>
          </cell>
          <cell r="D427">
            <v>16.457916999999998</v>
          </cell>
          <cell r="E427" t="str">
            <v>4G</v>
          </cell>
          <cell r="F427" t="str">
            <v>Nokia</v>
          </cell>
        </row>
        <row r="428">
          <cell r="A428" t="str">
            <v>ANT-0871</v>
          </cell>
          <cell r="B428" t="str">
            <v>Kasai-Oriental</v>
          </cell>
          <cell r="C428">
            <v>4.0955700000000004</v>
          </cell>
          <cell r="D428">
            <v>23.610704999999999</v>
          </cell>
          <cell r="E428" t="str">
            <v>4G</v>
          </cell>
          <cell r="F428" t="str">
            <v>ZTE</v>
          </cell>
        </row>
        <row r="429">
          <cell r="A429" t="str">
            <v>ANT-0872</v>
          </cell>
          <cell r="B429" t="str">
            <v>Kasai-Oriental</v>
          </cell>
          <cell r="C429">
            <v>2.486888</v>
          </cell>
          <cell r="D429">
            <v>23.798074</v>
          </cell>
          <cell r="E429" t="str">
            <v>5G</v>
          </cell>
          <cell r="F429" t="str">
            <v>ZTE</v>
          </cell>
        </row>
        <row r="430">
          <cell r="A430" t="str">
            <v>ANT-0875</v>
          </cell>
          <cell r="B430" t="str">
            <v>Haut-Lomami</v>
          </cell>
          <cell r="C430">
            <v>-3.1608390000000002</v>
          </cell>
          <cell r="D430">
            <v>13.244503999999999</v>
          </cell>
          <cell r="E430" t="str">
            <v>3G</v>
          </cell>
          <cell r="F430" t="str">
            <v>Huawei</v>
          </cell>
        </row>
        <row r="431">
          <cell r="A431" t="str">
            <v>ANT-0876</v>
          </cell>
          <cell r="B431" t="str">
            <v>Kongo-Central</v>
          </cell>
          <cell r="C431">
            <v>-3.7900040000000002</v>
          </cell>
          <cell r="D431">
            <v>24.769718999999998</v>
          </cell>
          <cell r="E431" t="str">
            <v>5G</v>
          </cell>
          <cell r="F431" t="str">
            <v>Huawei</v>
          </cell>
        </row>
        <row r="432">
          <cell r="A432" t="str">
            <v>ANT-0878</v>
          </cell>
          <cell r="B432" t="str">
            <v>Haut-Katanga</v>
          </cell>
          <cell r="C432">
            <v>3.7141999999999999</v>
          </cell>
          <cell r="D432">
            <v>28.547066999999998</v>
          </cell>
          <cell r="E432" t="str">
            <v>3G</v>
          </cell>
          <cell r="F432" t="str">
            <v>ZTE</v>
          </cell>
        </row>
        <row r="433">
          <cell r="A433" t="str">
            <v>ANT-0880</v>
          </cell>
          <cell r="B433" t="str">
            <v>Haut-Uele</v>
          </cell>
          <cell r="C433">
            <v>0.29375600000000002</v>
          </cell>
          <cell r="D433">
            <v>18.528884000000001</v>
          </cell>
          <cell r="E433" t="str">
            <v>5G</v>
          </cell>
          <cell r="F433" t="str">
            <v>ZTE</v>
          </cell>
        </row>
        <row r="434">
          <cell r="A434" t="str">
            <v>ANT-0881</v>
          </cell>
          <cell r="B434" t="str">
            <v>Nord-Kivu</v>
          </cell>
          <cell r="C434">
            <v>-6.5332999999999997</v>
          </cell>
          <cell r="D434">
            <v>20.098018</v>
          </cell>
          <cell r="E434" t="str">
            <v>4G</v>
          </cell>
          <cell r="F434" t="str">
            <v>Huawei</v>
          </cell>
        </row>
        <row r="435">
          <cell r="A435" t="str">
            <v>ANT-0882</v>
          </cell>
          <cell r="B435" t="str">
            <v>Bas-Uele</v>
          </cell>
          <cell r="C435">
            <v>-1.500685</v>
          </cell>
          <cell r="D435">
            <v>26.563376000000002</v>
          </cell>
          <cell r="E435" t="str">
            <v>5G</v>
          </cell>
          <cell r="F435" t="str">
            <v>Nokia</v>
          </cell>
        </row>
        <row r="436">
          <cell r="A436" t="str">
            <v>ANT-0883</v>
          </cell>
          <cell r="B436" t="str">
            <v>Sud-Kivu</v>
          </cell>
          <cell r="C436">
            <v>-9.4702129999999993</v>
          </cell>
          <cell r="D436">
            <v>12.826158</v>
          </cell>
          <cell r="E436" t="str">
            <v>3G</v>
          </cell>
          <cell r="F436" t="str">
            <v>Ericsson</v>
          </cell>
        </row>
        <row r="437">
          <cell r="A437" t="str">
            <v>ANT-0884</v>
          </cell>
          <cell r="B437" t="str">
            <v>Kasai-Oriental</v>
          </cell>
          <cell r="C437">
            <v>0.98189400000000004</v>
          </cell>
          <cell r="D437">
            <v>13.008620000000001</v>
          </cell>
          <cell r="E437" t="str">
            <v>4G</v>
          </cell>
          <cell r="F437" t="str">
            <v>Huawei</v>
          </cell>
        </row>
        <row r="438">
          <cell r="A438" t="str">
            <v>ANT-0889</v>
          </cell>
          <cell r="B438" t="str">
            <v>Sankuru</v>
          </cell>
          <cell r="C438">
            <v>-4.8560549999999996</v>
          </cell>
          <cell r="D438">
            <v>15.889538999999999</v>
          </cell>
          <cell r="E438" t="str">
            <v>3G</v>
          </cell>
          <cell r="F438" t="str">
            <v>Huawei</v>
          </cell>
        </row>
        <row r="439">
          <cell r="A439" t="str">
            <v>ANT-0890</v>
          </cell>
          <cell r="B439" t="str">
            <v>Maniema</v>
          </cell>
          <cell r="C439">
            <v>-10.790281</v>
          </cell>
          <cell r="D439">
            <v>12.624336</v>
          </cell>
          <cell r="E439" t="str">
            <v>4G</v>
          </cell>
          <cell r="F439" t="str">
            <v>Nokia</v>
          </cell>
        </row>
        <row r="440">
          <cell r="A440" t="str">
            <v>ANT-0893</v>
          </cell>
          <cell r="B440" t="str">
            <v>Mai-Ndombe</v>
          </cell>
          <cell r="C440">
            <v>4.0297190000000001</v>
          </cell>
          <cell r="D440">
            <v>20.699608000000001</v>
          </cell>
          <cell r="E440" t="str">
            <v>4G</v>
          </cell>
          <cell r="F440" t="str">
            <v>Ericsson</v>
          </cell>
        </row>
        <row r="441">
          <cell r="A441" t="str">
            <v>ANT-0894</v>
          </cell>
          <cell r="B441" t="str">
            <v>Nord-Kivu</v>
          </cell>
          <cell r="C441">
            <v>4.9455159999999996</v>
          </cell>
          <cell r="D441">
            <v>23.647746000000001</v>
          </cell>
          <cell r="E441" t="str">
            <v>5G</v>
          </cell>
          <cell r="F441" t="str">
            <v>Huawei</v>
          </cell>
        </row>
        <row r="442">
          <cell r="A442" t="str">
            <v>ANT-0895</v>
          </cell>
          <cell r="B442" t="str">
            <v>Equateur</v>
          </cell>
          <cell r="C442">
            <v>-11.366868999999999</v>
          </cell>
          <cell r="D442">
            <v>26.155318000000001</v>
          </cell>
          <cell r="E442" t="str">
            <v>4G</v>
          </cell>
          <cell r="F442" t="str">
            <v>Huawei</v>
          </cell>
        </row>
        <row r="443">
          <cell r="A443" t="str">
            <v>ANT-0899</v>
          </cell>
          <cell r="B443" t="str">
            <v>Bas-Uele</v>
          </cell>
          <cell r="C443">
            <v>4.7044240000000004</v>
          </cell>
          <cell r="D443">
            <v>20.486409999999999</v>
          </cell>
          <cell r="E443" t="str">
            <v>4G</v>
          </cell>
          <cell r="F443" t="str">
            <v>ZTE</v>
          </cell>
        </row>
        <row r="444">
          <cell r="A444" t="str">
            <v>ANT-0900</v>
          </cell>
          <cell r="B444" t="str">
            <v>Tanganyika</v>
          </cell>
          <cell r="C444">
            <v>-10.776204</v>
          </cell>
          <cell r="D444">
            <v>24.672934000000001</v>
          </cell>
          <cell r="E444" t="str">
            <v>4G</v>
          </cell>
          <cell r="F444" t="str">
            <v>Ericsson</v>
          </cell>
        </row>
        <row r="445">
          <cell r="A445" t="str">
            <v>ANT-0902</v>
          </cell>
          <cell r="B445" t="str">
            <v>Kasai-Central</v>
          </cell>
          <cell r="C445">
            <v>-10.414493</v>
          </cell>
          <cell r="D445">
            <v>12.333356999999999</v>
          </cell>
          <cell r="E445" t="str">
            <v>3G</v>
          </cell>
          <cell r="F445" t="str">
            <v>Ericsson</v>
          </cell>
        </row>
        <row r="446">
          <cell r="A446" t="str">
            <v>ANT-0904</v>
          </cell>
          <cell r="B446" t="str">
            <v>Maniema</v>
          </cell>
          <cell r="C446">
            <v>-6.0946619999999996</v>
          </cell>
          <cell r="D446">
            <v>20.757277999999999</v>
          </cell>
          <cell r="E446" t="str">
            <v>5G</v>
          </cell>
          <cell r="F446" t="str">
            <v>Huawei</v>
          </cell>
        </row>
        <row r="447">
          <cell r="A447" t="str">
            <v>ANT-0907</v>
          </cell>
          <cell r="B447" t="str">
            <v>Haut-Uele</v>
          </cell>
          <cell r="C447">
            <v>2.7355830000000001</v>
          </cell>
          <cell r="D447">
            <v>22.006969000000002</v>
          </cell>
          <cell r="E447" t="str">
            <v>5G</v>
          </cell>
          <cell r="F447" t="str">
            <v>Ericsson</v>
          </cell>
        </row>
        <row r="448">
          <cell r="A448" t="str">
            <v>ANT-0908</v>
          </cell>
          <cell r="B448" t="str">
            <v>Nord-Ubangi</v>
          </cell>
          <cell r="C448">
            <v>-7.31691</v>
          </cell>
          <cell r="D448">
            <v>29.836627</v>
          </cell>
          <cell r="E448" t="str">
            <v>5G</v>
          </cell>
          <cell r="F448" t="str">
            <v>ZTE</v>
          </cell>
        </row>
        <row r="449">
          <cell r="A449" t="str">
            <v>ANT-0910</v>
          </cell>
          <cell r="B449" t="str">
            <v>Kinshasa</v>
          </cell>
          <cell r="C449">
            <v>-11.771884</v>
          </cell>
          <cell r="D449">
            <v>18.089172999999999</v>
          </cell>
          <cell r="E449" t="str">
            <v>4G</v>
          </cell>
          <cell r="F449" t="str">
            <v>Nokia</v>
          </cell>
        </row>
        <row r="450">
          <cell r="A450" t="str">
            <v>ANT-0913</v>
          </cell>
          <cell r="B450" t="str">
            <v>Kinshasa</v>
          </cell>
          <cell r="C450">
            <v>-5.4126279999999998</v>
          </cell>
          <cell r="D450">
            <v>25.498235999999999</v>
          </cell>
          <cell r="E450" t="str">
            <v>5G</v>
          </cell>
          <cell r="F450" t="str">
            <v>ZTE</v>
          </cell>
        </row>
        <row r="451">
          <cell r="A451" t="str">
            <v>ANT-0914</v>
          </cell>
          <cell r="B451" t="str">
            <v>Lomami</v>
          </cell>
          <cell r="C451">
            <v>-11.218453999999999</v>
          </cell>
          <cell r="D451">
            <v>28.230025000000001</v>
          </cell>
          <cell r="E451" t="str">
            <v>5G</v>
          </cell>
          <cell r="F451" t="str">
            <v>ZTE</v>
          </cell>
        </row>
        <row r="452">
          <cell r="A452" t="str">
            <v>ANT-0915</v>
          </cell>
          <cell r="B452" t="str">
            <v>Kasai-Oriental</v>
          </cell>
          <cell r="C452">
            <v>-11.727425</v>
          </cell>
          <cell r="D452">
            <v>27.198173000000001</v>
          </cell>
          <cell r="E452" t="str">
            <v>3G</v>
          </cell>
          <cell r="F452" t="str">
            <v>Ericsson</v>
          </cell>
        </row>
        <row r="453">
          <cell r="A453" t="str">
            <v>ANT-0916</v>
          </cell>
          <cell r="B453" t="str">
            <v>Sud-Kivu</v>
          </cell>
          <cell r="C453">
            <v>-3.3081109999999998</v>
          </cell>
          <cell r="D453">
            <v>29.700202000000001</v>
          </cell>
          <cell r="E453" t="str">
            <v>4G</v>
          </cell>
          <cell r="F453" t="str">
            <v>Nokia</v>
          </cell>
        </row>
        <row r="454">
          <cell r="A454" t="str">
            <v>ANT-0917</v>
          </cell>
          <cell r="B454" t="str">
            <v>Ituri</v>
          </cell>
          <cell r="C454">
            <v>-0.65356899999999996</v>
          </cell>
          <cell r="D454">
            <v>25.343032999999998</v>
          </cell>
          <cell r="E454" t="str">
            <v>4G</v>
          </cell>
          <cell r="F454" t="str">
            <v>Ericsson</v>
          </cell>
        </row>
        <row r="455">
          <cell r="A455" t="str">
            <v>ANT-0918</v>
          </cell>
          <cell r="B455" t="str">
            <v>Nord-Kivu</v>
          </cell>
          <cell r="C455">
            <v>-11.231472</v>
          </cell>
          <cell r="D455">
            <v>25.388874000000001</v>
          </cell>
          <cell r="E455" t="str">
            <v>4G</v>
          </cell>
          <cell r="F455" t="str">
            <v>Huawei</v>
          </cell>
        </row>
        <row r="456">
          <cell r="A456" t="str">
            <v>ANT-0921</v>
          </cell>
          <cell r="B456" t="str">
            <v>Haut-Katanga</v>
          </cell>
          <cell r="C456">
            <v>2.016505</v>
          </cell>
          <cell r="D456">
            <v>14.294164</v>
          </cell>
          <cell r="E456" t="str">
            <v>5G</v>
          </cell>
          <cell r="F456" t="str">
            <v>Huawei</v>
          </cell>
        </row>
        <row r="457">
          <cell r="A457" t="str">
            <v>ANT-0923</v>
          </cell>
          <cell r="B457" t="str">
            <v>Tshopo</v>
          </cell>
          <cell r="C457">
            <v>-12.070842000000001</v>
          </cell>
          <cell r="D457">
            <v>14.757847</v>
          </cell>
          <cell r="E457" t="str">
            <v>4G</v>
          </cell>
          <cell r="F457" t="str">
            <v>ZTE</v>
          </cell>
        </row>
        <row r="458">
          <cell r="A458" t="str">
            <v>ANT-0925</v>
          </cell>
          <cell r="B458" t="str">
            <v>Haut-Uele</v>
          </cell>
          <cell r="C458">
            <v>-2.2199559999999998</v>
          </cell>
          <cell r="D458">
            <v>22.614449</v>
          </cell>
          <cell r="E458" t="str">
            <v>3G</v>
          </cell>
          <cell r="F458" t="str">
            <v>Nokia</v>
          </cell>
        </row>
        <row r="459">
          <cell r="A459" t="str">
            <v>ANT-0926</v>
          </cell>
          <cell r="B459" t="str">
            <v>Sud-Ubangi</v>
          </cell>
          <cell r="C459">
            <v>-10.914952</v>
          </cell>
          <cell r="D459">
            <v>26.409648000000001</v>
          </cell>
          <cell r="E459" t="str">
            <v>4G</v>
          </cell>
          <cell r="F459" t="str">
            <v>Huawei</v>
          </cell>
        </row>
        <row r="460">
          <cell r="A460" t="str">
            <v>ANT-0928</v>
          </cell>
          <cell r="B460" t="str">
            <v>Tanganyika</v>
          </cell>
          <cell r="C460">
            <v>-1.864393</v>
          </cell>
          <cell r="D460">
            <v>21.453434000000001</v>
          </cell>
          <cell r="E460" t="str">
            <v>5G</v>
          </cell>
          <cell r="F460" t="str">
            <v>Ericsson</v>
          </cell>
        </row>
        <row r="461">
          <cell r="A461" t="str">
            <v>ANT-0929</v>
          </cell>
          <cell r="B461" t="str">
            <v>Kasai-Central</v>
          </cell>
          <cell r="C461">
            <v>-6.6803710000000001</v>
          </cell>
          <cell r="D461">
            <v>21.955673000000001</v>
          </cell>
          <cell r="E461" t="str">
            <v>4G</v>
          </cell>
          <cell r="F461" t="str">
            <v>Nokia</v>
          </cell>
        </row>
        <row r="462">
          <cell r="A462" t="str">
            <v>ANT-0933</v>
          </cell>
          <cell r="B462" t="str">
            <v>Tshopo</v>
          </cell>
          <cell r="C462">
            <v>-9.4056660000000001</v>
          </cell>
          <cell r="D462">
            <v>15.541930000000001</v>
          </cell>
          <cell r="E462" t="str">
            <v>4G</v>
          </cell>
          <cell r="F462" t="str">
            <v>Huawei</v>
          </cell>
        </row>
        <row r="463">
          <cell r="A463" t="str">
            <v>ANT-0934</v>
          </cell>
          <cell r="B463" t="str">
            <v>Ituri</v>
          </cell>
          <cell r="C463">
            <v>-11.002602</v>
          </cell>
          <cell r="D463">
            <v>23.918247999999998</v>
          </cell>
          <cell r="E463" t="str">
            <v>5G</v>
          </cell>
          <cell r="F463" t="str">
            <v>ZTE</v>
          </cell>
        </row>
        <row r="464">
          <cell r="A464" t="str">
            <v>ANT-0935</v>
          </cell>
          <cell r="B464" t="str">
            <v>Nord-Ubangi</v>
          </cell>
          <cell r="C464">
            <v>-10.375266999999999</v>
          </cell>
          <cell r="D464">
            <v>17.993663000000002</v>
          </cell>
          <cell r="E464" t="str">
            <v>5G</v>
          </cell>
          <cell r="F464" t="str">
            <v>ZTE</v>
          </cell>
        </row>
        <row r="465">
          <cell r="A465" t="str">
            <v>ANT-0936</v>
          </cell>
          <cell r="B465" t="str">
            <v>Kasai</v>
          </cell>
          <cell r="C465">
            <v>-10.165072</v>
          </cell>
          <cell r="D465">
            <v>29.428024000000001</v>
          </cell>
          <cell r="E465" t="str">
            <v>5G</v>
          </cell>
          <cell r="F465" t="str">
            <v>Huawei</v>
          </cell>
        </row>
        <row r="466">
          <cell r="A466" t="str">
            <v>ANT-0937</v>
          </cell>
          <cell r="B466" t="str">
            <v>Kongo-Central</v>
          </cell>
          <cell r="C466">
            <v>-10.451371</v>
          </cell>
          <cell r="D466">
            <v>24.38336</v>
          </cell>
          <cell r="E466" t="str">
            <v>3G</v>
          </cell>
          <cell r="F466" t="str">
            <v>Ericsson</v>
          </cell>
        </row>
        <row r="467">
          <cell r="A467" t="str">
            <v>ANT-0938</v>
          </cell>
          <cell r="B467" t="str">
            <v>Mai-Ndombe</v>
          </cell>
          <cell r="C467">
            <v>3.0184790000000001</v>
          </cell>
          <cell r="D467">
            <v>27.188068000000001</v>
          </cell>
          <cell r="E467" t="str">
            <v>5G</v>
          </cell>
          <cell r="F467" t="str">
            <v>Ericsson</v>
          </cell>
        </row>
        <row r="468">
          <cell r="A468" t="str">
            <v>ANT-0939</v>
          </cell>
          <cell r="B468" t="str">
            <v>Lualaba</v>
          </cell>
          <cell r="C468">
            <v>-7.5180249999999997</v>
          </cell>
          <cell r="D468">
            <v>20.478905999999998</v>
          </cell>
          <cell r="E468" t="str">
            <v>5G</v>
          </cell>
          <cell r="F468" t="str">
            <v>Nokia</v>
          </cell>
        </row>
        <row r="469">
          <cell r="A469" t="str">
            <v>ANT-0940</v>
          </cell>
          <cell r="B469" t="str">
            <v>Kasai-Oriental</v>
          </cell>
          <cell r="C469">
            <v>-5.3337589999999997</v>
          </cell>
          <cell r="D469">
            <v>13.246924</v>
          </cell>
          <cell r="E469" t="str">
            <v>3G</v>
          </cell>
          <cell r="F469" t="str">
            <v>Ericsson</v>
          </cell>
        </row>
        <row r="470">
          <cell r="A470" t="str">
            <v>ANT-0941</v>
          </cell>
          <cell r="B470" t="str">
            <v>Tanganyika</v>
          </cell>
          <cell r="C470">
            <v>-2.4662510000000002</v>
          </cell>
          <cell r="D470">
            <v>18.007998000000001</v>
          </cell>
          <cell r="E470" t="str">
            <v>5G</v>
          </cell>
          <cell r="F470" t="str">
            <v>Ericsson</v>
          </cell>
        </row>
        <row r="471">
          <cell r="A471" t="str">
            <v>ANT-0942</v>
          </cell>
          <cell r="B471" t="str">
            <v>Nord-Ubangi</v>
          </cell>
          <cell r="C471">
            <v>-4.8128659999999996</v>
          </cell>
          <cell r="D471">
            <v>18.559304999999998</v>
          </cell>
          <cell r="E471" t="str">
            <v>5G</v>
          </cell>
          <cell r="F471" t="str">
            <v>ZTE</v>
          </cell>
        </row>
        <row r="472">
          <cell r="A472" t="str">
            <v>ANT-0945</v>
          </cell>
          <cell r="B472" t="str">
            <v>Tshopo</v>
          </cell>
          <cell r="C472">
            <v>0.23583499999999999</v>
          </cell>
          <cell r="D472">
            <v>24.889558999999998</v>
          </cell>
          <cell r="E472" t="str">
            <v>3G</v>
          </cell>
          <cell r="F472" t="str">
            <v>ZTE</v>
          </cell>
        </row>
        <row r="473">
          <cell r="A473" t="str">
            <v>ANT-0946</v>
          </cell>
          <cell r="B473" t="str">
            <v>Tshopo</v>
          </cell>
          <cell r="C473">
            <v>-6.419365</v>
          </cell>
          <cell r="D473">
            <v>17.570219000000002</v>
          </cell>
          <cell r="E473" t="str">
            <v>4G</v>
          </cell>
          <cell r="F473" t="str">
            <v>Huawei</v>
          </cell>
        </row>
        <row r="474">
          <cell r="A474" t="str">
            <v>ANT-0947</v>
          </cell>
          <cell r="B474" t="str">
            <v>Haut-Lomami</v>
          </cell>
          <cell r="C474">
            <v>-1.598759</v>
          </cell>
          <cell r="D474">
            <v>17.553023</v>
          </cell>
          <cell r="E474" t="str">
            <v>4G</v>
          </cell>
          <cell r="F474" t="str">
            <v>Huawei</v>
          </cell>
        </row>
        <row r="475">
          <cell r="A475" t="str">
            <v>ANT-0948</v>
          </cell>
          <cell r="B475" t="str">
            <v>Kongo-Central</v>
          </cell>
          <cell r="C475">
            <v>-1.9080220000000001</v>
          </cell>
          <cell r="D475">
            <v>19.233322999999999</v>
          </cell>
          <cell r="E475" t="str">
            <v>3G</v>
          </cell>
          <cell r="F475" t="str">
            <v>Ericsson</v>
          </cell>
        </row>
        <row r="476">
          <cell r="A476" t="str">
            <v>ANT-0950</v>
          </cell>
          <cell r="B476" t="str">
            <v>Equateur</v>
          </cell>
          <cell r="C476">
            <v>3.3289240000000002</v>
          </cell>
          <cell r="D476">
            <v>24.412261000000001</v>
          </cell>
          <cell r="E476" t="str">
            <v>5G</v>
          </cell>
          <cell r="F476" t="str">
            <v>Nokia</v>
          </cell>
        </row>
        <row r="477">
          <cell r="A477" t="str">
            <v>ANT-0952</v>
          </cell>
          <cell r="B477" t="str">
            <v>Kwilu</v>
          </cell>
          <cell r="C477">
            <v>-0.77432100000000004</v>
          </cell>
          <cell r="D477">
            <v>18.628658999999999</v>
          </cell>
          <cell r="E477" t="str">
            <v>4G</v>
          </cell>
          <cell r="F477" t="str">
            <v>Huawei</v>
          </cell>
        </row>
        <row r="478">
          <cell r="A478" t="str">
            <v>ANT-0954</v>
          </cell>
          <cell r="B478" t="str">
            <v>Ituri</v>
          </cell>
          <cell r="C478">
            <v>-7.3750049999999998</v>
          </cell>
          <cell r="D478">
            <v>30.878126000000002</v>
          </cell>
          <cell r="E478" t="str">
            <v>5G</v>
          </cell>
          <cell r="F478" t="str">
            <v>Huawei</v>
          </cell>
        </row>
        <row r="479">
          <cell r="A479" t="str">
            <v>ANT-0956</v>
          </cell>
          <cell r="B479" t="str">
            <v>Haut-Katanga</v>
          </cell>
          <cell r="C479">
            <v>-12.207461</v>
          </cell>
          <cell r="D479">
            <v>13.492367</v>
          </cell>
          <cell r="E479" t="str">
            <v>3G</v>
          </cell>
          <cell r="F479" t="str">
            <v>Ericsson</v>
          </cell>
        </row>
        <row r="480">
          <cell r="A480" t="str">
            <v>ANT-0957</v>
          </cell>
          <cell r="B480" t="str">
            <v>Haut-Lomami</v>
          </cell>
          <cell r="C480">
            <v>-7.1785899999999998</v>
          </cell>
          <cell r="D480">
            <v>24.4404</v>
          </cell>
          <cell r="E480" t="str">
            <v>4G</v>
          </cell>
          <cell r="F480" t="str">
            <v>Nokia</v>
          </cell>
        </row>
        <row r="481">
          <cell r="A481" t="str">
            <v>ANT-0959</v>
          </cell>
          <cell r="B481" t="str">
            <v>Lualaba</v>
          </cell>
          <cell r="C481">
            <v>-4.2184999999999997</v>
          </cell>
          <cell r="D481">
            <v>23.077093999999999</v>
          </cell>
          <cell r="E481" t="str">
            <v>4G</v>
          </cell>
          <cell r="F481" t="str">
            <v>Ericsson</v>
          </cell>
        </row>
        <row r="482">
          <cell r="A482" t="str">
            <v>ANT-0962</v>
          </cell>
          <cell r="B482" t="str">
            <v>Lualaba</v>
          </cell>
          <cell r="C482">
            <v>-10.572326</v>
          </cell>
          <cell r="D482">
            <v>25.276349</v>
          </cell>
          <cell r="E482" t="str">
            <v>3G</v>
          </cell>
          <cell r="F482" t="str">
            <v>ZTE</v>
          </cell>
        </row>
        <row r="483">
          <cell r="A483" t="str">
            <v>ANT-0964</v>
          </cell>
          <cell r="B483" t="str">
            <v>Kinshasa</v>
          </cell>
          <cell r="C483">
            <v>-0.57104900000000003</v>
          </cell>
          <cell r="D483">
            <v>15.317663</v>
          </cell>
          <cell r="E483" t="str">
            <v>5G</v>
          </cell>
          <cell r="F483" t="str">
            <v>Nokia</v>
          </cell>
        </row>
        <row r="484">
          <cell r="A484" t="str">
            <v>ANT-0966</v>
          </cell>
          <cell r="B484" t="str">
            <v>Ituri</v>
          </cell>
          <cell r="C484">
            <v>-12.364127999999999</v>
          </cell>
          <cell r="D484">
            <v>19.576150999999999</v>
          </cell>
          <cell r="E484" t="str">
            <v>3G</v>
          </cell>
          <cell r="F484" t="str">
            <v>Nokia</v>
          </cell>
        </row>
        <row r="485">
          <cell r="A485" t="str">
            <v>ANT-0970</v>
          </cell>
          <cell r="B485" t="str">
            <v>Nord-Kivu</v>
          </cell>
          <cell r="C485">
            <v>-11.866133</v>
          </cell>
          <cell r="D485">
            <v>27.068932</v>
          </cell>
          <cell r="E485" t="str">
            <v>3G</v>
          </cell>
          <cell r="F485" t="str">
            <v>Huawei</v>
          </cell>
        </row>
        <row r="486">
          <cell r="A486" t="str">
            <v>ANT-0972</v>
          </cell>
          <cell r="B486" t="str">
            <v>Kongo-Central</v>
          </cell>
          <cell r="C486">
            <v>-0.469945</v>
          </cell>
          <cell r="D486">
            <v>21.038527999999999</v>
          </cell>
          <cell r="E486" t="str">
            <v>3G</v>
          </cell>
          <cell r="F486" t="str">
            <v>Ericsson</v>
          </cell>
        </row>
        <row r="487">
          <cell r="A487" t="str">
            <v>ANT-0975</v>
          </cell>
          <cell r="B487" t="str">
            <v>Haut-Lomami</v>
          </cell>
          <cell r="C487">
            <v>-5.8145569999999998</v>
          </cell>
          <cell r="D487">
            <v>21.942052</v>
          </cell>
          <cell r="E487" t="str">
            <v>5G</v>
          </cell>
          <cell r="F487" t="str">
            <v>Huawei</v>
          </cell>
        </row>
        <row r="488">
          <cell r="A488" t="str">
            <v>ANT-0981</v>
          </cell>
          <cell r="B488" t="str">
            <v>Kongo-Central</v>
          </cell>
          <cell r="C488">
            <v>-11.542737000000001</v>
          </cell>
          <cell r="D488">
            <v>30.175912</v>
          </cell>
          <cell r="E488" t="str">
            <v>4G</v>
          </cell>
          <cell r="F488" t="str">
            <v>Nokia</v>
          </cell>
        </row>
        <row r="489">
          <cell r="A489" t="str">
            <v>ANT-0982</v>
          </cell>
          <cell r="B489" t="str">
            <v>Haut-Lomami</v>
          </cell>
          <cell r="C489">
            <v>3.42055</v>
          </cell>
          <cell r="D489">
            <v>15.370965999999999</v>
          </cell>
          <cell r="E489" t="str">
            <v>4G</v>
          </cell>
          <cell r="F489" t="str">
            <v>Nokia</v>
          </cell>
        </row>
        <row r="490">
          <cell r="A490" t="str">
            <v>ANT-0984</v>
          </cell>
          <cell r="B490" t="str">
            <v>Kongo-Central</v>
          </cell>
          <cell r="C490">
            <v>-2.290705</v>
          </cell>
          <cell r="D490">
            <v>19.150395</v>
          </cell>
          <cell r="E490" t="str">
            <v>5G</v>
          </cell>
          <cell r="F490" t="str">
            <v>Ericsson</v>
          </cell>
        </row>
        <row r="491">
          <cell r="A491" t="str">
            <v>ANT-0985</v>
          </cell>
          <cell r="B491" t="str">
            <v>Kasai</v>
          </cell>
          <cell r="C491">
            <v>-7.6757720000000003</v>
          </cell>
          <cell r="D491">
            <v>30.222971000000001</v>
          </cell>
          <cell r="E491" t="str">
            <v>5G</v>
          </cell>
          <cell r="F491" t="str">
            <v>Ericsson</v>
          </cell>
        </row>
        <row r="492">
          <cell r="A492" t="str">
            <v>ANT-0986</v>
          </cell>
          <cell r="B492" t="str">
            <v>Maniema</v>
          </cell>
          <cell r="C492">
            <v>1.727095</v>
          </cell>
          <cell r="D492">
            <v>22.099651999999999</v>
          </cell>
          <cell r="E492" t="str">
            <v>4G</v>
          </cell>
          <cell r="F492" t="str">
            <v>Huawei</v>
          </cell>
        </row>
        <row r="493">
          <cell r="A493" t="str">
            <v>ANT-0988</v>
          </cell>
          <cell r="B493" t="str">
            <v>Equateur</v>
          </cell>
          <cell r="C493">
            <v>-5.7200150000000001</v>
          </cell>
          <cell r="D493">
            <v>25.022109</v>
          </cell>
          <cell r="E493" t="str">
            <v>5G</v>
          </cell>
          <cell r="F493" t="str">
            <v>ZTE</v>
          </cell>
        </row>
        <row r="494">
          <cell r="A494" t="str">
            <v>ANT-0989</v>
          </cell>
          <cell r="B494" t="str">
            <v>Haut-Katanga</v>
          </cell>
          <cell r="C494">
            <v>-11.594525000000001</v>
          </cell>
          <cell r="D494">
            <v>29.744895</v>
          </cell>
          <cell r="E494" t="str">
            <v>3G</v>
          </cell>
          <cell r="F494" t="str">
            <v>ZTE</v>
          </cell>
        </row>
        <row r="495">
          <cell r="A495" t="str">
            <v>ANT-0990</v>
          </cell>
          <cell r="B495" t="str">
            <v>Kongo-Central</v>
          </cell>
          <cell r="C495">
            <v>-12.112399999999999</v>
          </cell>
          <cell r="D495">
            <v>15.872226</v>
          </cell>
          <cell r="E495" t="str">
            <v>4G</v>
          </cell>
          <cell r="F495" t="str">
            <v>Nokia</v>
          </cell>
        </row>
        <row r="496">
          <cell r="A496" t="str">
            <v>ANT-0991</v>
          </cell>
          <cell r="B496" t="str">
            <v>Kwango</v>
          </cell>
          <cell r="C496">
            <v>-12.431227</v>
          </cell>
          <cell r="D496">
            <v>18.414290999999999</v>
          </cell>
          <cell r="E496" t="str">
            <v>5G</v>
          </cell>
          <cell r="F496" t="str">
            <v>Huawei</v>
          </cell>
        </row>
        <row r="497">
          <cell r="A497" t="str">
            <v>ANT-0993</v>
          </cell>
          <cell r="B497" t="str">
            <v>Kasai-Oriental</v>
          </cell>
          <cell r="C497">
            <v>-4.652463</v>
          </cell>
          <cell r="D497">
            <v>18.779983999999999</v>
          </cell>
          <cell r="E497" t="str">
            <v>3G</v>
          </cell>
          <cell r="F497" t="str">
            <v>Nokia</v>
          </cell>
        </row>
        <row r="498">
          <cell r="A498" t="str">
            <v>ANT-0994</v>
          </cell>
          <cell r="B498" t="str">
            <v>Lomami</v>
          </cell>
          <cell r="C498">
            <v>-2.2681789999999999</v>
          </cell>
          <cell r="D498">
            <v>25.699068</v>
          </cell>
          <cell r="E498" t="str">
            <v>3G</v>
          </cell>
          <cell r="F498" t="str">
            <v>ZTE</v>
          </cell>
        </row>
        <row r="499">
          <cell r="A499" t="str">
            <v>ANT-0995</v>
          </cell>
          <cell r="B499" t="str">
            <v>Sankuru</v>
          </cell>
          <cell r="C499">
            <v>-7.5969509999999998</v>
          </cell>
          <cell r="D499">
            <v>22.153986</v>
          </cell>
          <cell r="E499" t="str">
            <v>3G</v>
          </cell>
          <cell r="F499" t="str">
            <v>Ericsson</v>
          </cell>
        </row>
        <row r="500">
          <cell r="A500" t="str">
            <v>ANT-0997</v>
          </cell>
          <cell r="B500" t="str">
            <v>Kasai-Oriental</v>
          </cell>
          <cell r="C500">
            <v>0.639208</v>
          </cell>
          <cell r="D500">
            <v>20.701739</v>
          </cell>
          <cell r="E500" t="str">
            <v>4G</v>
          </cell>
          <cell r="F500" t="str">
            <v>Huawei</v>
          </cell>
        </row>
        <row r="501">
          <cell r="A501" t="str">
            <v>ANT-1000</v>
          </cell>
          <cell r="B501" t="str">
            <v>Mai-Ndombe</v>
          </cell>
          <cell r="C501">
            <v>2.7298239999999998</v>
          </cell>
          <cell r="D501">
            <v>12.958664000000001</v>
          </cell>
          <cell r="E501" t="str">
            <v>3G</v>
          </cell>
          <cell r="F501" t="str">
            <v>ZTE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111.580772222223" createdVersion="8" refreshedVersion="8" minRefreshableVersion="3" recordCount="1908" xr:uid="{8CF73844-C322-43E5-B824-0DE2B9025B73}">
  <cacheSource type="worksheet">
    <worksheetSource name="Logs_reseau"/>
  </cacheSource>
  <cacheFields count="10">
    <cacheField name="Province_RDC" numFmtId="0">
      <sharedItems count="27">
        <s v="Nord-Ubangi"/>
        <s v="Mai-Ndombe"/>
        <s v="Non trouvé"/>
        <s v="Equateur"/>
        <s v="Bas-Uele"/>
        <s v="Tshopo"/>
        <s v="Haut-Lomami"/>
        <s v="Haut-Katanga"/>
        <s v="Kongo-Central"/>
        <s v="Sankuru"/>
        <s v="Kasai"/>
        <s v="Kinshasa"/>
        <s v="Ituri"/>
        <s v="Mongala"/>
        <s v="Kasai-Central"/>
        <s v="Nord-Kivu"/>
        <s v="Kasai-Oriental"/>
        <s v="Sud-Ubangi"/>
        <s v="Maniema"/>
        <s v="Tshuapa"/>
        <s v="Kwilu"/>
        <s v="Sud-Kivu"/>
        <s v="Lualaba"/>
        <s v="Haut-Uele"/>
        <s v="Tanganyika"/>
        <s v="Kwango"/>
        <s v="Lomami"/>
      </sharedItems>
    </cacheField>
    <cacheField name="Cell_ID" numFmtId="0">
      <sharedItems/>
    </cacheField>
    <cacheField name="Date_Heure_Panne" numFmtId="164">
      <sharedItems containsSemiMixedTypes="0" containsNonDate="0" containsDate="1" containsString="0" minDate="2023-10-01T01:34:00" maxDate="2023-10-31T23:57:00"/>
    </cacheField>
    <cacheField name="Colonne1" numFmtId="164">
      <sharedItems containsNonDate="0" containsString="0" containsBlank="1"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Latitude" numFmtId="0">
      <sharedItems containsMixedTypes="1" containsNumber="1" minValue="-12.839263000000001" maxValue="4.9455159999999996"/>
    </cacheField>
    <cacheField name="Longitude" numFmtId="0">
      <sharedItems containsMixedTypes="1" containsNumber="1" minValue="12.013676999999999" maxValue="30.924261000000001"/>
    </cacheField>
    <cacheField name="Technologie" numFmtId="0">
      <sharedItems count="4">
        <s v="4G"/>
        <s v="Non trouvé"/>
        <s v="5G"/>
        <s v="3G"/>
      </sharedItems>
    </cacheField>
    <cacheField name="Equipement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111.591499074071" createdVersion="8" refreshedVersion="8" minRefreshableVersion="3" recordCount="746" xr:uid="{982CD4F6-C95E-40A8-8D59-48DAA4FF36FF}">
  <cacheSource type="worksheet">
    <worksheetSource name="Client_churn3"/>
  </cacheSource>
  <cacheFields count="11">
    <cacheField name="ID" numFmtId="0">
      <sharedItems containsSemiMixedTypes="0" containsString="0" containsNumber="1" containsInteger="1" minValue="1" maxValue="746"/>
    </cacheField>
    <cacheField name="ID_Client" numFmtId="0">
      <sharedItems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MixedTypes="1" containsNumber="1" containsInteger="1" minValue="-53" maxValue="120"/>
    </cacheField>
    <cacheField name="Type_Forfait" numFmtId="0">
      <sharedItems/>
    </cacheField>
    <cacheField name="Type Clien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165">
      <sharedItems containsSemiMixedTypes="0" containsString="0" containsNumber="1" minValue="10" maxValue="99.93"/>
    </cacheField>
    <cacheField name="Remise Client" numFmtId="9">
      <sharedItems containsSemiMixedTypes="0" containsString="0" containsNumber="1" minValue="0" maxValue="0.45"/>
    </cacheField>
    <cacheField name="Perte financiere " numFmtId="165">
      <sharedItems containsSemiMixedTypes="0" containsString="0" containsNumber="1" minValue="0" maxValue="44.401499999999999"/>
    </cacheField>
    <cacheField name="Plaintes_Service_Client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8">
  <r>
    <x v="0"/>
    <s v="ANT-0001"/>
    <d v="2023-10-24T08:15:00"/>
    <m/>
    <n v="74"/>
    <s v="Résolu"/>
    <n v="-8.1437910000000002"/>
    <n v="28.946161"/>
    <x v="0"/>
    <s v="ZTE"/>
  </r>
  <r>
    <x v="0"/>
    <s v="ANT-0001"/>
    <d v="2023-10-21T15:25:00"/>
    <m/>
    <n v="42"/>
    <s v="Non Résolu"/>
    <n v="-8.1437910000000002"/>
    <n v="28.946161"/>
    <x v="0"/>
    <s v="ZTE"/>
  </r>
  <r>
    <x v="1"/>
    <s v="ANT-0002"/>
    <d v="2023-10-01T18:24:00"/>
    <m/>
    <n v="78"/>
    <s v="Résolu"/>
    <n v="-10.442425"/>
    <n v="23.243632000000002"/>
    <x v="0"/>
    <s v="Nokia"/>
  </r>
  <r>
    <x v="1"/>
    <s v="ANT-0002"/>
    <d v="2023-10-27T02:30:00"/>
    <m/>
    <n v="56"/>
    <s v="Résolu"/>
    <n v="-10.442425"/>
    <n v="23.243632000000002"/>
    <x v="0"/>
    <s v="Nokia"/>
  </r>
  <r>
    <x v="1"/>
    <s v="ANT-0002"/>
    <d v="2023-10-31T03:41:00"/>
    <m/>
    <n v="43"/>
    <s v="Non Résolu"/>
    <n v="-10.442425"/>
    <n v="23.243632000000002"/>
    <x v="0"/>
    <s v="Nokia"/>
  </r>
  <r>
    <x v="1"/>
    <s v="ANT-0002"/>
    <d v="2023-10-08T12:36:00"/>
    <m/>
    <n v="104"/>
    <s v="Résolu"/>
    <n v="-10.442425"/>
    <n v="23.243632000000002"/>
    <x v="0"/>
    <s v="Nokia"/>
  </r>
  <r>
    <x v="1"/>
    <s v="ANT-0002"/>
    <d v="2023-10-05T07:06:00"/>
    <m/>
    <n v="48"/>
    <s v="En Cours"/>
    <n v="-10.442425"/>
    <n v="23.243632000000002"/>
    <x v="0"/>
    <s v="Nokia"/>
  </r>
  <r>
    <x v="2"/>
    <s v="ANT-0003"/>
    <d v="2023-10-01T12:21:00"/>
    <m/>
    <n v="86"/>
    <s v="En Cours"/>
    <s v="Non trouvé"/>
    <s v="Non trouvé"/>
    <x v="1"/>
    <s v="Non trouvé"/>
  </r>
  <r>
    <x v="2"/>
    <s v="ANT-0003"/>
    <d v="2023-10-16T20:45:00"/>
    <m/>
    <n v="45"/>
    <s v="En Cours"/>
    <s v="Non trouvé"/>
    <s v="Non trouvé"/>
    <x v="1"/>
    <s v="Non trouvé"/>
  </r>
  <r>
    <x v="2"/>
    <s v="ANT-0003"/>
    <d v="2023-10-21T20:56:00"/>
    <m/>
    <n v="34"/>
    <s v="Résolu"/>
    <s v="Non trouvé"/>
    <s v="Non trouvé"/>
    <x v="1"/>
    <s v="Non trouvé"/>
  </r>
  <r>
    <x v="2"/>
    <s v="ANT-0003"/>
    <d v="2023-10-13T16:33:00"/>
    <m/>
    <n v="101"/>
    <s v="Résolu"/>
    <s v="Non trouvé"/>
    <s v="Non trouvé"/>
    <x v="1"/>
    <s v="Non trouvé"/>
  </r>
  <r>
    <x v="2"/>
    <s v="ANT-0004"/>
    <d v="2023-10-06T05:56:00"/>
    <m/>
    <n v="21"/>
    <s v="Résolu"/>
    <s v="Non trouvé"/>
    <s v="Non trouvé"/>
    <x v="1"/>
    <s v="Non trouvé"/>
  </r>
  <r>
    <x v="2"/>
    <s v="ANT-0004"/>
    <d v="2023-10-31T20:02:00"/>
    <m/>
    <n v="93"/>
    <s v="Non Résolu"/>
    <s v="Non trouvé"/>
    <s v="Non trouvé"/>
    <x v="1"/>
    <s v="Non trouvé"/>
  </r>
  <r>
    <x v="2"/>
    <s v="ANT-0004"/>
    <d v="2023-10-16T01:08:00"/>
    <m/>
    <n v="85"/>
    <s v="En Cours"/>
    <s v="Non trouvé"/>
    <s v="Non trouvé"/>
    <x v="1"/>
    <s v="Non trouvé"/>
  </r>
  <r>
    <x v="3"/>
    <s v="ANT-0005"/>
    <d v="2023-10-21T16:38:00"/>
    <m/>
    <n v="12"/>
    <s v="Non Résolu"/>
    <n v="-3.544581"/>
    <n v="14.776605"/>
    <x v="0"/>
    <s v="Nokia"/>
  </r>
  <r>
    <x v="3"/>
    <s v="ANT-0005"/>
    <d v="2023-10-26T18:38:00"/>
    <m/>
    <n v="43"/>
    <s v="En Cours"/>
    <n v="-3.544581"/>
    <n v="14.776605"/>
    <x v="0"/>
    <s v="Nokia"/>
  </r>
  <r>
    <x v="3"/>
    <s v="ANT-0005"/>
    <d v="2023-10-25T13:16:00"/>
    <m/>
    <n v="92"/>
    <s v="Résolu"/>
    <n v="-3.544581"/>
    <n v="14.776605"/>
    <x v="0"/>
    <s v="Nokia"/>
  </r>
  <r>
    <x v="3"/>
    <s v="ANT-0005"/>
    <d v="2023-10-25T00:15:00"/>
    <m/>
    <n v="12"/>
    <s v="Non Résolu"/>
    <n v="-3.544581"/>
    <n v="14.776605"/>
    <x v="0"/>
    <s v="Nokia"/>
  </r>
  <r>
    <x v="3"/>
    <s v="ANT-0005"/>
    <d v="2023-10-12T05:38:00"/>
    <m/>
    <n v="31"/>
    <s v="Non Résolu"/>
    <n v="-3.544581"/>
    <n v="14.776605"/>
    <x v="0"/>
    <s v="Nokia"/>
  </r>
  <r>
    <x v="3"/>
    <s v="ANT-0005"/>
    <d v="2023-10-31T01:16:00"/>
    <m/>
    <n v="91"/>
    <s v="En Cours"/>
    <n v="-3.544581"/>
    <n v="14.776605"/>
    <x v="0"/>
    <s v="Nokia"/>
  </r>
  <r>
    <x v="4"/>
    <s v="ANT-0006"/>
    <d v="2023-10-05T08:08:00"/>
    <m/>
    <n v="18"/>
    <s v="Résolu"/>
    <n v="-2.8532869999999999"/>
    <n v="22.117896000000002"/>
    <x v="2"/>
    <s v="Huawei"/>
  </r>
  <r>
    <x v="5"/>
    <s v="ANT-0007"/>
    <d v="2023-10-11T17:48:00"/>
    <m/>
    <n v="19"/>
    <s v="Résolu"/>
    <n v="4.7777349999999998"/>
    <n v="16.392204"/>
    <x v="2"/>
    <s v="ZTE"/>
  </r>
  <r>
    <x v="5"/>
    <s v="ANT-0007"/>
    <d v="2023-10-27T14:58:00"/>
    <m/>
    <n v="103"/>
    <s v="Résolu"/>
    <n v="4.7777349999999998"/>
    <n v="16.392204"/>
    <x v="2"/>
    <s v="ZTE"/>
  </r>
  <r>
    <x v="5"/>
    <s v="ANT-0007"/>
    <d v="2023-10-08T03:22:00"/>
    <m/>
    <n v="41"/>
    <s v="Résolu"/>
    <n v="4.7777349999999998"/>
    <n v="16.392204"/>
    <x v="2"/>
    <s v="ZTE"/>
  </r>
  <r>
    <x v="6"/>
    <s v="ANT-0008"/>
    <d v="2023-10-11T19:16:00"/>
    <m/>
    <n v="52"/>
    <s v="Non Résolu"/>
    <n v="-11.89448"/>
    <n v="19.216214999999998"/>
    <x v="3"/>
    <s v="ZTE"/>
  </r>
  <r>
    <x v="6"/>
    <s v="ANT-0008"/>
    <d v="2023-10-17T02:25:00"/>
    <m/>
    <n v="98"/>
    <s v="Non Résolu"/>
    <n v="-11.89448"/>
    <n v="19.216214999999998"/>
    <x v="3"/>
    <s v="ZTE"/>
  </r>
  <r>
    <x v="6"/>
    <s v="ANT-0008"/>
    <d v="2023-10-26T04:08:00"/>
    <m/>
    <n v="14"/>
    <s v="Résolu"/>
    <n v="-11.89448"/>
    <n v="19.216214999999998"/>
    <x v="3"/>
    <s v="ZTE"/>
  </r>
  <r>
    <x v="2"/>
    <s v="ANT-0009"/>
    <d v="2023-10-05T06:48:00"/>
    <m/>
    <n v="47"/>
    <s v="Non Résolu"/>
    <s v="Non trouvé"/>
    <s v="Non trouvé"/>
    <x v="1"/>
    <s v="Non trouvé"/>
  </r>
  <r>
    <x v="2"/>
    <s v="ANT-0009"/>
    <d v="2023-10-31T23:56:00"/>
    <m/>
    <n v="83"/>
    <s v="Non Résolu"/>
    <s v="Non trouvé"/>
    <s v="Non trouvé"/>
    <x v="1"/>
    <s v="Non trouvé"/>
  </r>
  <r>
    <x v="2"/>
    <s v="ANT-0009"/>
    <d v="2023-10-30T11:56:00"/>
    <m/>
    <n v="70"/>
    <s v="Non Résolu"/>
    <s v="Non trouvé"/>
    <s v="Non trouvé"/>
    <x v="1"/>
    <s v="Non trouvé"/>
  </r>
  <r>
    <x v="2"/>
    <s v="ANT-0009"/>
    <d v="2023-10-07T02:26:00"/>
    <m/>
    <n v="8"/>
    <s v="Non Résolu"/>
    <s v="Non trouvé"/>
    <s v="Non trouvé"/>
    <x v="1"/>
    <s v="Non trouvé"/>
  </r>
  <r>
    <x v="2"/>
    <s v="ANT-0009"/>
    <d v="2023-10-28T10:11:00"/>
    <m/>
    <n v="58"/>
    <s v="Résolu"/>
    <s v="Non trouvé"/>
    <s v="Non trouvé"/>
    <x v="1"/>
    <s v="Non trouvé"/>
  </r>
  <r>
    <x v="2"/>
    <s v="ANT-0009"/>
    <d v="2023-10-28T00:36:00"/>
    <m/>
    <n v="117"/>
    <s v="Non Résolu"/>
    <s v="Non trouvé"/>
    <s v="Non trouvé"/>
    <x v="1"/>
    <s v="Non trouvé"/>
  </r>
  <r>
    <x v="2"/>
    <s v="ANT-0009"/>
    <d v="2023-10-23T15:28:00"/>
    <m/>
    <n v="111"/>
    <s v="Résolu"/>
    <s v="Non trouvé"/>
    <s v="Non trouvé"/>
    <x v="1"/>
    <s v="Non trouvé"/>
  </r>
  <r>
    <x v="2"/>
    <s v="ANT-0009"/>
    <d v="2023-10-26T06:56:00"/>
    <m/>
    <n v="97"/>
    <s v="En Cours"/>
    <s v="Non trouvé"/>
    <s v="Non trouvé"/>
    <x v="1"/>
    <s v="Non trouvé"/>
  </r>
  <r>
    <x v="7"/>
    <s v="ANT-0010"/>
    <d v="2023-10-28T00:08:00"/>
    <m/>
    <n v="61"/>
    <s v="En Cours"/>
    <n v="4.4712560000000003"/>
    <n v="27.107028"/>
    <x v="3"/>
    <s v="Ericsson"/>
  </r>
  <r>
    <x v="1"/>
    <s v="ANT-0011"/>
    <d v="2023-10-14T17:00:00"/>
    <m/>
    <n v="106"/>
    <s v="Résolu"/>
    <n v="-1.607639"/>
    <n v="17.003636"/>
    <x v="0"/>
    <s v="Ericsson"/>
  </r>
  <r>
    <x v="1"/>
    <s v="ANT-0011"/>
    <d v="2023-10-24T06:20:00"/>
    <m/>
    <n v="7"/>
    <s v="Résolu"/>
    <n v="-1.607639"/>
    <n v="17.003636"/>
    <x v="0"/>
    <s v="Ericsson"/>
  </r>
  <r>
    <x v="1"/>
    <s v="ANT-0011"/>
    <d v="2023-10-09T23:01:00"/>
    <m/>
    <n v="12"/>
    <s v="En Cours"/>
    <n v="-1.607639"/>
    <n v="17.003636"/>
    <x v="0"/>
    <s v="Ericsson"/>
  </r>
  <r>
    <x v="2"/>
    <s v="ANT-0012"/>
    <d v="2023-10-01T02:13:00"/>
    <m/>
    <n v="87"/>
    <s v="Non Résolu"/>
    <s v="Non trouvé"/>
    <s v="Non trouvé"/>
    <x v="1"/>
    <s v="Non trouvé"/>
  </r>
  <r>
    <x v="2"/>
    <s v="ANT-0012"/>
    <d v="2023-10-09T16:55:00"/>
    <m/>
    <n v="82"/>
    <s v="En Cours"/>
    <s v="Non trouvé"/>
    <s v="Non trouvé"/>
    <x v="1"/>
    <s v="Non trouvé"/>
  </r>
  <r>
    <x v="2"/>
    <s v="ANT-0012"/>
    <d v="2023-10-22T23:57:00"/>
    <m/>
    <n v="12"/>
    <s v="En Cours"/>
    <s v="Non trouvé"/>
    <s v="Non trouvé"/>
    <x v="1"/>
    <s v="Non trouvé"/>
  </r>
  <r>
    <x v="2"/>
    <s v="ANT-0012"/>
    <d v="2023-10-07T09:14:00"/>
    <m/>
    <n v="79"/>
    <s v="En Cours"/>
    <s v="Non trouvé"/>
    <s v="Non trouvé"/>
    <x v="1"/>
    <s v="Non trouvé"/>
  </r>
  <r>
    <x v="2"/>
    <s v="ANT-0012"/>
    <d v="2023-10-23T14:04:00"/>
    <m/>
    <n v="99"/>
    <s v="En Cours"/>
    <s v="Non trouvé"/>
    <s v="Non trouvé"/>
    <x v="1"/>
    <s v="Non trouvé"/>
  </r>
  <r>
    <x v="2"/>
    <s v="ANT-0012"/>
    <d v="2023-10-25T16:07:00"/>
    <m/>
    <n v="100"/>
    <s v="Non Résolu"/>
    <s v="Non trouvé"/>
    <s v="Non trouvé"/>
    <x v="1"/>
    <s v="Non trouvé"/>
  </r>
  <r>
    <x v="2"/>
    <s v="ANT-0013"/>
    <d v="2023-10-03T17:49:00"/>
    <m/>
    <n v="8"/>
    <s v="Non Résolu"/>
    <s v="Non trouvé"/>
    <s v="Non trouvé"/>
    <x v="1"/>
    <s v="Non trouvé"/>
  </r>
  <r>
    <x v="2"/>
    <s v="ANT-0013"/>
    <d v="2023-10-30T14:18:00"/>
    <m/>
    <n v="76"/>
    <s v="Non Résolu"/>
    <s v="Non trouvé"/>
    <s v="Non trouvé"/>
    <x v="1"/>
    <s v="Non trouvé"/>
  </r>
  <r>
    <x v="2"/>
    <s v="ANT-0013"/>
    <d v="2023-10-07T13:24:00"/>
    <m/>
    <n v="87"/>
    <s v="Résolu"/>
    <s v="Non trouvé"/>
    <s v="Non trouvé"/>
    <x v="1"/>
    <s v="Non trouvé"/>
  </r>
  <r>
    <x v="2"/>
    <s v="ANT-0014"/>
    <d v="2023-10-09T01:05:00"/>
    <m/>
    <n v="106"/>
    <s v="Résolu"/>
    <s v="Non trouvé"/>
    <s v="Non trouvé"/>
    <x v="1"/>
    <s v="Non trouvé"/>
  </r>
  <r>
    <x v="2"/>
    <s v="ANT-0014"/>
    <d v="2023-10-22T06:27:00"/>
    <m/>
    <n v="69"/>
    <s v="En Cours"/>
    <s v="Non trouvé"/>
    <s v="Non trouvé"/>
    <x v="1"/>
    <s v="Non trouvé"/>
  </r>
  <r>
    <x v="2"/>
    <s v="ANT-0014"/>
    <d v="2023-10-22T18:28:00"/>
    <m/>
    <n v="75"/>
    <s v="Non Résolu"/>
    <s v="Non trouvé"/>
    <s v="Non trouvé"/>
    <x v="1"/>
    <s v="Non trouvé"/>
  </r>
  <r>
    <x v="2"/>
    <s v="ANT-0015"/>
    <d v="2023-10-03T10:01:00"/>
    <m/>
    <n v="104"/>
    <s v="Non Résolu"/>
    <s v="Non trouvé"/>
    <s v="Non trouvé"/>
    <x v="1"/>
    <s v="Non trouvé"/>
  </r>
  <r>
    <x v="2"/>
    <s v="ANT-0015"/>
    <d v="2023-10-15T10:59:00"/>
    <m/>
    <n v="108"/>
    <s v="En Cours"/>
    <s v="Non trouvé"/>
    <s v="Non trouvé"/>
    <x v="1"/>
    <s v="Non trouvé"/>
  </r>
  <r>
    <x v="2"/>
    <s v="ANT-0015"/>
    <d v="2023-10-14T15:35:00"/>
    <m/>
    <n v="78"/>
    <s v="Non Résolu"/>
    <s v="Non trouvé"/>
    <s v="Non trouvé"/>
    <x v="1"/>
    <s v="Non trouvé"/>
  </r>
  <r>
    <x v="8"/>
    <s v="ANT-0016"/>
    <d v="2023-10-26T00:48:00"/>
    <m/>
    <n v="11"/>
    <s v="Non Résolu"/>
    <n v="2.9836019999999999"/>
    <n v="21.893065"/>
    <x v="2"/>
    <s v="Nokia"/>
  </r>
  <r>
    <x v="8"/>
    <s v="ANT-0016"/>
    <d v="2023-10-06T08:29:00"/>
    <m/>
    <n v="88"/>
    <s v="En Cours"/>
    <n v="2.9836019999999999"/>
    <n v="21.893065"/>
    <x v="2"/>
    <s v="Nokia"/>
  </r>
  <r>
    <x v="8"/>
    <s v="ANT-0016"/>
    <d v="2023-10-05T07:24:00"/>
    <m/>
    <n v="110"/>
    <s v="Résolu"/>
    <n v="2.9836019999999999"/>
    <n v="21.893065"/>
    <x v="2"/>
    <s v="Nokia"/>
  </r>
  <r>
    <x v="8"/>
    <s v="ANT-0016"/>
    <d v="2023-10-01T12:37:00"/>
    <m/>
    <n v="74"/>
    <s v="Non Résolu"/>
    <n v="2.9836019999999999"/>
    <n v="21.893065"/>
    <x v="2"/>
    <s v="Nokia"/>
  </r>
  <r>
    <x v="9"/>
    <s v="ANT-0017"/>
    <d v="2023-10-18T13:14:00"/>
    <m/>
    <n v="115"/>
    <s v="Non Résolu"/>
    <n v="-3.419035"/>
    <n v="29.018315999999999"/>
    <x v="2"/>
    <s v="Ericsson"/>
  </r>
  <r>
    <x v="9"/>
    <s v="ANT-0017"/>
    <d v="2023-10-29T00:02:00"/>
    <m/>
    <n v="112"/>
    <s v="En Cours"/>
    <n v="-3.419035"/>
    <n v="29.018315999999999"/>
    <x v="2"/>
    <s v="Ericsson"/>
  </r>
  <r>
    <x v="9"/>
    <s v="ANT-0017"/>
    <d v="2023-10-30T18:41:00"/>
    <m/>
    <n v="27"/>
    <s v="Non Résolu"/>
    <n v="-3.419035"/>
    <n v="29.018315999999999"/>
    <x v="2"/>
    <s v="Ericsson"/>
  </r>
  <r>
    <x v="2"/>
    <s v="ANT-0018"/>
    <d v="2023-10-26T05:44:00"/>
    <m/>
    <n v="115"/>
    <s v="En Cours"/>
    <s v="Non trouvé"/>
    <s v="Non trouvé"/>
    <x v="1"/>
    <s v="Non trouvé"/>
  </r>
  <r>
    <x v="2"/>
    <s v="ANT-0018"/>
    <d v="2023-10-31T16:58:00"/>
    <m/>
    <n v="86"/>
    <s v="Résolu"/>
    <s v="Non trouvé"/>
    <s v="Non trouvé"/>
    <x v="1"/>
    <s v="Non trouvé"/>
  </r>
  <r>
    <x v="2"/>
    <s v="ANT-0018"/>
    <d v="2023-10-26T19:57:00"/>
    <m/>
    <n v="78"/>
    <s v="Résolu"/>
    <s v="Non trouvé"/>
    <s v="Non trouvé"/>
    <x v="1"/>
    <s v="Non trouvé"/>
  </r>
  <r>
    <x v="2"/>
    <s v="ANT-0018"/>
    <d v="2023-10-31T17:26:00"/>
    <m/>
    <n v="66"/>
    <s v="En Cours"/>
    <s v="Non trouvé"/>
    <s v="Non trouvé"/>
    <x v="1"/>
    <s v="Non trouvé"/>
  </r>
  <r>
    <x v="2"/>
    <s v="ANT-0018"/>
    <d v="2023-10-16T19:28:00"/>
    <m/>
    <n v="68"/>
    <s v="Résolu"/>
    <s v="Non trouvé"/>
    <s v="Non trouvé"/>
    <x v="1"/>
    <s v="Non trouvé"/>
  </r>
  <r>
    <x v="2"/>
    <s v="ANT-0019"/>
    <d v="2023-10-19T13:02:00"/>
    <m/>
    <n v="101"/>
    <s v="Résolu"/>
    <s v="Non trouvé"/>
    <s v="Non trouvé"/>
    <x v="1"/>
    <s v="Non trouvé"/>
  </r>
  <r>
    <x v="2"/>
    <s v="ANT-0019"/>
    <d v="2023-10-04T02:56:00"/>
    <m/>
    <n v="22"/>
    <s v="Non Résolu"/>
    <s v="Non trouvé"/>
    <s v="Non trouvé"/>
    <x v="1"/>
    <s v="Non trouvé"/>
  </r>
  <r>
    <x v="2"/>
    <s v="ANT-0019"/>
    <d v="2023-10-28T17:29:00"/>
    <m/>
    <n v="63"/>
    <s v="Résolu"/>
    <s v="Non trouvé"/>
    <s v="Non trouvé"/>
    <x v="1"/>
    <s v="Non trouvé"/>
  </r>
  <r>
    <x v="2"/>
    <s v="ANT-0019"/>
    <d v="2023-10-21T19:01:00"/>
    <m/>
    <n v="109"/>
    <s v="Non Résolu"/>
    <s v="Non trouvé"/>
    <s v="Non trouvé"/>
    <x v="1"/>
    <s v="Non trouvé"/>
  </r>
  <r>
    <x v="10"/>
    <s v="ANT-0020"/>
    <d v="2023-10-14T10:34:00"/>
    <m/>
    <n v="15"/>
    <s v="Non Résolu"/>
    <n v="-10.059846"/>
    <n v="14.375757999999999"/>
    <x v="0"/>
    <s v="Huawei"/>
  </r>
  <r>
    <x v="10"/>
    <s v="ANT-0020"/>
    <d v="2023-10-12T05:19:00"/>
    <m/>
    <n v="50"/>
    <s v="Résolu"/>
    <n v="-10.059846"/>
    <n v="14.375757999999999"/>
    <x v="0"/>
    <s v="Huawei"/>
  </r>
  <r>
    <x v="10"/>
    <s v="ANT-0020"/>
    <d v="2023-10-08T03:35:00"/>
    <m/>
    <n v="60"/>
    <s v="Non Résolu"/>
    <n v="-10.059846"/>
    <n v="14.375757999999999"/>
    <x v="0"/>
    <s v="Huawei"/>
  </r>
  <r>
    <x v="10"/>
    <s v="ANT-0020"/>
    <d v="2023-10-02T05:50:00"/>
    <m/>
    <n v="40"/>
    <s v="En Cours"/>
    <n v="-10.059846"/>
    <n v="14.375757999999999"/>
    <x v="0"/>
    <s v="Huawei"/>
  </r>
  <r>
    <x v="10"/>
    <s v="ANT-0020"/>
    <d v="2023-10-28T12:39:00"/>
    <m/>
    <n v="78"/>
    <s v="En Cours"/>
    <n v="-10.059846"/>
    <n v="14.375757999999999"/>
    <x v="0"/>
    <s v="Huawei"/>
  </r>
  <r>
    <x v="2"/>
    <s v="ANT-0021"/>
    <d v="2023-10-12T05:23:00"/>
    <m/>
    <n v="68"/>
    <s v="Non Résolu"/>
    <s v="Non trouvé"/>
    <s v="Non trouvé"/>
    <x v="1"/>
    <s v="Non trouvé"/>
  </r>
  <r>
    <x v="2"/>
    <s v="ANT-0021"/>
    <d v="2023-10-31T04:16:00"/>
    <m/>
    <n v="113"/>
    <s v="Résolu"/>
    <s v="Non trouvé"/>
    <s v="Non trouvé"/>
    <x v="1"/>
    <s v="Non trouvé"/>
  </r>
  <r>
    <x v="2"/>
    <s v="ANT-0021"/>
    <d v="2023-10-31T11:40:00"/>
    <m/>
    <n v="45"/>
    <s v="Non Résolu"/>
    <s v="Non trouvé"/>
    <s v="Non trouvé"/>
    <x v="1"/>
    <s v="Non trouvé"/>
  </r>
  <r>
    <x v="2"/>
    <s v="ANT-0021"/>
    <d v="2023-10-29T14:15:00"/>
    <m/>
    <n v="42"/>
    <s v="En Cours"/>
    <s v="Non trouvé"/>
    <s v="Non trouvé"/>
    <x v="1"/>
    <s v="Non trouvé"/>
  </r>
  <r>
    <x v="2"/>
    <s v="ANT-0021"/>
    <d v="2023-10-10T22:55:00"/>
    <m/>
    <n v="75"/>
    <s v="Résolu"/>
    <s v="Non trouvé"/>
    <s v="Non trouvé"/>
    <x v="1"/>
    <s v="Non trouvé"/>
  </r>
  <r>
    <x v="2"/>
    <s v="ANT-0022"/>
    <d v="2023-10-08T12:44:00"/>
    <m/>
    <n v="25"/>
    <s v="Résolu"/>
    <s v="Non trouvé"/>
    <s v="Non trouvé"/>
    <x v="1"/>
    <s v="Non trouvé"/>
  </r>
  <r>
    <x v="2"/>
    <s v="ANT-0022"/>
    <d v="2023-10-10T21:25:00"/>
    <m/>
    <n v="22"/>
    <s v="Non Résolu"/>
    <s v="Non trouvé"/>
    <s v="Non trouvé"/>
    <x v="1"/>
    <s v="Non trouvé"/>
  </r>
  <r>
    <x v="2"/>
    <s v="ANT-0022"/>
    <d v="2023-10-14T01:12:00"/>
    <m/>
    <n v="24"/>
    <s v="Non Résolu"/>
    <s v="Non trouvé"/>
    <s v="Non trouvé"/>
    <x v="1"/>
    <s v="Non trouvé"/>
  </r>
  <r>
    <x v="2"/>
    <s v="ANT-0022"/>
    <d v="2023-10-24T04:26:00"/>
    <m/>
    <n v="88"/>
    <s v="Résolu"/>
    <s v="Non trouvé"/>
    <s v="Non trouvé"/>
    <x v="1"/>
    <s v="Non trouvé"/>
  </r>
  <r>
    <x v="2"/>
    <s v="ANT-0022"/>
    <d v="2023-10-04T23:04:00"/>
    <m/>
    <n v="30"/>
    <s v="Résolu"/>
    <s v="Non trouvé"/>
    <s v="Non trouvé"/>
    <x v="1"/>
    <s v="Non trouvé"/>
  </r>
  <r>
    <x v="2"/>
    <s v="ANT-0022"/>
    <d v="2023-10-22T20:35:00"/>
    <m/>
    <n v="103"/>
    <s v="Non Résolu"/>
    <s v="Non trouvé"/>
    <s v="Non trouvé"/>
    <x v="1"/>
    <s v="Non trouvé"/>
  </r>
  <r>
    <x v="2"/>
    <s v="ANT-0022"/>
    <d v="2023-10-28T21:58:00"/>
    <m/>
    <n v="38"/>
    <s v="En Cours"/>
    <s v="Non trouvé"/>
    <s v="Non trouvé"/>
    <x v="1"/>
    <s v="Non trouvé"/>
  </r>
  <r>
    <x v="2"/>
    <s v="ANT-0022"/>
    <d v="2023-10-11T03:53:00"/>
    <m/>
    <n v="95"/>
    <s v="Résolu"/>
    <s v="Non trouvé"/>
    <s v="Non trouvé"/>
    <x v="1"/>
    <s v="Non trouvé"/>
  </r>
  <r>
    <x v="6"/>
    <s v="ANT-0023"/>
    <d v="2023-10-24T04:55:00"/>
    <m/>
    <n v="95"/>
    <s v="Résolu"/>
    <n v="-9.7801860000000005"/>
    <n v="16.649550000000001"/>
    <x v="2"/>
    <s v="Ericsson"/>
  </r>
  <r>
    <x v="6"/>
    <s v="ANT-0023"/>
    <d v="2023-10-18T12:29:00"/>
    <m/>
    <n v="58"/>
    <s v="Résolu"/>
    <n v="-9.7801860000000005"/>
    <n v="16.649550000000001"/>
    <x v="2"/>
    <s v="Ericsson"/>
  </r>
  <r>
    <x v="2"/>
    <s v="ANT-0024"/>
    <d v="2023-10-10T19:13:00"/>
    <m/>
    <n v="95"/>
    <s v="Résolu"/>
    <s v="Non trouvé"/>
    <s v="Non trouvé"/>
    <x v="1"/>
    <s v="Non trouvé"/>
  </r>
  <r>
    <x v="2"/>
    <s v="ANT-0024"/>
    <d v="2023-10-16T06:22:00"/>
    <m/>
    <n v="36"/>
    <s v="En Cours"/>
    <s v="Non trouvé"/>
    <s v="Non trouvé"/>
    <x v="1"/>
    <s v="Non trouvé"/>
  </r>
  <r>
    <x v="2"/>
    <s v="ANT-0024"/>
    <d v="2023-10-30T03:29:00"/>
    <m/>
    <n v="112"/>
    <s v="En Cours"/>
    <s v="Non trouvé"/>
    <s v="Non trouvé"/>
    <x v="1"/>
    <s v="Non trouvé"/>
  </r>
  <r>
    <x v="2"/>
    <s v="ANT-0024"/>
    <d v="2023-10-19T12:14:00"/>
    <m/>
    <n v="106"/>
    <s v="En Cours"/>
    <s v="Non trouvé"/>
    <s v="Non trouvé"/>
    <x v="1"/>
    <s v="Non trouvé"/>
  </r>
  <r>
    <x v="2"/>
    <s v="ANT-0025"/>
    <d v="2023-10-03T18:44:00"/>
    <m/>
    <n v="45"/>
    <s v="Résolu"/>
    <s v="Non trouvé"/>
    <s v="Non trouvé"/>
    <x v="1"/>
    <s v="Non trouvé"/>
  </r>
  <r>
    <x v="2"/>
    <s v="ANT-0025"/>
    <d v="2023-10-15T08:19:00"/>
    <m/>
    <n v="44"/>
    <s v="Non Résolu"/>
    <s v="Non trouvé"/>
    <s v="Non trouvé"/>
    <x v="1"/>
    <s v="Non trouvé"/>
  </r>
  <r>
    <x v="2"/>
    <s v="ANT-0025"/>
    <d v="2023-10-24T10:49:00"/>
    <m/>
    <n v="112"/>
    <s v="Non Résolu"/>
    <s v="Non trouvé"/>
    <s v="Non trouvé"/>
    <x v="1"/>
    <s v="Non trouvé"/>
  </r>
  <r>
    <x v="2"/>
    <s v="ANT-0026"/>
    <d v="2023-10-01T19:20:00"/>
    <m/>
    <n v="56"/>
    <s v="Non Résolu"/>
    <s v="Non trouvé"/>
    <s v="Non trouvé"/>
    <x v="1"/>
    <s v="Non trouvé"/>
  </r>
  <r>
    <x v="2"/>
    <s v="ANT-0026"/>
    <d v="2023-10-14T02:42:00"/>
    <m/>
    <n v="75"/>
    <s v="Non Résolu"/>
    <s v="Non trouvé"/>
    <s v="Non trouvé"/>
    <x v="1"/>
    <s v="Non trouvé"/>
  </r>
  <r>
    <x v="2"/>
    <s v="ANT-0026"/>
    <d v="2023-10-04T17:14:00"/>
    <m/>
    <n v="62"/>
    <s v="Résolu"/>
    <s v="Non trouvé"/>
    <s v="Non trouvé"/>
    <x v="1"/>
    <s v="Non trouvé"/>
  </r>
  <r>
    <x v="2"/>
    <s v="ANT-0026"/>
    <d v="2023-10-25T17:46:00"/>
    <m/>
    <n v="11"/>
    <s v="Résolu"/>
    <s v="Non trouvé"/>
    <s v="Non trouvé"/>
    <x v="1"/>
    <s v="Non trouvé"/>
  </r>
  <r>
    <x v="2"/>
    <s v="ANT-0027"/>
    <d v="2023-10-05T12:12:00"/>
    <m/>
    <n v="73"/>
    <s v="Résolu"/>
    <s v="Non trouvé"/>
    <s v="Non trouvé"/>
    <x v="1"/>
    <s v="Non trouvé"/>
  </r>
  <r>
    <x v="2"/>
    <s v="ANT-0027"/>
    <d v="2023-10-18T15:22:00"/>
    <m/>
    <n v="91"/>
    <s v="Non Résolu"/>
    <s v="Non trouvé"/>
    <s v="Non trouvé"/>
    <x v="1"/>
    <s v="Non trouvé"/>
  </r>
  <r>
    <x v="2"/>
    <s v="ANT-0027"/>
    <d v="2023-10-04T08:36:00"/>
    <m/>
    <n v="41"/>
    <s v="Non Résolu"/>
    <s v="Non trouvé"/>
    <s v="Non trouvé"/>
    <x v="1"/>
    <s v="Non trouvé"/>
  </r>
  <r>
    <x v="2"/>
    <s v="ANT-0027"/>
    <d v="2023-10-28T20:20:00"/>
    <m/>
    <n v="114"/>
    <s v="Non Résolu"/>
    <s v="Non trouvé"/>
    <s v="Non trouvé"/>
    <x v="1"/>
    <s v="Non trouvé"/>
  </r>
  <r>
    <x v="2"/>
    <s v="ANT-0027"/>
    <d v="2023-10-27T20:11:00"/>
    <m/>
    <n v="12"/>
    <s v="En Cours"/>
    <s v="Non trouvé"/>
    <s v="Non trouvé"/>
    <x v="1"/>
    <s v="Non trouvé"/>
  </r>
  <r>
    <x v="2"/>
    <s v="ANT-0028"/>
    <d v="2023-10-31T22:12:00"/>
    <m/>
    <n v="96"/>
    <s v="Non Résolu"/>
    <s v="Non trouvé"/>
    <s v="Non trouvé"/>
    <x v="1"/>
    <s v="Non trouvé"/>
  </r>
  <r>
    <x v="2"/>
    <s v="ANT-0028"/>
    <d v="2023-10-03T07:53:00"/>
    <m/>
    <n v="99"/>
    <s v="Non Résolu"/>
    <s v="Non trouvé"/>
    <s v="Non trouvé"/>
    <x v="1"/>
    <s v="Non trouvé"/>
  </r>
  <r>
    <x v="2"/>
    <s v="ANT-0028"/>
    <d v="2023-10-23T08:29:00"/>
    <m/>
    <n v="31"/>
    <s v="En Cours"/>
    <s v="Non trouvé"/>
    <s v="Non trouvé"/>
    <x v="1"/>
    <s v="Non trouvé"/>
  </r>
  <r>
    <x v="2"/>
    <s v="ANT-0028"/>
    <d v="2023-10-16T14:49:00"/>
    <m/>
    <n v="110"/>
    <s v="Non Résolu"/>
    <s v="Non trouvé"/>
    <s v="Non trouvé"/>
    <x v="1"/>
    <s v="Non trouvé"/>
  </r>
  <r>
    <x v="2"/>
    <s v="ANT-0028"/>
    <d v="2023-10-23T03:54:00"/>
    <m/>
    <n v="86"/>
    <s v="Non Résolu"/>
    <s v="Non trouvé"/>
    <s v="Non trouvé"/>
    <x v="1"/>
    <s v="Non trouvé"/>
  </r>
  <r>
    <x v="2"/>
    <s v="ANT-0028"/>
    <d v="2023-10-02T00:13:00"/>
    <m/>
    <n v="43"/>
    <s v="En Cours"/>
    <s v="Non trouvé"/>
    <s v="Non trouvé"/>
    <x v="1"/>
    <s v="Non trouvé"/>
  </r>
  <r>
    <x v="11"/>
    <s v="ANT-0029"/>
    <d v="2023-10-06T14:00:00"/>
    <m/>
    <n v="50"/>
    <s v="En Cours"/>
    <n v="-10.227569000000001"/>
    <n v="18.887930999999998"/>
    <x v="3"/>
    <s v="ZTE"/>
  </r>
  <r>
    <x v="11"/>
    <s v="ANT-0029"/>
    <d v="2023-10-14T00:39:00"/>
    <m/>
    <n v="31"/>
    <s v="En Cours"/>
    <n v="-10.227569000000001"/>
    <n v="18.887930999999998"/>
    <x v="3"/>
    <s v="ZTE"/>
  </r>
  <r>
    <x v="2"/>
    <s v="ANT-0030"/>
    <d v="2023-10-15T11:43:00"/>
    <m/>
    <n v="83"/>
    <s v="Résolu"/>
    <s v="Non trouvé"/>
    <s v="Non trouvé"/>
    <x v="1"/>
    <s v="Non trouvé"/>
  </r>
  <r>
    <x v="2"/>
    <s v="ANT-0030"/>
    <d v="2023-10-01T19:59:00"/>
    <m/>
    <n v="16"/>
    <s v="En Cours"/>
    <s v="Non trouvé"/>
    <s v="Non trouvé"/>
    <x v="1"/>
    <s v="Non trouvé"/>
  </r>
  <r>
    <x v="2"/>
    <s v="ANT-0030"/>
    <d v="2023-10-10T21:43:00"/>
    <m/>
    <n v="42"/>
    <s v="Résolu"/>
    <s v="Non trouvé"/>
    <s v="Non trouvé"/>
    <x v="1"/>
    <s v="Non trouvé"/>
  </r>
  <r>
    <x v="2"/>
    <s v="ANT-0030"/>
    <d v="2023-10-12T09:04:00"/>
    <m/>
    <n v="46"/>
    <s v="En Cours"/>
    <s v="Non trouvé"/>
    <s v="Non trouvé"/>
    <x v="1"/>
    <s v="Non trouvé"/>
  </r>
  <r>
    <x v="2"/>
    <s v="ANT-0030"/>
    <d v="2023-10-06T01:15:00"/>
    <m/>
    <n v="54"/>
    <s v="Résolu"/>
    <s v="Non trouvé"/>
    <s v="Non trouvé"/>
    <x v="1"/>
    <s v="Non trouvé"/>
  </r>
  <r>
    <x v="2"/>
    <s v="ANT-0030"/>
    <d v="2023-10-10T17:24:00"/>
    <m/>
    <n v="20"/>
    <s v="Non Résolu"/>
    <s v="Non trouvé"/>
    <s v="Non trouvé"/>
    <x v="1"/>
    <s v="Non trouvé"/>
  </r>
  <r>
    <x v="2"/>
    <s v="ANT-0030"/>
    <d v="2023-10-14T05:42:00"/>
    <m/>
    <n v="79"/>
    <s v="Résolu"/>
    <s v="Non trouvé"/>
    <s v="Non trouvé"/>
    <x v="1"/>
    <s v="Non trouvé"/>
  </r>
  <r>
    <x v="2"/>
    <s v="ANT-0031"/>
    <d v="2023-10-09T20:44:00"/>
    <m/>
    <n v="98"/>
    <s v="Résolu"/>
    <s v="Non trouvé"/>
    <s v="Non trouvé"/>
    <x v="1"/>
    <s v="Non trouvé"/>
  </r>
  <r>
    <x v="2"/>
    <s v="ANT-0031"/>
    <d v="2023-10-22T23:51:00"/>
    <m/>
    <n v="13"/>
    <s v="En Cours"/>
    <s v="Non trouvé"/>
    <s v="Non trouvé"/>
    <x v="1"/>
    <s v="Non trouvé"/>
  </r>
  <r>
    <x v="2"/>
    <s v="ANT-0031"/>
    <d v="2023-10-31T20:44:00"/>
    <m/>
    <n v="35"/>
    <s v="En Cours"/>
    <s v="Non trouvé"/>
    <s v="Non trouvé"/>
    <x v="1"/>
    <s v="Non trouvé"/>
  </r>
  <r>
    <x v="2"/>
    <s v="ANT-0033"/>
    <d v="2023-10-03T06:58:00"/>
    <m/>
    <n v="110"/>
    <s v="Résolu"/>
    <s v="Non trouvé"/>
    <s v="Non trouvé"/>
    <x v="1"/>
    <s v="Non trouvé"/>
  </r>
  <r>
    <x v="2"/>
    <s v="ANT-0034"/>
    <d v="2023-10-30T19:32:00"/>
    <m/>
    <n v="67"/>
    <s v="Non Résolu"/>
    <s v="Non trouvé"/>
    <s v="Non trouvé"/>
    <x v="1"/>
    <s v="Non trouvé"/>
  </r>
  <r>
    <x v="6"/>
    <s v="ANT-0035"/>
    <d v="2023-10-15T17:07:00"/>
    <m/>
    <n v="60"/>
    <s v="Non Résolu"/>
    <n v="-6.3324319999999998"/>
    <n v="24.887858000000001"/>
    <x v="0"/>
    <s v="ZTE"/>
  </r>
  <r>
    <x v="6"/>
    <s v="ANT-0035"/>
    <d v="2023-10-20T20:10:00"/>
    <m/>
    <n v="39"/>
    <s v="Résolu"/>
    <n v="-6.3324319999999998"/>
    <n v="24.887858000000001"/>
    <x v="0"/>
    <s v="ZTE"/>
  </r>
  <r>
    <x v="6"/>
    <s v="ANT-0035"/>
    <d v="2023-10-03T07:23:00"/>
    <m/>
    <n v="95"/>
    <s v="En Cours"/>
    <n v="-6.3324319999999998"/>
    <n v="24.887858000000001"/>
    <x v="0"/>
    <s v="ZTE"/>
  </r>
  <r>
    <x v="6"/>
    <s v="ANT-0035"/>
    <d v="2023-10-28T09:12:00"/>
    <m/>
    <n v="57"/>
    <s v="En Cours"/>
    <n v="-6.3324319999999998"/>
    <n v="24.887858000000001"/>
    <x v="0"/>
    <s v="ZTE"/>
  </r>
  <r>
    <x v="6"/>
    <s v="ANT-0035"/>
    <d v="2023-10-21T06:39:00"/>
    <m/>
    <n v="31"/>
    <s v="Résolu"/>
    <n v="-6.3324319999999998"/>
    <n v="24.887858000000001"/>
    <x v="0"/>
    <s v="ZTE"/>
  </r>
  <r>
    <x v="6"/>
    <s v="ANT-0035"/>
    <d v="2023-10-03T18:42:00"/>
    <m/>
    <n v="51"/>
    <s v="Résolu"/>
    <n v="-6.3324319999999998"/>
    <n v="24.887858000000001"/>
    <x v="0"/>
    <s v="ZTE"/>
  </r>
  <r>
    <x v="6"/>
    <s v="ANT-0035"/>
    <d v="2023-10-07T19:08:00"/>
    <m/>
    <n v="107"/>
    <s v="Non Résolu"/>
    <n v="-6.3324319999999998"/>
    <n v="24.887858000000001"/>
    <x v="0"/>
    <s v="ZTE"/>
  </r>
  <r>
    <x v="2"/>
    <s v="ANT-0036"/>
    <d v="2023-10-19T17:14:00"/>
    <m/>
    <n v="87"/>
    <s v="Résolu"/>
    <s v="Non trouvé"/>
    <s v="Non trouvé"/>
    <x v="1"/>
    <s v="Non trouvé"/>
  </r>
  <r>
    <x v="2"/>
    <s v="ANT-0036"/>
    <d v="2023-10-21T08:49:00"/>
    <m/>
    <n v="97"/>
    <s v="Non Résolu"/>
    <s v="Non trouvé"/>
    <s v="Non trouvé"/>
    <x v="1"/>
    <s v="Non trouvé"/>
  </r>
  <r>
    <x v="2"/>
    <s v="ANT-0036"/>
    <d v="2023-10-10T12:54:00"/>
    <m/>
    <n v="88"/>
    <s v="Résolu"/>
    <s v="Non trouvé"/>
    <s v="Non trouvé"/>
    <x v="1"/>
    <s v="Non trouvé"/>
  </r>
  <r>
    <x v="2"/>
    <s v="ANT-0036"/>
    <d v="2023-10-15T22:38:00"/>
    <m/>
    <n v="76"/>
    <s v="En Cours"/>
    <s v="Non trouvé"/>
    <s v="Non trouvé"/>
    <x v="1"/>
    <s v="Non trouvé"/>
  </r>
  <r>
    <x v="2"/>
    <s v="ANT-0036"/>
    <d v="2023-10-03T07:40:00"/>
    <m/>
    <n v="26"/>
    <s v="En Cours"/>
    <s v="Non trouvé"/>
    <s v="Non trouvé"/>
    <x v="1"/>
    <s v="Non trouvé"/>
  </r>
  <r>
    <x v="2"/>
    <s v="ANT-0036"/>
    <d v="2023-10-14T08:02:00"/>
    <m/>
    <n v="97"/>
    <s v="En Cours"/>
    <s v="Non trouvé"/>
    <s v="Non trouvé"/>
    <x v="1"/>
    <s v="Non trouvé"/>
  </r>
  <r>
    <x v="2"/>
    <s v="ANT-0036"/>
    <d v="2023-10-31T15:12:00"/>
    <m/>
    <n v="95"/>
    <s v="En Cours"/>
    <s v="Non trouvé"/>
    <s v="Non trouvé"/>
    <x v="1"/>
    <s v="Non trouvé"/>
  </r>
  <r>
    <x v="2"/>
    <s v="ANT-0036"/>
    <d v="2023-10-10T23:50:00"/>
    <m/>
    <n v="100"/>
    <s v="Résolu"/>
    <s v="Non trouvé"/>
    <s v="Non trouvé"/>
    <x v="1"/>
    <s v="Non trouvé"/>
  </r>
  <r>
    <x v="12"/>
    <s v="ANT-0037"/>
    <d v="2023-10-14T14:55:00"/>
    <m/>
    <n v="14"/>
    <s v="En Cours"/>
    <n v="-7.0076900000000002"/>
    <n v="27.367121999999998"/>
    <x v="3"/>
    <s v="Nokia"/>
  </r>
  <r>
    <x v="12"/>
    <s v="ANT-0037"/>
    <d v="2023-10-09T12:08:00"/>
    <m/>
    <n v="61"/>
    <s v="Non Résolu"/>
    <n v="-7.0076900000000002"/>
    <n v="27.367121999999998"/>
    <x v="3"/>
    <s v="Nokia"/>
  </r>
  <r>
    <x v="12"/>
    <s v="ANT-0037"/>
    <d v="2023-10-16T02:36:00"/>
    <m/>
    <n v="73"/>
    <s v="Non Résolu"/>
    <n v="-7.0076900000000002"/>
    <n v="27.367121999999998"/>
    <x v="3"/>
    <s v="Nokia"/>
  </r>
  <r>
    <x v="12"/>
    <s v="ANT-0037"/>
    <d v="2023-10-01T05:17:00"/>
    <m/>
    <n v="78"/>
    <s v="Résolu"/>
    <n v="-7.0076900000000002"/>
    <n v="27.367121999999998"/>
    <x v="3"/>
    <s v="Nokia"/>
  </r>
  <r>
    <x v="12"/>
    <s v="ANT-0037"/>
    <d v="2023-10-30T16:05:00"/>
    <m/>
    <n v="56"/>
    <s v="Non Résolu"/>
    <n v="-7.0076900000000002"/>
    <n v="27.367121999999998"/>
    <x v="3"/>
    <s v="Nokia"/>
  </r>
  <r>
    <x v="12"/>
    <s v="ANT-0038"/>
    <d v="2023-10-10T06:27:00"/>
    <m/>
    <n v="24"/>
    <s v="En Cours"/>
    <n v="-0.767455"/>
    <n v="30.924261000000001"/>
    <x v="3"/>
    <s v="Huawei"/>
  </r>
  <r>
    <x v="12"/>
    <s v="ANT-0038"/>
    <d v="2023-10-06T22:19:00"/>
    <m/>
    <n v="104"/>
    <s v="En Cours"/>
    <n v="-0.767455"/>
    <n v="30.924261000000001"/>
    <x v="3"/>
    <s v="Huawei"/>
  </r>
  <r>
    <x v="13"/>
    <s v="ANT-0039"/>
    <d v="2023-10-02T16:05:00"/>
    <m/>
    <n v="93"/>
    <s v="Non Résolu"/>
    <n v="4.0988100000000003"/>
    <n v="29.843810999999999"/>
    <x v="3"/>
    <s v="Huawei"/>
  </r>
  <r>
    <x v="13"/>
    <s v="ANT-0039"/>
    <d v="2023-10-09T13:31:00"/>
    <m/>
    <n v="84"/>
    <s v="En Cours"/>
    <n v="4.0988100000000003"/>
    <n v="29.843810999999999"/>
    <x v="3"/>
    <s v="Huawei"/>
  </r>
  <r>
    <x v="13"/>
    <s v="ANT-0039"/>
    <d v="2023-10-04T22:49:00"/>
    <m/>
    <n v="115"/>
    <s v="En Cours"/>
    <n v="4.0988100000000003"/>
    <n v="29.843810999999999"/>
    <x v="3"/>
    <s v="Huawei"/>
  </r>
  <r>
    <x v="13"/>
    <s v="ANT-0039"/>
    <d v="2023-10-19T16:13:00"/>
    <m/>
    <n v="30"/>
    <s v="En Cours"/>
    <n v="4.0988100000000003"/>
    <n v="29.843810999999999"/>
    <x v="3"/>
    <s v="Huawei"/>
  </r>
  <r>
    <x v="5"/>
    <s v="ANT-0040"/>
    <d v="2023-10-31T00:43:00"/>
    <m/>
    <n v="49"/>
    <s v="Non Résolu"/>
    <n v="1.472051"/>
    <n v="17.36289"/>
    <x v="0"/>
    <s v="Huawei"/>
  </r>
  <r>
    <x v="5"/>
    <s v="ANT-0040"/>
    <d v="2023-10-27T07:43:00"/>
    <m/>
    <n v="119"/>
    <s v="Résolu"/>
    <n v="1.472051"/>
    <n v="17.36289"/>
    <x v="0"/>
    <s v="Huawei"/>
  </r>
  <r>
    <x v="5"/>
    <s v="ANT-0040"/>
    <d v="2023-10-25T15:40:00"/>
    <m/>
    <n v="119"/>
    <s v="En Cours"/>
    <n v="1.472051"/>
    <n v="17.36289"/>
    <x v="0"/>
    <s v="Huawei"/>
  </r>
  <r>
    <x v="5"/>
    <s v="ANT-0040"/>
    <d v="2023-10-29T22:31:00"/>
    <m/>
    <n v="83"/>
    <s v="Non Résolu"/>
    <n v="1.472051"/>
    <n v="17.36289"/>
    <x v="0"/>
    <s v="Huawei"/>
  </r>
  <r>
    <x v="5"/>
    <s v="ANT-0040"/>
    <d v="2023-10-02T12:17:00"/>
    <m/>
    <n v="74"/>
    <s v="Résolu"/>
    <n v="1.472051"/>
    <n v="17.36289"/>
    <x v="0"/>
    <s v="Huawei"/>
  </r>
  <r>
    <x v="7"/>
    <s v="ANT-0041"/>
    <d v="2023-10-22T11:04:00"/>
    <m/>
    <n v="74"/>
    <s v="Résolu"/>
    <n v="0.16841400000000001"/>
    <n v="30.029876999999999"/>
    <x v="2"/>
    <s v="Huawei"/>
  </r>
  <r>
    <x v="14"/>
    <s v="ANT-0042"/>
    <d v="2023-10-20T19:14:00"/>
    <m/>
    <n v="117"/>
    <s v="Résolu"/>
    <n v="-10.735106"/>
    <n v="27.868673999999999"/>
    <x v="3"/>
    <s v="Ericsson"/>
  </r>
  <r>
    <x v="2"/>
    <s v="ANT-0043"/>
    <d v="2023-10-11T01:18:00"/>
    <m/>
    <n v="53"/>
    <s v="En Cours"/>
    <s v="Non trouvé"/>
    <s v="Non trouvé"/>
    <x v="1"/>
    <s v="Non trouvé"/>
  </r>
  <r>
    <x v="2"/>
    <s v="ANT-0043"/>
    <d v="2023-10-31T00:03:00"/>
    <m/>
    <n v="22"/>
    <s v="En Cours"/>
    <s v="Non trouvé"/>
    <s v="Non trouvé"/>
    <x v="1"/>
    <s v="Non trouvé"/>
  </r>
  <r>
    <x v="2"/>
    <s v="ANT-0043"/>
    <d v="2023-10-05T08:18:00"/>
    <m/>
    <n v="82"/>
    <s v="Résolu"/>
    <s v="Non trouvé"/>
    <s v="Non trouvé"/>
    <x v="1"/>
    <s v="Non trouvé"/>
  </r>
  <r>
    <x v="2"/>
    <s v="ANT-0043"/>
    <d v="2023-10-15T01:26:00"/>
    <m/>
    <n v="66"/>
    <s v="En Cours"/>
    <s v="Non trouvé"/>
    <s v="Non trouvé"/>
    <x v="1"/>
    <s v="Non trouvé"/>
  </r>
  <r>
    <x v="2"/>
    <s v="ANT-0043"/>
    <d v="2023-10-12T07:01:00"/>
    <m/>
    <n v="72"/>
    <s v="En Cours"/>
    <s v="Non trouvé"/>
    <s v="Non trouvé"/>
    <x v="1"/>
    <s v="Non trouvé"/>
  </r>
  <r>
    <x v="15"/>
    <s v="ANT-0044"/>
    <d v="2023-10-30T17:28:00"/>
    <m/>
    <n v="24"/>
    <s v="Résolu"/>
    <n v="-6.5529849999999996"/>
    <n v="21.990606"/>
    <x v="3"/>
    <s v="Huawei"/>
  </r>
  <r>
    <x v="15"/>
    <s v="ANT-0044"/>
    <d v="2023-10-09T07:53:00"/>
    <m/>
    <n v="84"/>
    <s v="En Cours"/>
    <n v="-6.5529849999999996"/>
    <n v="21.990606"/>
    <x v="3"/>
    <s v="Huawei"/>
  </r>
  <r>
    <x v="15"/>
    <s v="ANT-0044"/>
    <d v="2023-10-01T02:18:00"/>
    <m/>
    <n v="102"/>
    <s v="En Cours"/>
    <n v="-6.5529849999999996"/>
    <n v="21.990606"/>
    <x v="3"/>
    <s v="Huawei"/>
  </r>
  <r>
    <x v="15"/>
    <s v="ANT-0044"/>
    <d v="2023-10-22T17:24:00"/>
    <m/>
    <n v="97"/>
    <s v="Résolu"/>
    <n v="-6.5529849999999996"/>
    <n v="21.990606"/>
    <x v="3"/>
    <s v="Huawei"/>
  </r>
  <r>
    <x v="15"/>
    <s v="ANT-0044"/>
    <d v="2023-10-18T01:39:00"/>
    <m/>
    <n v="66"/>
    <s v="En Cours"/>
    <n v="-6.5529849999999996"/>
    <n v="21.990606"/>
    <x v="3"/>
    <s v="Huawei"/>
  </r>
  <r>
    <x v="15"/>
    <s v="ANT-0044"/>
    <d v="2023-10-17T13:07:00"/>
    <m/>
    <n v="78"/>
    <s v="Non Résolu"/>
    <n v="-6.5529849999999996"/>
    <n v="21.990606"/>
    <x v="3"/>
    <s v="Huawei"/>
  </r>
  <r>
    <x v="15"/>
    <s v="ANT-0045"/>
    <d v="2023-10-27T00:05:00"/>
    <m/>
    <n v="8"/>
    <s v="Non Résolu"/>
    <n v="-0.17258100000000001"/>
    <n v="23.775555000000001"/>
    <x v="2"/>
    <s v="Nokia"/>
  </r>
  <r>
    <x v="15"/>
    <s v="ANT-0045"/>
    <d v="2023-10-18T22:14:00"/>
    <m/>
    <n v="63"/>
    <s v="Résolu"/>
    <n v="-0.17258100000000001"/>
    <n v="23.775555000000001"/>
    <x v="2"/>
    <s v="Nokia"/>
  </r>
  <r>
    <x v="15"/>
    <s v="ANT-0045"/>
    <d v="2023-10-14T10:43:00"/>
    <m/>
    <n v="47"/>
    <s v="Résolu"/>
    <n v="-0.17258100000000001"/>
    <n v="23.775555000000001"/>
    <x v="2"/>
    <s v="Nokia"/>
  </r>
  <r>
    <x v="15"/>
    <s v="ANT-0045"/>
    <d v="2023-10-23T19:51:00"/>
    <m/>
    <n v="33"/>
    <s v="Résolu"/>
    <n v="-0.17258100000000001"/>
    <n v="23.775555000000001"/>
    <x v="2"/>
    <s v="Nokia"/>
  </r>
  <r>
    <x v="2"/>
    <s v="ANT-0046"/>
    <d v="2023-10-18T07:43:00"/>
    <m/>
    <n v="59"/>
    <s v="En Cours"/>
    <s v="Non trouvé"/>
    <s v="Non trouvé"/>
    <x v="1"/>
    <s v="Non trouvé"/>
  </r>
  <r>
    <x v="2"/>
    <s v="ANT-0046"/>
    <d v="2023-10-22T12:25:00"/>
    <m/>
    <n v="115"/>
    <s v="Résolu"/>
    <s v="Non trouvé"/>
    <s v="Non trouvé"/>
    <x v="1"/>
    <s v="Non trouvé"/>
  </r>
  <r>
    <x v="2"/>
    <s v="ANT-0046"/>
    <d v="2023-10-10T15:30:00"/>
    <m/>
    <n v="112"/>
    <s v="En Cours"/>
    <s v="Non trouvé"/>
    <s v="Non trouvé"/>
    <x v="1"/>
    <s v="Non trouvé"/>
  </r>
  <r>
    <x v="2"/>
    <s v="ANT-0046"/>
    <d v="2023-10-03T09:20:00"/>
    <m/>
    <n v="27"/>
    <s v="Résolu"/>
    <s v="Non trouvé"/>
    <s v="Non trouvé"/>
    <x v="1"/>
    <s v="Non trouvé"/>
  </r>
  <r>
    <x v="2"/>
    <s v="ANT-0047"/>
    <d v="2023-10-28T11:38:00"/>
    <m/>
    <n v="107"/>
    <s v="Résolu"/>
    <s v="Non trouvé"/>
    <s v="Non trouvé"/>
    <x v="1"/>
    <s v="Non trouvé"/>
  </r>
  <r>
    <x v="2"/>
    <s v="ANT-0047"/>
    <d v="2023-10-01T19:56:00"/>
    <m/>
    <n v="76"/>
    <s v="En Cours"/>
    <s v="Non trouvé"/>
    <s v="Non trouvé"/>
    <x v="1"/>
    <s v="Non trouvé"/>
  </r>
  <r>
    <x v="2"/>
    <s v="ANT-0047"/>
    <d v="2023-10-21T10:52:00"/>
    <m/>
    <n v="64"/>
    <s v="Résolu"/>
    <s v="Non trouvé"/>
    <s v="Non trouvé"/>
    <x v="1"/>
    <s v="Non trouvé"/>
  </r>
  <r>
    <x v="3"/>
    <s v="ANT-0048"/>
    <d v="2023-10-28T07:25:00"/>
    <m/>
    <n v="20"/>
    <s v="Résolu"/>
    <n v="-6.7420359999999997"/>
    <n v="28.905578999999999"/>
    <x v="3"/>
    <s v="Huawei"/>
  </r>
  <r>
    <x v="3"/>
    <s v="ANT-0048"/>
    <d v="2023-10-10T07:17:00"/>
    <m/>
    <n v="112"/>
    <s v="En Cours"/>
    <n v="-6.7420359999999997"/>
    <n v="28.905578999999999"/>
    <x v="3"/>
    <s v="Huawei"/>
  </r>
  <r>
    <x v="3"/>
    <s v="ANT-0048"/>
    <d v="2023-10-27T15:05:00"/>
    <m/>
    <n v="56"/>
    <s v="Non Résolu"/>
    <n v="-6.7420359999999997"/>
    <n v="28.905578999999999"/>
    <x v="3"/>
    <s v="Huawei"/>
  </r>
  <r>
    <x v="3"/>
    <s v="ANT-0048"/>
    <d v="2023-10-03T08:49:00"/>
    <m/>
    <n v="77"/>
    <s v="Non Résolu"/>
    <n v="-6.7420359999999997"/>
    <n v="28.905578999999999"/>
    <x v="3"/>
    <s v="Huawei"/>
  </r>
  <r>
    <x v="3"/>
    <s v="ANT-0048"/>
    <d v="2023-10-31T10:10:00"/>
    <m/>
    <n v="39"/>
    <s v="En Cours"/>
    <n v="-6.7420359999999997"/>
    <n v="28.905578999999999"/>
    <x v="3"/>
    <s v="Huawei"/>
  </r>
  <r>
    <x v="3"/>
    <s v="ANT-0048"/>
    <d v="2023-10-26T19:29:00"/>
    <m/>
    <n v="29"/>
    <s v="Résolu"/>
    <n v="-6.7420359999999997"/>
    <n v="28.905578999999999"/>
    <x v="3"/>
    <s v="Huawei"/>
  </r>
  <r>
    <x v="3"/>
    <s v="ANT-0048"/>
    <d v="2023-10-16T14:40:00"/>
    <m/>
    <n v="119"/>
    <s v="Résolu"/>
    <n v="-6.7420359999999997"/>
    <n v="28.905578999999999"/>
    <x v="3"/>
    <s v="Huawei"/>
  </r>
  <r>
    <x v="3"/>
    <s v="ANT-0048"/>
    <d v="2023-10-25T17:53:00"/>
    <m/>
    <n v="20"/>
    <s v="Résolu"/>
    <n v="-6.7420359999999997"/>
    <n v="28.905578999999999"/>
    <x v="3"/>
    <s v="Huawei"/>
  </r>
  <r>
    <x v="3"/>
    <s v="ANT-0048"/>
    <d v="2023-10-15T07:34:00"/>
    <m/>
    <n v="82"/>
    <s v="En Cours"/>
    <n v="-6.7420359999999997"/>
    <n v="28.905578999999999"/>
    <x v="3"/>
    <s v="Huawei"/>
  </r>
  <r>
    <x v="2"/>
    <s v="ANT-0049"/>
    <d v="2023-10-29T17:48:00"/>
    <m/>
    <n v="10"/>
    <s v="En Cours"/>
    <s v="Non trouvé"/>
    <s v="Non trouvé"/>
    <x v="1"/>
    <s v="Non trouvé"/>
  </r>
  <r>
    <x v="2"/>
    <s v="ANT-0049"/>
    <d v="2023-10-09T16:31:00"/>
    <m/>
    <n v="27"/>
    <s v="En Cours"/>
    <s v="Non trouvé"/>
    <s v="Non trouvé"/>
    <x v="1"/>
    <s v="Non trouvé"/>
  </r>
  <r>
    <x v="2"/>
    <s v="ANT-0049"/>
    <d v="2023-10-23T04:34:00"/>
    <m/>
    <n v="35"/>
    <s v="Non Résolu"/>
    <s v="Non trouvé"/>
    <s v="Non trouvé"/>
    <x v="1"/>
    <s v="Non trouvé"/>
  </r>
  <r>
    <x v="2"/>
    <s v="ANT-0049"/>
    <d v="2023-10-24T10:50:00"/>
    <m/>
    <n v="118"/>
    <s v="Non Résolu"/>
    <s v="Non trouvé"/>
    <s v="Non trouvé"/>
    <x v="1"/>
    <s v="Non trouvé"/>
  </r>
  <r>
    <x v="2"/>
    <s v="ANT-0050"/>
    <d v="2023-10-26T03:50:00"/>
    <m/>
    <n v="56"/>
    <s v="Non Résolu"/>
    <s v="Non trouvé"/>
    <s v="Non trouvé"/>
    <x v="1"/>
    <s v="Non trouvé"/>
  </r>
  <r>
    <x v="2"/>
    <s v="ANT-0050"/>
    <d v="2023-10-28T08:03:00"/>
    <m/>
    <n v="90"/>
    <s v="Non Résolu"/>
    <s v="Non trouvé"/>
    <s v="Non trouvé"/>
    <x v="1"/>
    <s v="Non trouvé"/>
  </r>
  <r>
    <x v="2"/>
    <s v="ANT-0051"/>
    <d v="2023-10-10T07:51:00"/>
    <m/>
    <n v="41"/>
    <s v="En Cours"/>
    <s v="Non trouvé"/>
    <s v="Non trouvé"/>
    <x v="1"/>
    <s v="Non trouvé"/>
  </r>
  <r>
    <x v="2"/>
    <s v="ANT-0051"/>
    <d v="2023-10-31T11:37:00"/>
    <m/>
    <n v="57"/>
    <s v="Non Résolu"/>
    <s v="Non trouvé"/>
    <s v="Non trouvé"/>
    <x v="1"/>
    <s v="Non trouvé"/>
  </r>
  <r>
    <x v="2"/>
    <s v="ANT-0051"/>
    <d v="2023-10-25T05:04:00"/>
    <m/>
    <n v="37"/>
    <s v="En Cours"/>
    <s v="Non trouvé"/>
    <s v="Non trouvé"/>
    <x v="1"/>
    <s v="Non trouvé"/>
  </r>
  <r>
    <x v="2"/>
    <s v="ANT-0051"/>
    <d v="2023-10-03T09:29:00"/>
    <m/>
    <n v="59"/>
    <s v="Résolu"/>
    <s v="Non trouvé"/>
    <s v="Non trouvé"/>
    <x v="1"/>
    <s v="Non trouvé"/>
  </r>
  <r>
    <x v="2"/>
    <s v="ANT-0052"/>
    <d v="2023-10-02T09:50:00"/>
    <m/>
    <n v="72"/>
    <s v="Résolu"/>
    <s v="Non trouvé"/>
    <s v="Non trouvé"/>
    <x v="1"/>
    <s v="Non trouvé"/>
  </r>
  <r>
    <x v="2"/>
    <s v="ANT-0052"/>
    <d v="2023-10-19T12:52:00"/>
    <m/>
    <n v="29"/>
    <s v="En Cours"/>
    <s v="Non trouvé"/>
    <s v="Non trouvé"/>
    <x v="1"/>
    <s v="Non trouvé"/>
  </r>
  <r>
    <x v="2"/>
    <s v="ANT-0053"/>
    <d v="2023-10-25T05:34:00"/>
    <m/>
    <n v="90"/>
    <s v="Non Résolu"/>
    <s v="Non trouvé"/>
    <s v="Non trouvé"/>
    <x v="1"/>
    <s v="Non trouvé"/>
  </r>
  <r>
    <x v="2"/>
    <s v="ANT-0053"/>
    <d v="2023-10-21T16:00:00"/>
    <m/>
    <n v="42"/>
    <s v="Résolu"/>
    <s v="Non trouvé"/>
    <s v="Non trouvé"/>
    <x v="1"/>
    <s v="Non trouvé"/>
  </r>
  <r>
    <x v="2"/>
    <s v="ANT-0053"/>
    <d v="2023-10-13T10:17:00"/>
    <m/>
    <n v="103"/>
    <s v="En Cours"/>
    <s v="Non trouvé"/>
    <s v="Non trouvé"/>
    <x v="1"/>
    <s v="Non trouvé"/>
  </r>
  <r>
    <x v="2"/>
    <s v="ANT-0053"/>
    <d v="2023-10-22T13:20:00"/>
    <m/>
    <n v="21"/>
    <s v="Non Résolu"/>
    <s v="Non trouvé"/>
    <s v="Non trouvé"/>
    <x v="1"/>
    <s v="Non trouvé"/>
  </r>
  <r>
    <x v="2"/>
    <s v="ANT-0053"/>
    <d v="2023-10-05T23:40:00"/>
    <m/>
    <n v="113"/>
    <s v="Non Résolu"/>
    <s v="Non trouvé"/>
    <s v="Non trouvé"/>
    <x v="1"/>
    <s v="Non trouvé"/>
  </r>
  <r>
    <x v="2"/>
    <s v="ANT-0053"/>
    <d v="2023-10-25T20:04:00"/>
    <m/>
    <n v="77"/>
    <s v="Non Résolu"/>
    <s v="Non trouvé"/>
    <s v="Non trouvé"/>
    <x v="1"/>
    <s v="Non trouvé"/>
  </r>
  <r>
    <x v="13"/>
    <s v="ANT-0054"/>
    <d v="2023-10-28T13:39:00"/>
    <m/>
    <n v="64"/>
    <s v="Résolu"/>
    <n v="-1.231033"/>
    <n v="28.851388"/>
    <x v="3"/>
    <s v="Ericsson"/>
  </r>
  <r>
    <x v="13"/>
    <s v="ANT-0054"/>
    <d v="2023-10-31T15:07:00"/>
    <m/>
    <n v="65"/>
    <s v="Résolu"/>
    <n v="-1.231033"/>
    <n v="28.851388"/>
    <x v="3"/>
    <s v="Ericsson"/>
  </r>
  <r>
    <x v="13"/>
    <s v="ANT-0054"/>
    <d v="2023-10-16T03:06:00"/>
    <m/>
    <n v="93"/>
    <s v="Non Résolu"/>
    <n v="-1.231033"/>
    <n v="28.851388"/>
    <x v="3"/>
    <s v="Ericsson"/>
  </r>
  <r>
    <x v="2"/>
    <s v="ANT-0055"/>
    <d v="2023-10-14T00:11:00"/>
    <m/>
    <n v="83"/>
    <s v="En Cours"/>
    <s v="Non trouvé"/>
    <s v="Non trouvé"/>
    <x v="1"/>
    <s v="Non trouvé"/>
  </r>
  <r>
    <x v="2"/>
    <s v="ANT-0055"/>
    <d v="2023-10-31T22:11:00"/>
    <m/>
    <n v="55"/>
    <s v="Résolu"/>
    <s v="Non trouvé"/>
    <s v="Non trouvé"/>
    <x v="1"/>
    <s v="Non trouvé"/>
  </r>
  <r>
    <x v="2"/>
    <s v="ANT-0055"/>
    <d v="2023-10-06T19:09:00"/>
    <m/>
    <n v="42"/>
    <s v="En Cours"/>
    <s v="Non trouvé"/>
    <s v="Non trouvé"/>
    <x v="1"/>
    <s v="Non trouvé"/>
  </r>
  <r>
    <x v="1"/>
    <s v="ANT-0056"/>
    <d v="2023-10-04T21:47:00"/>
    <m/>
    <n v="37"/>
    <s v="Résolu"/>
    <n v="-9.3652280000000001"/>
    <n v="18.674116000000001"/>
    <x v="0"/>
    <s v="Huawei"/>
  </r>
  <r>
    <x v="1"/>
    <s v="ANT-0056"/>
    <d v="2023-10-22T20:23:00"/>
    <m/>
    <n v="21"/>
    <s v="En Cours"/>
    <n v="-9.3652280000000001"/>
    <n v="18.674116000000001"/>
    <x v="0"/>
    <s v="Huawei"/>
  </r>
  <r>
    <x v="1"/>
    <s v="ANT-0056"/>
    <d v="2023-10-08T21:06:00"/>
    <m/>
    <n v="78"/>
    <s v="En Cours"/>
    <n v="-9.3652280000000001"/>
    <n v="18.674116000000001"/>
    <x v="0"/>
    <s v="Huawei"/>
  </r>
  <r>
    <x v="1"/>
    <s v="ANT-0056"/>
    <d v="2023-10-22T21:51:00"/>
    <m/>
    <n v="8"/>
    <s v="Non Résolu"/>
    <n v="-9.3652280000000001"/>
    <n v="18.674116000000001"/>
    <x v="0"/>
    <s v="Huawei"/>
  </r>
  <r>
    <x v="1"/>
    <s v="ANT-0056"/>
    <d v="2023-10-11T04:02:00"/>
    <m/>
    <n v="63"/>
    <s v="Résolu"/>
    <n v="-9.3652280000000001"/>
    <n v="18.674116000000001"/>
    <x v="0"/>
    <s v="Huawei"/>
  </r>
  <r>
    <x v="2"/>
    <s v="ANT-0057"/>
    <d v="2023-10-02T12:46:00"/>
    <m/>
    <n v="72"/>
    <s v="Résolu"/>
    <s v="Non trouvé"/>
    <s v="Non trouvé"/>
    <x v="1"/>
    <s v="Non trouvé"/>
  </r>
  <r>
    <x v="2"/>
    <s v="ANT-0057"/>
    <d v="2023-10-10T12:35:00"/>
    <m/>
    <n v="20"/>
    <s v="Résolu"/>
    <s v="Non trouvé"/>
    <s v="Non trouvé"/>
    <x v="1"/>
    <s v="Non trouvé"/>
  </r>
  <r>
    <x v="2"/>
    <s v="ANT-0057"/>
    <d v="2023-10-15T07:26:00"/>
    <m/>
    <n v="57"/>
    <s v="Résolu"/>
    <s v="Non trouvé"/>
    <s v="Non trouvé"/>
    <x v="1"/>
    <s v="Non trouvé"/>
  </r>
  <r>
    <x v="2"/>
    <s v="ANT-0057"/>
    <d v="2023-10-14T03:47:00"/>
    <m/>
    <n v="5"/>
    <s v="Résolu"/>
    <s v="Non trouvé"/>
    <s v="Non trouvé"/>
    <x v="1"/>
    <s v="Non trouvé"/>
  </r>
  <r>
    <x v="2"/>
    <s v="ANT-0057"/>
    <d v="2023-10-27T15:44:00"/>
    <m/>
    <n v="19"/>
    <s v="Résolu"/>
    <s v="Non trouvé"/>
    <s v="Non trouvé"/>
    <x v="1"/>
    <s v="Non trouvé"/>
  </r>
  <r>
    <x v="5"/>
    <s v="ANT-0058"/>
    <d v="2023-10-23T10:13:00"/>
    <m/>
    <n v="74"/>
    <s v="Résolu"/>
    <n v="-6.4670189999999996"/>
    <n v="29.487309"/>
    <x v="0"/>
    <s v="ZTE"/>
  </r>
  <r>
    <x v="5"/>
    <s v="ANT-0058"/>
    <d v="2023-10-17T10:59:00"/>
    <m/>
    <n v="27"/>
    <s v="Résolu"/>
    <n v="-6.4670189999999996"/>
    <n v="29.487309"/>
    <x v="0"/>
    <s v="ZTE"/>
  </r>
  <r>
    <x v="5"/>
    <s v="ANT-0058"/>
    <d v="2023-10-27T23:37:00"/>
    <m/>
    <n v="23"/>
    <s v="En Cours"/>
    <n v="-6.4670189999999996"/>
    <n v="29.487309"/>
    <x v="0"/>
    <s v="ZTE"/>
  </r>
  <r>
    <x v="5"/>
    <s v="ANT-0058"/>
    <d v="2023-10-03T00:16:00"/>
    <m/>
    <n v="120"/>
    <s v="Non Résolu"/>
    <n v="-6.4670189999999996"/>
    <n v="29.487309"/>
    <x v="0"/>
    <s v="ZTE"/>
  </r>
  <r>
    <x v="12"/>
    <s v="ANT-0059"/>
    <d v="2023-10-22T13:38:00"/>
    <m/>
    <n v="59"/>
    <s v="En Cours"/>
    <n v="-0.34051900000000002"/>
    <n v="17.079799000000001"/>
    <x v="2"/>
    <s v="Ericsson"/>
  </r>
  <r>
    <x v="12"/>
    <s v="ANT-0059"/>
    <d v="2023-10-02T07:30:00"/>
    <m/>
    <n v="15"/>
    <s v="Résolu"/>
    <n v="-0.34051900000000002"/>
    <n v="17.079799000000001"/>
    <x v="2"/>
    <s v="Ericsson"/>
  </r>
  <r>
    <x v="12"/>
    <s v="ANT-0059"/>
    <d v="2023-10-04T23:34:00"/>
    <m/>
    <n v="16"/>
    <s v="Résolu"/>
    <n v="-0.34051900000000002"/>
    <n v="17.079799000000001"/>
    <x v="2"/>
    <s v="Ericsson"/>
  </r>
  <r>
    <x v="12"/>
    <s v="ANT-0059"/>
    <d v="2023-10-22T08:36:00"/>
    <m/>
    <n v="101"/>
    <s v="En Cours"/>
    <n v="-0.34051900000000002"/>
    <n v="17.079799000000001"/>
    <x v="2"/>
    <s v="Ericsson"/>
  </r>
  <r>
    <x v="2"/>
    <s v="ANT-0060"/>
    <d v="2023-10-02T07:04:00"/>
    <m/>
    <n v="54"/>
    <s v="En Cours"/>
    <s v="Non trouvé"/>
    <s v="Non trouvé"/>
    <x v="1"/>
    <s v="Non trouvé"/>
  </r>
  <r>
    <x v="2"/>
    <s v="ANT-0060"/>
    <d v="2023-10-24T23:34:00"/>
    <m/>
    <n v="103"/>
    <s v="Résolu"/>
    <s v="Non trouvé"/>
    <s v="Non trouvé"/>
    <x v="1"/>
    <s v="Non trouvé"/>
  </r>
  <r>
    <x v="2"/>
    <s v="ANT-0060"/>
    <d v="2023-10-09T04:04:00"/>
    <m/>
    <n v="75"/>
    <s v="Non Résolu"/>
    <s v="Non trouvé"/>
    <s v="Non trouvé"/>
    <x v="1"/>
    <s v="Non trouvé"/>
  </r>
  <r>
    <x v="2"/>
    <s v="ANT-0060"/>
    <d v="2023-10-19T12:45:00"/>
    <m/>
    <n v="113"/>
    <s v="Résolu"/>
    <s v="Non trouvé"/>
    <s v="Non trouvé"/>
    <x v="1"/>
    <s v="Non trouvé"/>
  </r>
  <r>
    <x v="2"/>
    <s v="ANT-0061"/>
    <d v="2023-10-04T03:42:00"/>
    <m/>
    <n v="61"/>
    <s v="Résolu"/>
    <s v="Non trouvé"/>
    <s v="Non trouvé"/>
    <x v="1"/>
    <s v="Non trouvé"/>
  </r>
  <r>
    <x v="2"/>
    <s v="ANT-0062"/>
    <d v="2023-10-07T04:23:00"/>
    <m/>
    <n v="14"/>
    <s v="Résolu"/>
    <s v="Non trouvé"/>
    <s v="Non trouvé"/>
    <x v="1"/>
    <s v="Non trouvé"/>
  </r>
  <r>
    <x v="2"/>
    <s v="ANT-0062"/>
    <d v="2023-10-22T18:36:00"/>
    <m/>
    <n v="62"/>
    <s v="Résolu"/>
    <s v="Non trouvé"/>
    <s v="Non trouvé"/>
    <x v="1"/>
    <s v="Non trouvé"/>
  </r>
  <r>
    <x v="2"/>
    <s v="ANT-0062"/>
    <d v="2023-10-09T11:41:00"/>
    <m/>
    <n v="110"/>
    <s v="En Cours"/>
    <s v="Non trouvé"/>
    <s v="Non trouvé"/>
    <x v="1"/>
    <s v="Non trouvé"/>
  </r>
  <r>
    <x v="2"/>
    <s v="ANT-0062"/>
    <d v="2023-10-10T21:38:00"/>
    <m/>
    <n v="49"/>
    <s v="En Cours"/>
    <s v="Non trouvé"/>
    <s v="Non trouvé"/>
    <x v="1"/>
    <s v="Non trouvé"/>
  </r>
  <r>
    <x v="2"/>
    <s v="ANT-0062"/>
    <d v="2023-10-15T14:19:00"/>
    <m/>
    <n v="98"/>
    <s v="Non Résolu"/>
    <s v="Non trouvé"/>
    <s v="Non trouvé"/>
    <x v="1"/>
    <s v="Non trouvé"/>
  </r>
  <r>
    <x v="2"/>
    <s v="ANT-0062"/>
    <d v="2023-10-28T11:06:00"/>
    <m/>
    <n v="20"/>
    <s v="En Cours"/>
    <s v="Non trouvé"/>
    <s v="Non trouvé"/>
    <x v="1"/>
    <s v="Non trouvé"/>
  </r>
  <r>
    <x v="2"/>
    <s v="ANT-0062"/>
    <d v="2023-10-22T12:08:00"/>
    <m/>
    <n v="12"/>
    <s v="En Cours"/>
    <s v="Non trouvé"/>
    <s v="Non trouvé"/>
    <x v="1"/>
    <s v="Non trouvé"/>
  </r>
  <r>
    <x v="2"/>
    <s v="ANT-0063"/>
    <d v="2023-10-05T04:42:00"/>
    <m/>
    <n v="23"/>
    <s v="En Cours"/>
    <s v="Non trouvé"/>
    <s v="Non trouvé"/>
    <x v="1"/>
    <s v="Non trouvé"/>
  </r>
  <r>
    <x v="2"/>
    <s v="ANT-0063"/>
    <d v="2023-10-27T17:45:00"/>
    <m/>
    <n v="75"/>
    <s v="Résolu"/>
    <s v="Non trouvé"/>
    <s v="Non trouvé"/>
    <x v="1"/>
    <s v="Non trouvé"/>
  </r>
  <r>
    <x v="2"/>
    <s v="ANT-0063"/>
    <d v="2023-10-16T07:12:00"/>
    <m/>
    <n v="97"/>
    <s v="Résolu"/>
    <s v="Non trouvé"/>
    <s v="Non trouvé"/>
    <x v="1"/>
    <s v="Non trouvé"/>
  </r>
  <r>
    <x v="2"/>
    <s v="ANT-0063"/>
    <d v="2023-10-07T22:44:00"/>
    <m/>
    <n v="86"/>
    <s v="En Cours"/>
    <s v="Non trouvé"/>
    <s v="Non trouvé"/>
    <x v="1"/>
    <s v="Non trouvé"/>
  </r>
  <r>
    <x v="2"/>
    <s v="ANT-0063"/>
    <d v="2023-10-30T17:49:00"/>
    <m/>
    <n v="62"/>
    <s v="En Cours"/>
    <s v="Non trouvé"/>
    <s v="Non trouvé"/>
    <x v="1"/>
    <s v="Non trouvé"/>
  </r>
  <r>
    <x v="2"/>
    <s v="ANT-0063"/>
    <d v="2023-10-09T10:39:00"/>
    <m/>
    <n v="79"/>
    <s v="Résolu"/>
    <s v="Non trouvé"/>
    <s v="Non trouvé"/>
    <x v="1"/>
    <s v="Non trouvé"/>
  </r>
  <r>
    <x v="2"/>
    <s v="ANT-0063"/>
    <d v="2023-10-31T02:09:00"/>
    <m/>
    <n v="97"/>
    <s v="Non Résolu"/>
    <s v="Non trouvé"/>
    <s v="Non trouvé"/>
    <x v="1"/>
    <s v="Non trouvé"/>
  </r>
  <r>
    <x v="2"/>
    <s v="ANT-0063"/>
    <d v="2023-10-16T23:27:00"/>
    <m/>
    <n v="47"/>
    <s v="En Cours"/>
    <s v="Non trouvé"/>
    <s v="Non trouvé"/>
    <x v="1"/>
    <s v="Non trouvé"/>
  </r>
  <r>
    <x v="2"/>
    <s v="ANT-0064"/>
    <d v="2023-10-03T12:24:00"/>
    <m/>
    <n v="26"/>
    <s v="En Cours"/>
    <s v="Non trouvé"/>
    <s v="Non trouvé"/>
    <x v="1"/>
    <s v="Non trouvé"/>
  </r>
  <r>
    <x v="2"/>
    <s v="ANT-0064"/>
    <d v="2023-10-25T12:55:00"/>
    <m/>
    <n v="65"/>
    <s v="En Cours"/>
    <s v="Non trouvé"/>
    <s v="Non trouvé"/>
    <x v="1"/>
    <s v="Non trouvé"/>
  </r>
  <r>
    <x v="2"/>
    <s v="ANT-0064"/>
    <d v="2023-10-08T14:40:00"/>
    <m/>
    <n v="29"/>
    <s v="Non Résolu"/>
    <s v="Non trouvé"/>
    <s v="Non trouvé"/>
    <x v="1"/>
    <s v="Non trouvé"/>
  </r>
  <r>
    <x v="2"/>
    <s v="ANT-0064"/>
    <d v="2023-10-04T14:32:00"/>
    <m/>
    <n v="39"/>
    <s v="Résolu"/>
    <s v="Non trouvé"/>
    <s v="Non trouvé"/>
    <x v="1"/>
    <s v="Non trouvé"/>
  </r>
  <r>
    <x v="2"/>
    <s v="ANT-0064"/>
    <d v="2023-10-23T14:02:00"/>
    <m/>
    <n v="108"/>
    <s v="Résolu"/>
    <s v="Non trouvé"/>
    <s v="Non trouvé"/>
    <x v="1"/>
    <s v="Non trouvé"/>
  </r>
  <r>
    <x v="5"/>
    <s v="ANT-0065"/>
    <d v="2023-10-12T02:32:00"/>
    <m/>
    <n v="52"/>
    <s v="En Cours"/>
    <n v="1.499457"/>
    <n v="13.876317999999999"/>
    <x v="2"/>
    <s v="Nokia"/>
  </r>
  <r>
    <x v="5"/>
    <s v="ANT-0065"/>
    <d v="2023-10-30T18:09:00"/>
    <m/>
    <n v="19"/>
    <s v="Non Résolu"/>
    <n v="1.499457"/>
    <n v="13.876317999999999"/>
    <x v="2"/>
    <s v="Nokia"/>
  </r>
  <r>
    <x v="5"/>
    <s v="ANT-0065"/>
    <d v="2023-10-22T11:34:00"/>
    <m/>
    <n v="78"/>
    <s v="En Cours"/>
    <n v="1.499457"/>
    <n v="13.876317999999999"/>
    <x v="2"/>
    <s v="Nokia"/>
  </r>
  <r>
    <x v="16"/>
    <s v="ANT-0066"/>
    <d v="2023-10-21T03:01:00"/>
    <m/>
    <n v="109"/>
    <s v="En Cours"/>
    <n v="1.7832440000000001"/>
    <n v="25.477405999999998"/>
    <x v="2"/>
    <s v="Huawei"/>
  </r>
  <r>
    <x v="16"/>
    <s v="ANT-0066"/>
    <d v="2023-10-10T19:51:00"/>
    <m/>
    <n v="74"/>
    <s v="En Cours"/>
    <n v="1.7832440000000001"/>
    <n v="25.477405999999998"/>
    <x v="2"/>
    <s v="Huawei"/>
  </r>
  <r>
    <x v="16"/>
    <s v="ANT-0066"/>
    <d v="2023-10-26T22:33:00"/>
    <m/>
    <n v="83"/>
    <s v="Résolu"/>
    <n v="1.7832440000000001"/>
    <n v="25.477405999999998"/>
    <x v="2"/>
    <s v="Huawei"/>
  </r>
  <r>
    <x v="2"/>
    <s v="ANT-0067"/>
    <d v="2023-10-09T01:45:00"/>
    <m/>
    <n v="49"/>
    <s v="Non Résolu"/>
    <s v="Non trouvé"/>
    <s v="Non trouvé"/>
    <x v="1"/>
    <s v="Non trouvé"/>
  </r>
  <r>
    <x v="2"/>
    <s v="ANT-0067"/>
    <d v="2023-10-21T10:29:00"/>
    <m/>
    <n v="26"/>
    <s v="Résolu"/>
    <s v="Non trouvé"/>
    <s v="Non trouvé"/>
    <x v="1"/>
    <s v="Non trouvé"/>
  </r>
  <r>
    <x v="2"/>
    <s v="ANT-0067"/>
    <d v="2023-10-28T06:27:00"/>
    <m/>
    <n v="17"/>
    <s v="En Cours"/>
    <s v="Non trouvé"/>
    <s v="Non trouvé"/>
    <x v="1"/>
    <s v="Non trouvé"/>
  </r>
  <r>
    <x v="2"/>
    <s v="ANT-0068"/>
    <d v="2023-10-21T02:39:00"/>
    <m/>
    <n v="16"/>
    <s v="Non Résolu"/>
    <s v="Non trouvé"/>
    <s v="Non trouvé"/>
    <x v="1"/>
    <s v="Non trouvé"/>
  </r>
  <r>
    <x v="2"/>
    <s v="ANT-0068"/>
    <d v="2023-10-10T16:25:00"/>
    <m/>
    <n v="55"/>
    <s v="En Cours"/>
    <s v="Non trouvé"/>
    <s v="Non trouvé"/>
    <x v="1"/>
    <s v="Non trouvé"/>
  </r>
  <r>
    <x v="2"/>
    <s v="ANT-0069"/>
    <d v="2023-10-21T13:53:00"/>
    <m/>
    <n v="51"/>
    <s v="En Cours"/>
    <s v="Non trouvé"/>
    <s v="Non trouvé"/>
    <x v="1"/>
    <s v="Non trouvé"/>
  </r>
  <r>
    <x v="2"/>
    <s v="ANT-0069"/>
    <d v="2023-10-28T13:52:00"/>
    <m/>
    <n v="76"/>
    <s v="En Cours"/>
    <s v="Non trouvé"/>
    <s v="Non trouvé"/>
    <x v="1"/>
    <s v="Non trouvé"/>
  </r>
  <r>
    <x v="2"/>
    <s v="ANT-0069"/>
    <d v="2023-10-17T11:39:00"/>
    <m/>
    <n v="82"/>
    <s v="Résolu"/>
    <s v="Non trouvé"/>
    <s v="Non trouvé"/>
    <x v="1"/>
    <s v="Non trouvé"/>
  </r>
  <r>
    <x v="2"/>
    <s v="ANT-0069"/>
    <d v="2023-10-22T09:14:00"/>
    <m/>
    <n v="72"/>
    <s v="Résolu"/>
    <s v="Non trouvé"/>
    <s v="Non trouvé"/>
    <x v="1"/>
    <s v="Non trouvé"/>
  </r>
  <r>
    <x v="2"/>
    <s v="ANT-0069"/>
    <d v="2023-10-04T20:45:00"/>
    <m/>
    <n v="97"/>
    <s v="En Cours"/>
    <s v="Non trouvé"/>
    <s v="Non trouvé"/>
    <x v="1"/>
    <s v="Non trouvé"/>
  </r>
  <r>
    <x v="2"/>
    <s v="ANT-0069"/>
    <d v="2023-10-22T02:33:00"/>
    <m/>
    <n v="67"/>
    <s v="En Cours"/>
    <s v="Non trouvé"/>
    <s v="Non trouvé"/>
    <x v="1"/>
    <s v="Non trouvé"/>
  </r>
  <r>
    <x v="9"/>
    <s v="ANT-0070"/>
    <d v="2023-10-10T03:53:00"/>
    <m/>
    <n v="32"/>
    <s v="En Cours"/>
    <n v="-10.764815"/>
    <n v="14.602039"/>
    <x v="0"/>
    <s v="Nokia"/>
  </r>
  <r>
    <x v="9"/>
    <s v="ANT-0070"/>
    <d v="2023-10-31T21:53:00"/>
    <m/>
    <n v="48"/>
    <s v="Résolu"/>
    <n v="-10.764815"/>
    <n v="14.602039"/>
    <x v="0"/>
    <s v="Nokia"/>
  </r>
  <r>
    <x v="9"/>
    <s v="ANT-0070"/>
    <d v="2023-10-08T14:35:00"/>
    <m/>
    <n v="70"/>
    <s v="Non Résolu"/>
    <n v="-10.764815"/>
    <n v="14.602039"/>
    <x v="0"/>
    <s v="Nokia"/>
  </r>
  <r>
    <x v="12"/>
    <s v="ANT-0071"/>
    <d v="2023-10-24T03:43:00"/>
    <m/>
    <n v="62"/>
    <s v="Résolu"/>
    <n v="-12.595355"/>
    <n v="17.897442000000002"/>
    <x v="0"/>
    <s v="Huawei"/>
  </r>
  <r>
    <x v="12"/>
    <s v="ANT-0071"/>
    <d v="2023-10-15T04:27:00"/>
    <m/>
    <n v="45"/>
    <s v="Non Résolu"/>
    <n v="-12.595355"/>
    <n v="17.897442000000002"/>
    <x v="0"/>
    <s v="Huawei"/>
  </r>
  <r>
    <x v="12"/>
    <s v="ANT-0071"/>
    <d v="2023-10-16T21:07:00"/>
    <m/>
    <n v="58"/>
    <s v="Non Résolu"/>
    <n v="-12.595355"/>
    <n v="17.897442000000002"/>
    <x v="0"/>
    <s v="Huawei"/>
  </r>
  <r>
    <x v="12"/>
    <s v="ANT-0071"/>
    <d v="2023-10-05T07:33:00"/>
    <m/>
    <n v="110"/>
    <s v="Résolu"/>
    <n v="-12.595355"/>
    <n v="17.897442000000002"/>
    <x v="0"/>
    <s v="Huawei"/>
  </r>
  <r>
    <x v="12"/>
    <s v="ANT-0071"/>
    <d v="2023-10-20T00:57:00"/>
    <m/>
    <n v="75"/>
    <s v="En Cours"/>
    <n v="-12.595355"/>
    <n v="17.897442000000002"/>
    <x v="0"/>
    <s v="Huawei"/>
  </r>
  <r>
    <x v="2"/>
    <s v="ANT-0072"/>
    <d v="2023-10-05T08:02:00"/>
    <m/>
    <n v="11"/>
    <s v="Résolu"/>
    <s v="Non trouvé"/>
    <s v="Non trouvé"/>
    <x v="1"/>
    <s v="Non trouvé"/>
  </r>
  <r>
    <x v="2"/>
    <s v="ANT-0072"/>
    <d v="2023-10-13T17:23:00"/>
    <m/>
    <n v="107"/>
    <s v="Résolu"/>
    <s v="Non trouvé"/>
    <s v="Non trouvé"/>
    <x v="1"/>
    <s v="Non trouvé"/>
  </r>
  <r>
    <x v="2"/>
    <s v="ANT-0072"/>
    <d v="2023-10-06T20:31:00"/>
    <m/>
    <n v="91"/>
    <s v="En Cours"/>
    <s v="Non trouvé"/>
    <s v="Non trouvé"/>
    <x v="1"/>
    <s v="Non trouvé"/>
  </r>
  <r>
    <x v="2"/>
    <s v="ANT-0073"/>
    <d v="2023-10-29T08:11:00"/>
    <m/>
    <n v="45"/>
    <s v="En Cours"/>
    <s v="Non trouvé"/>
    <s v="Non trouvé"/>
    <x v="1"/>
    <s v="Non trouvé"/>
  </r>
  <r>
    <x v="2"/>
    <s v="ANT-0074"/>
    <d v="2023-10-11T03:05:00"/>
    <m/>
    <n v="39"/>
    <s v="Résolu"/>
    <s v="Non trouvé"/>
    <s v="Non trouvé"/>
    <x v="1"/>
    <s v="Non trouvé"/>
  </r>
  <r>
    <x v="2"/>
    <s v="ANT-0074"/>
    <d v="2023-10-23T08:49:00"/>
    <m/>
    <n v="64"/>
    <s v="Non Résolu"/>
    <s v="Non trouvé"/>
    <s v="Non trouvé"/>
    <x v="1"/>
    <s v="Non trouvé"/>
  </r>
  <r>
    <x v="2"/>
    <s v="ANT-0074"/>
    <d v="2023-10-08T14:39:00"/>
    <m/>
    <n v="63"/>
    <s v="En Cours"/>
    <s v="Non trouvé"/>
    <s v="Non trouvé"/>
    <x v="1"/>
    <s v="Non trouvé"/>
  </r>
  <r>
    <x v="2"/>
    <s v="ANT-0074"/>
    <d v="2023-10-31T23:38:00"/>
    <m/>
    <n v="30"/>
    <s v="En Cours"/>
    <s v="Non trouvé"/>
    <s v="Non trouvé"/>
    <x v="1"/>
    <s v="Non trouvé"/>
  </r>
  <r>
    <x v="14"/>
    <s v="ANT-0075"/>
    <d v="2023-10-03T22:40:00"/>
    <m/>
    <n v="51"/>
    <s v="En Cours"/>
    <n v="-8.0800809999999998"/>
    <n v="30.147970999999998"/>
    <x v="2"/>
    <s v="Huawei"/>
  </r>
  <r>
    <x v="14"/>
    <s v="ANT-0075"/>
    <d v="2023-10-17T18:21:00"/>
    <m/>
    <n v="8"/>
    <s v="En Cours"/>
    <n v="-8.0800809999999998"/>
    <n v="30.147970999999998"/>
    <x v="2"/>
    <s v="Huawei"/>
  </r>
  <r>
    <x v="14"/>
    <s v="ANT-0075"/>
    <d v="2023-10-18T11:33:00"/>
    <m/>
    <n v="48"/>
    <s v="En Cours"/>
    <n v="-8.0800809999999998"/>
    <n v="30.147970999999998"/>
    <x v="2"/>
    <s v="Huawei"/>
  </r>
  <r>
    <x v="14"/>
    <s v="ANT-0075"/>
    <d v="2023-10-13T14:23:00"/>
    <m/>
    <n v="67"/>
    <s v="En Cours"/>
    <n v="-8.0800809999999998"/>
    <n v="30.147970999999998"/>
    <x v="2"/>
    <s v="Huawei"/>
  </r>
  <r>
    <x v="14"/>
    <s v="ANT-0075"/>
    <d v="2023-10-27T04:48:00"/>
    <m/>
    <n v="12"/>
    <s v="Non Résolu"/>
    <n v="-8.0800809999999998"/>
    <n v="30.147970999999998"/>
    <x v="2"/>
    <s v="Huawei"/>
  </r>
  <r>
    <x v="2"/>
    <s v="ANT-0076"/>
    <d v="2023-10-20T10:05:00"/>
    <m/>
    <n v="71"/>
    <s v="Non Résolu"/>
    <s v="Non trouvé"/>
    <s v="Non trouvé"/>
    <x v="1"/>
    <s v="Non trouvé"/>
  </r>
  <r>
    <x v="2"/>
    <s v="ANT-0076"/>
    <d v="2023-10-09T10:07:00"/>
    <m/>
    <n v="107"/>
    <s v="Non Résolu"/>
    <s v="Non trouvé"/>
    <s v="Non trouvé"/>
    <x v="1"/>
    <s v="Non trouvé"/>
  </r>
  <r>
    <x v="2"/>
    <s v="ANT-0076"/>
    <d v="2023-10-08T13:54:00"/>
    <m/>
    <n v="87"/>
    <s v="En Cours"/>
    <s v="Non trouvé"/>
    <s v="Non trouvé"/>
    <x v="1"/>
    <s v="Non trouvé"/>
  </r>
  <r>
    <x v="2"/>
    <s v="ANT-0077"/>
    <d v="2023-10-08T23:35:00"/>
    <m/>
    <n v="15"/>
    <s v="Non Résolu"/>
    <s v="Non trouvé"/>
    <s v="Non trouvé"/>
    <x v="1"/>
    <s v="Non trouvé"/>
  </r>
  <r>
    <x v="2"/>
    <s v="ANT-0077"/>
    <d v="2023-10-07T06:34:00"/>
    <m/>
    <n v="55"/>
    <s v="Résolu"/>
    <s v="Non trouvé"/>
    <s v="Non trouvé"/>
    <x v="1"/>
    <s v="Non trouvé"/>
  </r>
  <r>
    <x v="2"/>
    <s v="ANT-0077"/>
    <d v="2023-10-28T05:04:00"/>
    <m/>
    <n v="67"/>
    <s v="Résolu"/>
    <s v="Non trouvé"/>
    <s v="Non trouvé"/>
    <x v="1"/>
    <s v="Non trouvé"/>
  </r>
  <r>
    <x v="2"/>
    <s v="ANT-0077"/>
    <d v="2023-10-09T06:42:00"/>
    <m/>
    <n v="120"/>
    <s v="Non Résolu"/>
    <s v="Non trouvé"/>
    <s v="Non trouvé"/>
    <x v="1"/>
    <s v="Non trouvé"/>
  </r>
  <r>
    <x v="2"/>
    <s v="ANT-0077"/>
    <d v="2023-10-09T10:54:00"/>
    <m/>
    <n v="17"/>
    <s v="Non Résolu"/>
    <s v="Non trouvé"/>
    <s v="Non trouvé"/>
    <x v="1"/>
    <s v="Non trouvé"/>
  </r>
  <r>
    <x v="2"/>
    <s v="ANT-0077"/>
    <d v="2023-10-25T13:38:00"/>
    <m/>
    <n v="22"/>
    <s v="En Cours"/>
    <s v="Non trouvé"/>
    <s v="Non trouvé"/>
    <x v="1"/>
    <s v="Non trouvé"/>
  </r>
  <r>
    <x v="2"/>
    <s v="ANT-0077"/>
    <d v="2023-10-26T05:10:00"/>
    <m/>
    <n v="36"/>
    <s v="Résolu"/>
    <s v="Non trouvé"/>
    <s v="Non trouvé"/>
    <x v="1"/>
    <s v="Non trouvé"/>
  </r>
  <r>
    <x v="2"/>
    <s v="ANT-0077"/>
    <d v="2023-10-09T21:48:00"/>
    <m/>
    <n v="76"/>
    <s v="Résolu"/>
    <s v="Non trouvé"/>
    <s v="Non trouvé"/>
    <x v="1"/>
    <s v="Non trouvé"/>
  </r>
  <r>
    <x v="2"/>
    <s v="ANT-0077"/>
    <d v="2023-10-14T08:13:00"/>
    <m/>
    <n v="28"/>
    <s v="Résolu"/>
    <s v="Non trouvé"/>
    <s v="Non trouvé"/>
    <x v="1"/>
    <s v="Non trouvé"/>
  </r>
  <r>
    <x v="2"/>
    <s v="ANT-0077"/>
    <d v="2023-10-03T10:06:00"/>
    <m/>
    <n v="97"/>
    <s v="Résolu"/>
    <s v="Non trouvé"/>
    <s v="Non trouvé"/>
    <x v="1"/>
    <s v="Non trouvé"/>
  </r>
  <r>
    <x v="2"/>
    <s v="ANT-0077"/>
    <d v="2023-10-10T06:02:00"/>
    <m/>
    <n v="44"/>
    <s v="Résolu"/>
    <s v="Non trouvé"/>
    <s v="Non trouvé"/>
    <x v="1"/>
    <s v="Non trouvé"/>
  </r>
  <r>
    <x v="17"/>
    <s v="ANT-0078"/>
    <d v="2023-10-14T11:27:00"/>
    <m/>
    <n v="102"/>
    <s v="En Cours"/>
    <n v="-12.141233"/>
    <n v="15.179043999999999"/>
    <x v="2"/>
    <s v="Ericsson"/>
  </r>
  <r>
    <x v="17"/>
    <s v="ANT-0078"/>
    <d v="2023-10-30T07:55:00"/>
    <m/>
    <n v="75"/>
    <s v="Non Résolu"/>
    <n v="-12.141233"/>
    <n v="15.179043999999999"/>
    <x v="2"/>
    <s v="Ericsson"/>
  </r>
  <r>
    <x v="17"/>
    <s v="ANT-0078"/>
    <d v="2023-10-24T02:27:00"/>
    <m/>
    <n v="85"/>
    <s v="Non Résolu"/>
    <n v="-12.141233"/>
    <n v="15.179043999999999"/>
    <x v="2"/>
    <s v="Ericsson"/>
  </r>
  <r>
    <x v="17"/>
    <s v="ANT-0078"/>
    <d v="2023-10-13T15:06:00"/>
    <m/>
    <n v="69"/>
    <s v="Non Résolu"/>
    <n v="-12.141233"/>
    <n v="15.179043999999999"/>
    <x v="2"/>
    <s v="Ericsson"/>
  </r>
  <r>
    <x v="17"/>
    <s v="ANT-0078"/>
    <d v="2023-10-15T14:15:00"/>
    <m/>
    <n v="41"/>
    <s v="Résolu"/>
    <n v="-12.141233"/>
    <n v="15.179043999999999"/>
    <x v="2"/>
    <s v="Ericsson"/>
  </r>
  <r>
    <x v="18"/>
    <s v="ANT-0079"/>
    <d v="2023-10-29T18:12:00"/>
    <m/>
    <n v="71"/>
    <s v="Non Résolu"/>
    <n v="-8.4824669999999998"/>
    <n v="21.897777999999999"/>
    <x v="2"/>
    <s v="Ericsson"/>
  </r>
  <r>
    <x v="18"/>
    <s v="ANT-0079"/>
    <d v="2023-10-20T22:05:00"/>
    <m/>
    <n v="90"/>
    <s v="Résolu"/>
    <n v="-8.4824669999999998"/>
    <n v="21.897777999999999"/>
    <x v="2"/>
    <s v="Ericsson"/>
  </r>
  <r>
    <x v="12"/>
    <s v="ANT-0080"/>
    <d v="2023-10-11T11:00:00"/>
    <m/>
    <n v="73"/>
    <s v="Non Résolu"/>
    <n v="0.24202000000000001"/>
    <n v="17.396256999999999"/>
    <x v="0"/>
    <s v="Huawei"/>
  </r>
  <r>
    <x v="19"/>
    <s v="ANT-0081"/>
    <d v="2023-10-18T04:12:00"/>
    <m/>
    <n v="69"/>
    <s v="Non Résolu"/>
    <n v="-10.577049000000001"/>
    <n v="23.721854"/>
    <x v="0"/>
    <s v="ZTE"/>
  </r>
  <r>
    <x v="19"/>
    <s v="ANT-0081"/>
    <d v="2023-10-12T23:08:00"/>
    <m/>
    <n v="45"/>
    <s v="Résolu"/>
    <n v="-10.577049000000001"/>
    <n v="23.721854"/>
    <x v="0"/>
    <s v="ZTE"/>
  </r>
  <r>
    <x v="19"/>
    <s v="ANT-0081"/>
    <d v="2023-10-26T18:41:00"/>
    <m/>
    <n v="22"/>
    <s v="Non Résolu"/>
    <n v="-10.577049000000001"/>
    <n v="23.721854"/>
    <x v="0"/>
    <s v="ZTE"/>
  </r>
  <r>
    <x v="19"/>
    <s v="ANT-0081"/>
    <d v="2023-10-05T11:19:00"/>
    <m/>
    <n v="93"/>
    <s v="Résolu"/>
    <n v="-10.577049000000001"/>
    <n v="23.721854"/>
    <x v="0"/>
    <s v="ZTE"/>
  </r>
  <r>
    <x v="19"/>
    <s v="ANT-0081"/>
    <d v="2023-10-08T09:51:00"/>
    <m/>
    <n v="52"/>
    <s v="En Cours"/>
    <n v="-10.577049000000001"/>
    <n v="23.721854"/>
    <x v="0"/>
    <s v="ZTE"/>
  </r>
  <r>
    <x v="7"/>
    <s v="ANT-0082"/>
    <d v="2023-10-08T08:42:00"/>
    <m/>
    <n v="82"/>
    <s v="Résolu"/>
    <n v="-12.776386"/>
    <n v="14.157596"/>
    <x v="3"/>
    <s v="Nokia"/>
  </r>
  <r>
    <x v="7"/>
    <s v="ANT-0082"/>
    <d v="2023-10-24T17:03:00"/>
    <m/>
    <n v="62"/>
    <s v="Non Résolu"/>
    <n v="-12.776386"/>
    <n v="14.157596"/>
    <x v="3"/>
    <s v="Nokia"/>
  </r>
  <r>
    <x v="7"/>
    <s v="ANT-0082"/>
    <d v="2023-10-10T16:19:00"/>
    <m/>
    <n v="103"/>
    <s v="Non Résolu"/>
    <n v="-12.776386"/>
    <n v="14.157596"/>
    <x v="3"/>
    <s v="Nokia"/>
  </r>
  <r>
    <x v="7"/>
    <s v="ANT-0082"/>
    <d v="2023-10-06T09:35:00"/>
    <m/>
    <n v="55"/>
    <s v="Résolu"/>
    <n v="-12.776386"/>
    <n v="14.157596"/>
    <x v="3"/>
    <s v="Nokia"/>
  </r>
  <r>
    <x v="7"/>
    <s v="ANT-0082"/>
    <d v="2023-10-07T04:50:00"/>
    <m/>
    <n v="73"/>
    <s v="Résolu"/>
    <n v="-12.776386"/>
    <n v="14.157596"/>
    <x v="3"/>
    <s v="Nokia"/>
  </r>
  <r>
    <x v="7"/>
    <s v="ANT-0082"/>
    <d v="2023-10-15T21:27:00"/>
    <m/>
    <n v="105"/>
    <s v="Résolu"/>
    <n v="-12.776386"/>
    <n v="14.157596"/>
    <x v="3"/>
    <s v="Nokia"/>
  </r>
  <r>
    <x v="2"/>
    <s v="ANT-0083"/>
    <d v="2023-10-16T13:12:00"/>
    <m/>
    <n v="52"/>
    <s v="Résolu"/>
    <s v="Non trouvé"/>
    <s v="Non trouvé"/>
    <x v="1"/>
    <s v="Non trouvé"/>
  </r>
  <r>
    <x v="2"/>
    <s v="ANT-0083"/>
    <d v="2023-10-24T21:43:00"/>
    <m/>
    <n v="46"/>
    <s v="En Cours"/>
    <s v="Non trouvé"/>
    <s v="Non trouvé"/>
    <x v="1"/>
    <s v="Non trouvé"/>
  </r>
  <r>
    <x v="20"/>
    <s v="ANT-0084"/>
    <d v="2023-10-02T13:47:00"/>
    <m/>
    <n v="55"/>
    <s v="Résolu"/>
    <n v="2.413557"/>
    <n v="19.690681999999999"/>
    <x v="0"/>
    <s v="Huawei"/>
  </r>
  <r>
    <x v="20"/>
    <s v="ANT-0084"/>
    <d v="2023-10-23T12:24:00"/>
    <m/>
    <n v="116"/>
    <s v="Non Résolu"/>
    <n v="2.413557"/>
    <n v="19.690681999999999"/>
    <x v="0"/>
    <s v="Huawei"/>
  </r>
  <r>
    <x v="20"/>
    <s v="ANT-0084"/>
    <d v="2023-10-25T07:55:00"/>
    <m/>
    <n v="92"/>
    <s v="Non Résolu"/>
    <n v="2.413557"/>
    <n v="19.690681999999999"/>
    <x v="0"/>
    <s v="Huawei"/>
  </r>
  <r>
    <x v="20"/>
    <s v="ANT-0084"/>
    <d v="2023-10-02T11:32:00"/>
    <m/>
    <n v="110"/>
    <s v="Non Résolu"/>
    <n v="2.413557"/>
    <n v="19.690681999999999"/>
    <x v="0"/>
    <s v="Huawei"/>
  </r>
  <r>
    <x v="2"/>
    <s v="ANT-0085"/>
    <d v="2023-10-22T17:19:00"/>
    <m/>
    <n v="119"/>
    <s v="Résolu"/>
    <s v="Non trouvé"/>
    <s v="Non trouvé"/>
    <x v="1"/>
    <s v="Non trouvé"/>
  </r>
  <r>
    <x v="2"/>
    <s v="ANT-0085"/>
    <d v="2023-10-07T04:01:00"/>
    <m/>
    <n v="113"/>
    <s v="En Cours"/>
    <s v="Non trouvé"/>
    <s v="Non trouvé"/>
    <x v="1"/>
    <s v="Non trouvé"/>
  </r>
  <r>
    <x v="2"/>
    <s v="ANT-0085"/>
    <d v="2023-10-14T23:35:00"/>
    <m/>
    <n v="68"/>
    <s v="Résolu"/>
    <s v="Non trouvé"/>
    <s v="Non trouvé"/>
    <x v="1"/>
    <s v="Non trouvé"/>
  </r>
  <r>
    <x v="2"/>
    <s v="ANT-0085"/>
    <d v="2023-10-07T08:42:00"/>
    <m/>
    <n v="10"/>
    <s v="Résolu"/>
    <s v="Non trouvé"/>
    <s v="Non trouvé"/>
    <x v="1"/>
    <s v="Non trouvé"/>
  </r>
  <r>
    <x v="2"/>
    <s v="ANT-0085"/>
    <d v="2023-10-28T21:49:00"/>
    <m/>
    <n v="99"/>
    <s v="Résolu"/>
    <s v="Non trouvé"/>
    <s v="Non trouvé"/>
    <x v="1"/>
    <s v="Non trouvé"/>
  </r>
  <r>
    <x v="2"/>
    <s v="ANT-0085"/>
    <d v="2023-10-15T16:38:00"/>
    <m/>
    <n v="72"/>
    <s v="Résolu"/>
    <s v="Non trouvé"/>
    <s v="Non trouvé"/>
    <x v="1"/>
    <s v="Non trouvé"/>
  </r>
  <r>
    <x v="2"/>
    <s v="ANT-0085"/>
    <d v="2023-10-13T23:02:00"/>
    <m/>
    <n v="72"/>
    <s v="Résolu"/>
    <s v="Non trouvé"/>
    <s v="Non trouvé"/>
    <x v="1"/>
    <s v="Non trouvé"/>
  </r>
  <r>
    <x v="21"/>
    <s v="ANT-0086"/>
    <d v="2023-10-24T04:59:00"/>
    <m/>
    <n v="107"/>
    <s v="Non Résolu"/>
    <n v="4.2904629999999999"/>
    <n v="26.354195000000001"/>
    <x v="3"/>
    <s v="Ericsson"/>
  </r>
  <r>
    <x v="21"/>
    <s v="ANT-0086"/>
    <d v="2023-10-23T09:01:00"/>
    <m/>
    <n v="65"/>
    <s v="En Cours"/>
    <n v="4.2904629999999999"/>
    <n v="26.354195000000001"/>
    <x v="3"/>
    <s v="Ericsson"/>
  </r>
  <r>
    <x v="21"/>
    <s v="ANT-0086"/>
    <d v="2023-10-20T23:31:00"/>
    <m/>
    <n v="12"/>
    <s v="En Cours"/>
    <n v="4.2904629999999999"/>
    <n v="26.354195000000001"/>
    <x v="3"/>
    <s v="Ericsson"/>
  </r>
  <r>
    <x v="2"/>
    <s v="ANT-0087"/>
    <d v="2023-10-14T07:11:00"/>
    <m/>
    <n v="43"/>
    <s v="En Cours"/>
    <s v="Non trouvé"/>
    <s v="Non trouvé"/>
    <x v="1"/>
    <s v="Non trouvé"/>
  </r>
  <r>
    <x v="22"/>
    <s v="ANT-0088"/>
    <d v="2023-10-10T19:47:00"/>
    <m/>
    <n v="110"/>
    <s v="Non Résolu"/>
    <n v="-9.7803979999999999"/>
    <n v="17.686595000000001"/>
    <x v="0"/>
    <s v="Ericsson"/>
  </r>
  <r>
    <x v="22"/>
    <s v="ANT-0088"/>
    <d v="2023-10-06T04:36:00"/>
    <m/>
    <n v="99"/>
    <s v="En Cours"/>
    <n v="-9.7803979999999999"/>
    <n v="17.686595000000001"/>
    <x v="0"/>
    <s v="Ericsson"/>
  </r>
  <r>
    <x v="22"/>
    <s v="ANT-0088"/>
    <d v="2023-10-22T09:02:00"/>
    <m/>
    <n v="9"/>
    <s v="En Cours"/>
    <n v="-9.7803979999999999"/>
    <n v="17.686595000000001"/>
    <x v="0"/>
    <s v="Ericsson"/>
  </r>
  <r>
    <x v="2"/>
    <s v="ANT-0089"/>
    <d v="2023-10-01T17:12:00"/>
    <m/>
    <n v="41"/>
    <s v="Non Résolu"/>
    <s v="Non trouvé"/>
    <s v="Non trouvé"/>
    <x v="1"/>
    <s v="Non trouvé"/>
  </r>
  <r>
    <x v="2"/>
    <s v="ANT-0089"/>
    <d v="2023-10-09T17:55:00"/>
    <m/>
    <n v="61"/>
    <s v="Résolu"/>
    <s v="Non trouvé"/>
    <s v="Non trouvé"/>
    <x v="1"/>
    <s v="Non trouvé"/>
  </r>
  <r>
    <x v="2"/>
    <s v="ANT-0089"/>
    <d v="2023-10-14T22:46:00"/>
    <m/>
    <n v="20"/>
    <s v="Résolu"/>
    <s v="Non trouvé"/>
    <s v="Non trouvé"/>
    <x v="1"/>
    <s v="Non trouvé"/>
  </r>
  <r>
    <x v="2"/>
    <s v="ANT-0089"/>
    <d v="2023-10-26T20:37:00"/>
    <m/>
    <n v="54"/>
    <s v="Résolu"/>
    <s v="Non trouvé"/>
    <s v="Non trouvé"/>
    <x v="1"/>
    <s v="Non trouvé"/>
  </r>
  <r>
    <x v="2"/>
    <s v="ANT-0089"/>
    <d v="2023-10-05T21:30:00"/>
    <m/>
    <n v="101"/>
    <s v="Résolu"/>
    <s v="Non trouvé"/>
    <s v="Non trouvé"/>
    <x v="1"/>
    <s v="Non trouvé"/>
  </r>
  <r>
    <x v="14"/>
    <s v="ANT-0090"/>
    <d v="2023-10-06T14:24:00"/>
    <m/>
    <n v="15"/>
    <s v="En Cours"/>
    <n v="-7.3379339999999997"/>
    <n v="28.404001999999998"/>
    <x v="3"/>
    <s v="Nokia"/>
  </r>
  <r>
    <x v="14"/>
    <s v="ANT-0090"/>
    <d v="2023-10-23T09:58:00"/>
    <m/>
    <n v="34"/>
    <s v="Non Résolu"/>
    <n v="-7.3379339999999997"/>
    <n v="28.404001999999998"/>
    <x v="3"/>
    <s v="Nokia"/>
  </r>
  <r>
    <x v="14"/>
    <s v="ANT-0090"/>
    <d v="2023-10-14T14:21:00"/>
    <m/>
    <n v="58"/>
    <s v="Résolu"/>
    <n v="-7.3379339999999997"/>
    <n v="28.404001999999998"/>
    <x v="3"/>
    <s v="Nokia"/>
  </r>
  <r>
    <x v="14"/>
    <s v="ANT-0090"/>
    <d v="2023-10-23T14:28:00"/>
    <m/>
    <n v="35"/>
    <s v="Résolu"/>
    <n v="-7.3379339999999997"/>
    <n v="28.404001999999998"/>
    <x v="3"/>
    <s v="Nokia"/>
  </r>
  <r>
    <x v="9"/>
    <s v="ANT-0091"/>
    <d v="2023-10-28T15:28:00"/>
    <m/>
    <n v="89"/>
    <s v="Non Résolu"/>
    <n v="-4.7886769999999999"/>
    <n v="23.600221999999999"/>
    <x v="3"/>
    <s v="ZTE"/>
  </r>
  <r>
    <x v="9"/>
    <s v="ANT-0091"/>
    <d v="2023-10-21T10:00:00"/>
    <m/>
    <n v="70"/>
    <s v="Résolu"/>
    <n v="-4.7886769999999999"/>
    <n v="23.600221999999999"/>
    <x v="3"/>
    <s v="ZTE"/>
  </r>
  <r>
    <x v="9"/>
    <s v="ANT-0091"/>
    <d v="2023-10-30T10:55:00"/>
    <m/>
    <n v="79"/>
    <s v="En Cours"/>
    <n v="-4.7886769999999999"/>
    <n v="23.600221999999999"/>
    <x v="3"/>
    <s v="ZTE"/>
  </r>
  <r>
    <x v="9"/>
    <s v="ANT-0091"/>
    <d v="2023-10-10T14:41:00"/>
    <m/>
    <n v="39"/>
    <s v="En Cours"/>
    <n v="-4.7886769999999999"/>
    <n v="23.600221999999999"/>
    <x v="3"/>
    <s v="ZTE"/>
  </r>
  <r>
    <x v="9"/>
    <s v="ANT-0091"/>
    <d v="2023-10-17T16:39:00"/>
    <m/>
    <n v="62"/>
    <s v="Non Résolu"/>
    <n v="-4.7886769999999999"/>
    <n v="23.600221999999999"/>
    <x v="3"/>
    <s v="ZTE"/>
  </r>
  <r>
    <x v="2"/>
    <s v="ANT-0092"/>
    <d v="2023-10-17T03:24:00"/>
    <m/>
    <n v="92"/>
    <s v="Non Résolu"/>
    <s v="Non trouvé"/>
    <s v="Non trouvé"/>
    <x v="1"/>
    <s v="Non trouvé"/>
  </r>
  <r>
    <x v="2"/>
    <s v="ANT-0092"/>
    <d v="2023-10-02T05:30:00"/>
    <m/>
    <n v="23"/>
    <s v="Résolu"/>
    <s v="Non trouvé"/>
    <s v="Non trouvé"/>
    <x v="1"/>
    <s v="Non trouvé"/>
  </r>
  <r>
    <x v="2"/>
    <s v="ANT-0092"/>
    <d v="2023-10-15T09:49:00"/>
    <m/>
    <n v="65"/>
    <s v="En Cours"/>
    <s v="Non trouvé"/>
    <s v="Non trouvé"/>
    <x v="1"/>
    <s v="Non trouvé"/>
  </r>
  <r>
    <x v="8"/>
    <s v="ANT-0093"/>
    <d v="2023-10-14T00:33:00"/>
    <m/>
    <n v="21"/>
    <s v="Non Résolu"/>
    <n v="2.975352"/>
    <n v="22.535886000000001"/>
    <x v="0"/>
    <s v="Huawei"/>
  </r>
  <r>
    <x v="8"/>
    <s v="ANT-0093"/>
    <d v="2023-10-01T17:26:00"/>
    <m/>
    <n v="83"/>
    <s v="Résolu"/>
    <n v="2.975352"/>
    <n v="22.535886000000001"/>
    <x v="0"/>
    <s v="Huawei"/>
  </r>
  <r>
    <x v="8"/>
    <s v="ANT-0093"/>
    <d v="2023-10-17T22:17:00"/>
    <m/>
    <n v="69"/>
    <s v="Non Résolu"/>
    <n v="2.975352"/>
    <n v="22.535886000000001"/>
    <x v="0"/>
    <s v="Huawei"/>
  </r>
  <r>
    <x v="8"/>
    <s v="ANT-0093"/>
    <d v="2023-10-22T07:31:00"/>
    <m/>
    <n v="94"/>
    <s v="Non Résolu"/>
    <n v="2.975352"/>
    <n v="22.535886000000001"/>
    <x v="0"/>
    <s v="Huawei"/>
  </r>
  <r>
    <x v="8"/>
    <s v="ANT-0093"/>
    <d v="2023-10-01T11:50:00"/>
    <m/>
    <n v="88"/>
    <s v="Résolu"/>
    <n v="2.975352"/>
    <n v="22.535886000000001"/>
    <x v="0"/>
    <s v="Huawei"/>
  </r>
  <r>
    <x v="18"/>
    <s v="ANT-0094"/>
    <d v="2023-10-09T17:07:00"/>
    <m/>
    <n v="38"/>
    <s v="Résolu"/>
    <n v="-10.650321"/>
    <n v="15.917044000000001"/>
    <x v="0"/>
    <s v="Nokia"/>
  </r>
  <r>
    <x v="18"/>
    <s v="ANT-0094"/>
    <d v="2023-10-10T08:37:00"/>
    <m/>
    <n v="56"/>
    <s v="Non Résolu"/>
    <n v="-10.650321"/>
    <n v="15.917044000000001"/>
    <x v="0"/>
    <s v="Nokia"/>
  </r>
  <r>
    <x v="18"/>
    <s v="ANT-0094"/>
    <d v="2023-10-17T17:01:00"/>
    <m/>
    <n v="70"/>
    <s v="Non Résolu"/>
    <n v="-10.650321"/>
    <n v="15.917044000000001"/>
    <x v="0"/>
    <s v="Nokia"/>
  </r>
  <r>
    <x v="2"/>
    <s v="ANT-0095"/>
    <d v="2023-10-18T04:17:00"/>
    <m/>
    <n v="96"/>
    <s v="Résolu"/>
    <s v="Non trouvé"/>
    <s v="Non trouvé"/>
    <x v="1"/>
    <s v="Non trouvé"/>
  </r>
  <r>
    <x v="2"/>
    <s v="ANT-0095"/>
    <d v="2023-10-13T22:18:00"/>
    <m/>
    <n v="60"/>
    <s v="Résolu"/>
    <s v="Non trouvé"/>
    <s v="Non trouvé"/>
    <x v="1"/>
    <s v="Non trouvé"/>
  </r>
  <r>
    <x v="5"/>
    <s v="ANT-0096"/>
    <d v="2023-10-05T19:34:00"/>
    <m/>
    <n v="85"/>
    <s v="Non Résolu"/>
    <n v="3.0603760000000002"/>
    <n v="19.708034000000001"/>
    <x v="3"/>
    <s v="ZTE"/>
  </r>
  <r>
    <x v="5"/>
    <s v="ANT-0096"/>
    <d v="2023-10-29T14:45:00"/>
    <m/>
    <n v="35"/>
    <s v="En Cours"/>
    <n v="3.0603760000000002"/>
    <n v="19.708034000000001"/>
    <x v="3"/>
    <s v="ZTE"/>
  </r>
  <r>
    <x v="5"/>
    <s v="ANT-0096"/>
    <d v="2023-10-05T17:03:00"/>
    <m/>
    <n v="25"/>
    <s v="Résolu"/>
    <n v="3.0603760000000002"/>
    <n v="19.708034000000001"/>
    <x v="3"/>
    <s v="ZTE"/>
  </r>
  <r>
    <x v="5"/>
    <s v="ANT-0096"/>
    <d v="2023-10-05T21:44:00"/>
    <m/>
    <n v="44"/>
    <s v="Non Résolu"/>
    <n v="3.0603760000000002"/>
    <n v="19.708034000000001"/>
    <x v="3"/>
    <s v="ZTE"/>
  </r>
  <r>
    <x v="2"/>
    <s v="ANT-0097"/>
    <d v="2023-10-04T12:17:00"/>
    <m/>
    <n v="68"/>
    <s v="En Cours"/>
    <s v="Non trouvé"/>
    <s v="Non trouvé"/>
    <x v="1"/>
    <s v="Non trouvé"/>
  </r>
  <r>
    <x v="2"/>
    <s v="ANT-0097"/>
    <d v="2023-10-15T20:53:00"/>
    <m/>
    <n v="93"/>
    <s v="En Cours"/>
    <s v="Non trouvé"/>
    <s v="Non trouvé"/>
    <x v="1"/>
    <s v="Non trouvé"/>
  </r>
  <r>
    <x v="2"/>
    <s v="ANT-0097"/>
    <d v="2023-10-20T02:43:00"/>
    <m/>
    <n v="30"/>
    <s v="Non Résolu"/>
    <s v="Non trouvé"/>
    <s v="Non trouvé"/>
    <x v="1"/>
    <s v="Non trouvé"/>
  </r>
  <r>
    <x v="2"/>
    <s v="ANT-0097"/>
    <d v="2023-10-09T01:00:00"/>
    <m/>
    <n v="70"/>
    <s v="Résolu"/>
    <s v="Non trouvé"/>
    <s v="Non trouvé"/>
    <x v="1"/>
    <s v="Non trouvé"/>
  </r>
  <r>
    <x v="2"/>
    <s v="ANT-0097"/>
    <d v="2023-10-29T08:35:00"/>
    <m/>
    <n v="25"/>
    <s v="En Cours"/>
    <s v="Non trouvé"/>
    <s v="Non trouvé"/>
    <x v="1"/>
    <s v="Non trouvé"/>
  </r>
  <r>
    <x v="2"/>
    <s v="ANT-0097"/>
    <d v="2023-10-30T08:11:00"/>
    <m/>
    <n v="82"/>
    <s v="Non Résolu"/>
    <s v="Non trouvé"/>
    <s v="Non trouvé"/>
    <x v="1"/>
    <s v="Non trouvé"/>
  </r>
  <r>
    <x v="2"/>
    <s v="ANT-0097"/>
    <d v="2023-10-22T23:43:00"/>
    <m/>
    <n v="87"/>
    <s v="En Cours"/>
    <s v="Non trouvé"/>
    <s v="Non trouvé"/>
    <x v="1"/>
    <s v="Non trouvé"/>
  </r>
  <r>
    <x v="2"/>
    <s v="ANT-0097"/>
    <d v="2023-10-22T06:41:00"/>
    <m/>
    <n v="55"/>
    <s v="Non Résolu"/>
    <s v="Non trouvé"/>
    <s v="Non trouvé"/>
    <x v="1"/>
    <s v="Non trouvé"/>
  </r>
  <r>
    <x v="2"/>
    <s v="ANT-0098"/>
    <d v="2023-10-25T09:05:00"/>
    <m/>
    <n v="48"/>
    <s v="En Cours"/>
    <s v="Non trouvé"/>
    <s v="Non trouvé"/>
    <x v="1"/>
    <s v="Non trouvé"/>
  </r>
  <r>
    <x v="2"/>
    <s v="ANT-0098"/>
    <d v="2023-10-21T05:50:00"/>
    <m/>
    <n v="96"/>
    <s v="Non Résolu"/>
    <s v="Non trouvé"/>
    <s v="Non trouvé"/>
    <x v="1"/>
    <s v="Non trouvé"/>
  </r>
  <r>
    <x v="2"/>
    <s v="ANT-0098"/>
    <d v="2023-10-07T09:13:00"/>
    <m/>
    <n v="38"/>
    <s v="Non Résolu"/>
    <s v="Non trouvé"/>
    <s v="Non trouvé"/>
    <x v="1"/>
    <s v="Non trouvé"/>
  </r>
  <r>
    <x v="2"/>
    <s v="ANT-0098"/>
    <d v="2023-10-19T08:02:00"/>
    <m/>
    <n v="87"/>
    <s v="Non Résolu"/>
    <s v="Non trouvé"/>
    <s v="Non trouvé"/>
    <x v="1"/>
    <s v="Non trouvé"/>
  </r>
  <r>
    <x v="2"/>
    <s v="ANT-0098"/>
    <d v="2023-10-20T02:29:00"/>
    <m/>
    <n v="37"/>
    <s v="En Cours"/>
    <s v="Non trouvé"/>
    <s v="Non trouvé"/>
    <x v="1"/>
    <s v="Non trouvé"/>
  </r>
  <r>
    <x v="2"/>
    <s v="ANT-0098"/>
    <d v="2023-10-09T19:44:00"/>
    <m/>
    <n v="120"/>
    <s v="Non Résolu"/>
    <s v="Non trouvé"/>
    <s v="Non trouvé"/>
    <x v="1"/>
    <s v="Non trouvé"/>
  </r>
  <r>
    <x v="2"/>
    <s v="ANT-0098"/>
    <d v="2023-10-14T22:31:00"/>
    <m/>
    <n v="9"/>
    <s v="Résolu"/>
    <s v="Non trouvé"/>
    <s v="Non trouvé"/>
    <x v="1"/>
    <s v="Non trouvé"/>
  </r>
  <r>
    <x v="2"/>
    <s v="ANT-0098"/>
    <d v="2023-10-15T01:13:00"/>
    <m/>
    <n v="70"/>
    <s v="En Cours"/>
    <s v="Non trouvé"/>
    <s v="Non trouvé"/>
    <x v="1"/>
    <s v="Non trouvé"/>
  </r>
  <r>
    <x v="2"/>
    <s v="ANT-0098"/>
    <d v="2023-10-23T15:55:00"/>
    <m/>
    <n v="79"/>
    <s v="En Cours"/>
    <s v="Non trouvé"/>
    <s v="Non trouvé"/>
    <x v="1"/>
    <s v="Non trouvé"/>
  </r>
  <r>
    <x v="2"/>
    <s v="ANT-0098"/>
    <d v="2023-10-09T00:36:00"/>
    <m/>
    <n v="113"/>
    <s v="Résolu"/>
    <s v="Non trouvé"/>
    <s v="Non trouvé"/>
    <x v="1"/>
    <s v="Non trouvé"/>
  </r>
  <r>
    <x v="8"/>
    <s v="ANT-0099"/>
    <d v="2023-10-03T05:15:00"/>
    <m/>
    <n v="56"/>
    <s v="En Cours"/>
    <n v="-11.157245"/>
    <n v="21.262627999999999"/>
    <x v="2"/>
    <s v="ZTE"/>
  </r>
  <r>
    <x v="8"/>
    <s v="ANT-0099"/>
    <d v="2023-10-22T20:09:00"/>
    <m/>
    <n v="93"/>
    <s v="En Cours"/>
    <n v="-11.157245"/>
    <n v="21.262627999999999"/>
    <x v="2"/>
    <s v="ZTE"/>
  </r>
  <r>
    <x v="8"/>
    <s v="ANT-0099"/>
    <d v="2023-10-03T09:54:00"/>
    <m/>
    <n v="44"/>
    <s v="Résolu"/>
    <n v="-11.157245"/>
    <n v="21.262627999999999"/>
    <x v="2"/>
    <s v="ZTE"/>
  </r>
  <r>
    <x v="8"/>
    <s v="ANT-0099"/>
    <d v="2023-10-21T15:55:00"/>
    <m/>
    <n v="110"/>
    <s v="Non Résolu"/>
    <n v="-11.157245"/>
    <n v="21.262627999999999"/>
    <x v="2"/>
    <s v="ZTE"/>
  </r>
  <r>
    <x v="2"/>
    <s v="ANT-0100"/>
    <d v="2023-10-10T05:28:00"/>
    <m/>
    <n v="13"/>
    <s v="Non Résolu"/>
    <s v="Non trouvé"/>
    <s v="Non trouvé"/>
    <x v="1"/>
    <s v="Non trouvé"/>
  </r>
  <r>
    <x v="2"/>
    <s v="ANT-0100"/>
    <d v="2023-10-10T18:39:00"/>
    <m/>
    <n v="102"/>
    <s v="Résolu"/>
    <s v="Non trouvé"/>
    <s v="Non trouvé"/>
    <x v="1"/>
    <s v="Non trouvé"/>
  </r>
  <r>
    <x v="2"/>
    <s v="ANT-0100"/>
    <d v="2023-10-20T07:45:00"/>
    <m/>
    <n v="25"/>
    <s v="Résolu"/>
    <s v="Non trouvé"/>
    <s v="Non trouvé"/>
    <x v="1"/>
    <s v="Non trouvé"/>
  </r>
  <r>
    <x v="2"/>
    <s v="ANT-0100"/>
    <d v="2023-10-28T14:06:00"/>
    <m/>
    <n v="65"/>
    <s v="Résolu"/>
    <s v="Non trouvé"/>
    <s v="Non trouvé"/>
    <x v="1"/>
    <s v="Non trouvé"/>
  </r>
  <r>
    <x v="2"/>
    <s v="ANT-0100"/>
    <d v="2023-10-24T20:52:00"/>
    <m/>
    <n v="99"/>
    <s v="Non Résolu"/>
    <s v="Non trouvé"/>
    <s v="Non trouvé"/>
    <x v="1"/>
    <s v="Non trouvé"/>
  </r>
  <r>
    <x v="2"/>
    <s v="ANT-0100"/>
    <d v="2023-10-16T16:09:00"/>
    <m/>
    <n v="46"/>
    <s v="Non Résolu"/>
    <s v="Non trouvé"/>
    <s v="Non trouvé"/>
    <x v="1"/>
    <s v="Non trouvé"/>
  </r>
  <r>
    <x v="2"/>
    <s v="ANT-0100"/>
    <d v="2023-10-17T11:01:00"/>
    <m/>
    <n v="69"/>
    <s v="En Cours"/>
    <s v="Non trouvé"/>
    <s v="Non trouvé"/>
    <x v="1"/>
    <s v="Non trouvé"/>
  </r>
  <r>
    <x v="23"/>
    <s v="ANT-0101"/>
    <d v="2023-10-27T01:51:00"/>
    <m/>
    <n v="60"/>
    <s v="Résolu"/>
    <n v="1.0134879999999999"/>
    <n v="20.363515"/>
    <x v="0"/>
    <s v="Nokia"/>
  </r>
  <r>
    <x v="23"/>
    <s v="ANT-0101"/>
    <d v="2023-10-03T12:00:00"/>
    <m/>
    <n v="93"/>
    <s v="Résolu"/>
    <n v="1.0134879999999999"/>
    <n v="20.363515"/>
    <x v="0"/>
    <s v="Nokia"/>
  </r>
  <r>
    <x v="23"/>
    <s v="ANT-0101"/>
    <d v="2023-10-19T17:35:00"/>
    <m/>
    <n v="57"/>
    <s v="En Cours"/>
    <n v="1.0134879999999999"/>
    <n v="20.363515"/>
    <x v="0"/>
    <s v="Nokia"/>
  </r>
  <r>
    <x v="23"/>
    <s v="ANT-0101"/>
    <d v="2023-10-04T10:45:00"/>
    <m/>
    <n v="5"/>
    <s v="En Cours"/>
    <n v="1.0134879999999999"/>
    <n v="20.363515"/>
    <x v="0"/>
    <s v="Nokia"/>
  </r>
  <r>
    <x v="2"/>
    <s v="ANT-0102"/>
    <d v="2023-10-28T02:49:00"/>
    <m/>
    <n v="57"/>
    <s v="En Cours"/>
    <s v="Non trouvé"/>
    <s v="Non trouvé"/>
    <x v="1"/>
    <s v="Non trouvé"/>
  </r>
  <r>
    <x v="2"/>
    <s v="ANT-0102"/>
    <d v="2023-10-16T03:27:00"/>
    <m/>
    <n v="18"/>
    <s v="Résolu"/>
    <s v="Non trouvé"/>
    <s v="Non trouvé"/>
    <x v="1"/>
    <s v="Non trouvé"/>
  </r>
  <r>
    <x v="2"/>
    <s v="ANT-0102"/>
    <d v="2023-10-19T09:05:00"/>
    <m/>
    <n v="18"/>
    <s v="Résolu"/>
    <s v="Non trouvé"/>
    <s v="Non trouvé"/>
    <x v="1"/>
    <s v="Non trouvé"/>
  </r>
  <r>
    <x v="2"/>
    <s v="ANT-0102"/>
    <d v="2023-10-17T17:31:00"/>
    <m/>
    <n v="21"/>
    <s v="Non Résolu"/>
    <s v="Non trouvé"/>
    <s v="Non trouvé"/>
    <x v="1"/>
    <s v="Non trouvé"/>
  </r>
  <r>
    <x v="2"/>
    <s v="ANT-0102"/>
    <d v="2023-10-12T18:18:00"/>
    <m/>
    <n v="83"/>
    <s v="Non Résolu"/>
    <s v="Non trouvé"/>
    <s v="Non trouvé"/>
    <x v="1"/>
    <s v="Non trouvé"/>
  </r>
  <r>
    <x v="2"/>
    <s v="ANT-0102"/>
    <d v="2023-10-24T13:11:00"/>
    <m/>
    <n v="63"/>
    <s v="Résolu"/>
    <s v="Non trouvé"/>
    <s v="Non trouvé"/>
    <x v="1"/>
    <s v="Non trouvé"/>
  </r>
  <r>
    <x v="2"/>
    <s v="ANT-0102"/>
    <d v="2023-10-14T18:25:00"/>
    <m/>
    <n v="25"/>
    <s v="En Cours"/>
    <s v="Non trouvé"/>
    <s v="Non trouvé"/>
    <x v="1"/>
    <s v="Non trouvé"/>
  </r>
  <r>
    <x v="3"/>
    <s v="ANT-0103"/>
    <d v="2023-10-20T13:13:00"/>
    <m/>
    <n v="91"/>
    <s v="Résolu"/>
    <n v="-0.79459900000000006"/>
    <n v="26.775570999999999"/>
    <x v="2"/>
    <s v="Huawei"/>
  </r>
  <r>
    <x v="3"/>
    <s v="ANT-0103"/>
    <d v="2023-10-28T07:21:00"/>
    <m/>
    <n v="42"/>
    <s v="En Cours"/>
    <n v="-0.79459900000000006"/>
    <n v="26.775570999999999"/>
    <x v="2"/>
    <s v="Huawei"/>
  </r>
  <r>
    <x v="3"/>
    <s v="ANT-0103"/>
    <d v="2023-10-23T10:24:00"/>
    <m/>
    <n v="90"/>
    <s v="En Cours"/>
    <n v="-0.79459900000000006"/>
    <n v="26.775570999999999"/>
    <x v="2"/>
    <s v="Huawei"/>
  </r>
  <r>
    <x v="2"/>
    <s v="ANT-0104"/>
    <d v="2023-10-05T13:11:00"/>
    <m/>
    <n v="64"/>
    <s v="Non Résolu"/>
    <s v="Non trouvé"/>
    <s v="Non trouvé"/>
    <x v="1"/>
    <s v="Non trouvé"/>
  </r>
  <r>
    <x v="2"/>
    <s v="ANT-0104"/>
    <d v="2023-10-26T08:21:00"/>
    <m/>
    <n v="115"/>
    <s v="En Cours"/>
    <s v="Non trouvé"/>
    <s v="Non trouvé"/>
    <x v="1"/>
    <s v="Non trouvé"/>
  </r>
  <r>
    <x v="2"/>
    <s v="ANT-0104"/>
    <d v="2023-10-21T13:18:00"/>
    <m/>
    <n v="69"/>
    <s v="Résolu"/>
    <s v="Non trouvé"/>
    <s v="Non trouvé"/>
    <x v="1"/>
    <s v="Non trouvé"/>
  </r>
  <r>
    <x v="2"/>
    <s v="ANT-0105"/>
    <d v="2023-10-13T03:22:00"/>
    <m/>
    <n v="20"/>
    <s v="Résolu"/>
    <s v="Non trouvé"/>
    <s v="Non trouvé"/>
    <x v="1"/>
    <s v="Non trouvé"/>
  </r>
  <r>
    <x v="2"/>
    <s v="ANT-0105"/>
    <d v="2023-10-17T16:10:00"/>
    <m/>
    <n v="41"/>
    <s v="En Cours"/>
    <s v="Non trouvé"/>
    <s v="Non trouvé"/>
    <x v="1"/>
    <s v="Non trouvé"/>
  </r>
  <r>
    <x v="2"/>
    <s v="ANT-0105"/>
    <d v="2023-10-16T04:28:00"/>
    <m/>
    <n v="47"/>
    <s v="En Cours"/>
    <s v="Non trouvé"/>
    <s v="Non trouvé"/>
    <x v="1"/>
    <s v="Non trouvé"/>
  </r>
  <r>
    <x v="2"/>
    <s v="ANT-0105"/>
    <d v="2023-10-19T23:46:00"/>
    <m/>
    <n v="49"/>
    <s v="Non Résolu"/>
    <s v="Non trouvé"/>
    <s v="Non trouvé"/>
    <x v="1"/>
    <s v="Non trouvé"/>
  </r>
  <r>
    <x v="2"/>
    <s v="ANT-0105"/>
    <d v="2023-10-15T16:09:00"/>
    <m/>
    <n v="101"/>
    <s v="Résolu"/>
    <s v="Non trouvé"/>
    <s v="Non trouvé"/>
    <x v="1"/>
    <s v="Non trouvé"/>
  </r>
  <r>
    <x v="4"/>
    <s v="ANT-0106"/>
    <d v="2023-10-11T03:15:00"/>
    <m/>
    <n v="51"/>
    <s v="Non Résolu"/>
    <n v="-2.2876210000000001"/>
    <n v="27.582545"/>
    <x v="0"/>
    <s v="Huawei"/>
  </r>
  <r>
    <x v="4"/>
    <s v="ANT-0106"/>
    <d v="2023-10-15T19:36:00"/>
    <m/>
    <n v="113"/>
    <s v="Résolu"/>
    <n v="-2.2876210000000001"/>
    <n v="27.582545"/>
    <x v="0"/>
    <s v="Huawei"/>
  </r>
  <r>
    <x v="4"/>
    <s v="ANT-0106"/>
    <d v="2023-10-14T21:24:00"/>
    <m/>
    <n v="116"/>
    <s v="En Cours"/>
    <n v="-2.2876210000000001"/>
    <n v="27.582545"/>
    <x v="0"/>
    <s v="Huawei"/>
  </r>
  <r>
    <x v="4"/>
    <s v="ANT-0106"/>
    <d v="2023-10-16T00:22:00"/>
    <m/>
    <n v="38"/>
    <s v="En Cours"/>
    <n v="-2.2876210000000001"/>
    <n v="27.582545"/>
    <x v="0"/>
    <s v="Huawei"/>
  </r>
  <r>
    <x v="4"/>
    <s v="ANT-0106"/>
    <d v="2023-10-21T02:49:00"/>
    <m/>
    <n v="14"/>
    <s v="En Cours"/>
    <n v="-2.2876210000000001"/>
    <n v="27.582545"/>
    <x v="0"/>
    <s v="Huawei"/>
  </r>
  <r>
    <x v="4"/>
    <s v="ANT-0106"/>
    <d v="2023-10-28T03:55:00"/>
    <m/>
    <n v="81"/>
    <s v="En Cours"/>
    <n v="-2.2876210000000001"/>
    <n v="27.582545"/>
    <x v="0"/>
    <s v="Huawei"/>
  </r>
  <r>
    <x v="2"/>
    <s v="ANT-0107"/>
    <d v="2023-10-02T18:30:00"/>
    <m/>
    <n v="83"/>
    <s v="Résolu"/>
    <s v="Non trouvé"/>
    <s v="Non trouvé"/>
    <x v="1"/>
    <s v="Non trouvé"/>
  </r>
  <r>
    <x v="2"/>
    <s v="ANT-0107"/>
    <d v="2023-10-04T02:34:00"/>
    <m/>
    <n v="45"/>
    <s v="Non Résolu"/>
    <s v="Non trouvé"/>
    <s v="Non trouvé"/>
    <x v="1"/>
    <s v="Non trouvé"/>
  </r>
  <r>
    <x v="2"/>
    <s v="ANT-0107"/>
    <d v="2023-10-17T21:40:00"/>
    <m/>
    <n v="49"/>
    <s v="Résolu"/>
    <s v="Non trouvé"/>
    <s v="Non trouvé"/>
    <x v="1"/>
    <s v="Non trouvé"/>
  </r>
  <r>
    <x v="2"/>
    <s v="ANT-0107"/>
    <d v="2023-10-18T19:39:00"/>
    <m/>
    <n v="12"/>
    <s v="Non Résolu"/>
    <s v="Non trouvé"/>
    <s v="Non trouvé"/>
    <x v="1"/>
    <s v="Non trouvé"/>
  </r>
  <r>
    <x v="2"/>
    <s v="ANT-0107"/>
    <d v="2023-10-15T11:59:00"/>
    <m/>
    <n v="105"/>
    <s v="En Cours"/>
    <s v="Non trouvé"/>
    <s v="Non trouvé"/>
    <x v="1"/>
    <s v="Non trouvé"/>
  </r>
  <r>
    <x v="2"/>
    <s v="ANT-0108"/>
    <d v="2023-10-07T22:04:00"/>
    <m/>
    <n v="119"/>
    <s v="Non Résolu"/>
    <s v="Non trouvé"/>
    <s v="Non trouvé"/>
    <x v="1"/>
    <s v="Non trouvé"/>
  </r>
  <r>
    <x v="2"/>
    <s v="ANT-0108"/>
    <d v="2023-10-25T05:32:00"/>
    <m/>
    <n v="40"/>
    <s v="En Cours"/>
    <s v="Non trouvé"/>
    <s v="Non trouvé"/>
    <x v="1"/>
    <s v="Non trouvé"/>
  </r>
  <r>
    <x v="2"/>
    <s v="ANT-0108"/>
    <d v="2023-10-14T18:43:00"/>
    <m/>
    <n v="92"/>
    <s v="Résolu"/>
    <s v="Non trouvé"/>
    <s v="Non trouvé"/>
    <x v="1"/>
    <s v="Non trouvé"/>
  </r>
  <r>
    <x v="2"/>
    <s v="ANT-0108"/>
    <d v="2023-10-18T08:51:00"/>
    <m/>
    <n v="15"/>
    <s v="Résolu"/>
    <s v="Non trouvé"/>
    <s v="Non trouvé"/>
    <x v="1"/>
    <s v="Non trouvé"/>
  </r>
  <r>
    <x v="2"/>
    <s v="ANT-0108"/>
    <d v="2023-10-12T09:11:00"/>
    <m/>
    <n v="119"/>
    <s v="En Cours"/>
    <s v="Non trouvé"/>
    <s v="Non trouvé"/>
    <x v="1"/>
    <s v="Non trouvé"/>
  </r>
  <r>
    <x v="2"/>
    <s v="ANT-0109"/>
    <d v="2023-10-08T16:38:00"/>
    <m/>
    <n v="29"/>
    <s v="Non Résolu"/>
    <s v="Non trouvé"/>
    <s v="Non trouvé"/>
    <x v="1"/>
    <s v="Non trouvé"/>
  </r>
  <r>
    <x v="2"/>
    <s v="ANT-0109"/>
    <d v="2023-10-16T02:48:00"/>
    <m/>
    <n v="62"/>
    <s v="Non Résolu"/>
    <s v="Non trouvé"/>
    <s v="Non trouvé"/>
    <x v="1"/>
    <s v="Non trouvé"/>
  </r>
  <r>
    <x v="2"/>
    <s v="ANT-0109"/>
    <d v="2023-10-27T14:05:00"/>
    <m/>
    <n v="119"/>
    <s v="Non Résolu"/>
    <s v="Non trouvé"/>
    <s v="Non trouvé"/>
    <x v="1"/>
    <s v="Non trouvé"/>
  </r>
  <r>
    <x v="2"/>
    <s v="ANT-0109"/>
    <d v="2023-10-26T03:32:00"/>
    <m/>
    <n v="93"/>
    <s v="Non Résolu"/>
    <s v="Non trouvé"/>
    <s v="Non trouvé"/>
    <x v="1"/>
    <s v="Non trouvé"/>
  </r>
  <r>
    <x v="2"/>
    <s v="ANT-0109"/>
    <d v="2023-10-12T17:21:00"/>
    <m/>
    <n v="77"/>
    <s v="Résolu"/>
    <s v="Non trouvé"/>
    <s v="Non trouvé"/>
    <x v="1"/>
    <s v="Non trouvé"/>
  </r>
  <r>
    <x v="24"/>
    <s v="ANT-0110"/>
    <d v="2023-10-07T12:57:00"/>
    <m/>
    <n v="68"/>
    <s v="Résolu"/>
    <n v="-7.9425049999999997"/>
    <n v="24.111059000000001"/>
    <x v="3"/>
    <s v="ZTE"/>
  </r>
  <r>
    <x v="24"/>
    <s v="ANT-0110"/>
    <d v="2023-10-30T02:55:00"/>
    <m/>
    <n v="118"/>
    <s v="Non Résolu"/>
    <n v="-7.9425049999999997"/>
    <n v="24.111059000000001"/>
    <x v="3"/>
    <s v="ZTE"/>
  </r>
  <r>
    <x v="24"/>
    <s v="ANT-0110"/>
    <d v="2023-10-29T11:22:00"/>
    <m/>
    <n v="6"/>
    <s v="Résolu"/>
    <n v="-7.9425049999999997"/>
    <n v="24.111059000000001"/>
    <x v="3"/>
    <s v="ZTE"/>
  </r>
  <r>
    <x v="2"/>
    <s v="ANT-0111"/>
    <d v="2023-10-30T09:36:00"/>
    <m/>
    <n v="45"/>
    <s v="Non Résolu"/>
    <s v="Non trouvé"/>
    <s v="Non trouvé"/>
    <x v="1"/>
    <s v="Non trouvé"/>
  </r>
  <r>
    <x v="2"/>
    <s v="ANT-0111"/>
    <d v="2023-10-19T13:40:00"/>
    <m/>
    <n v="70"/>
    <s v="En Cours"/>
    <s v="Non trouvé"/>
    <s v="Non trouvé"/>
    <x v="1"/>
    <s v="Non trouvé"/>
  </r>
  <r>
    <x v="2"/>
    <s v="ANT-0111"/>
    <d v="2023-10-26T13:21:00"/>
    <m/>
    <n v="43"/>
    <s v="En Cours"/>
    <s v="Non trouvé"/>
    <s v="Non trouvé"/>
    <x v="1"/>
    <s v="Non trouvé"/>
  </r>
  <r>
    <x v="2"/>
    <s v="ANT-0111"/>
    <d v="2023-10-27T09:49:00"/>
    <m/>
    <n v="95"/>
    <s v="Non Résolu"/>
    <s v="Non trouvé"/>
    <s v="Non trouvé"/>
    <x v="1"/>
    <s v="Non trouvé"/>
  </r>
  <r>
    <x v="2"/>
    <s v="ANT-0111"/>
    <d v="2023-10-14T03:50:00"/>
    <m/>
    <n v="33"/>
    <s v="En Cours"/>
    <s v="Non trouvé"/>
    <s v="Non trouvé"/>
    <x v="1"/>
    <s v="Non trouvé"/>
  </r>
  <r>
    <x v="2"/>
    <s v="ANT-0111"/>
    <d v="2023-10-28T03:15:00"/>
    <m/>
    <n v="47"/>
    <s v="Non Résolu"/>
    <s v="Non trouvé"/>
    <s v="Non trouvé"/>
    <x v="1"/>
    <s v="Non trouvé"/>
  </r>
  <r>
    <x v="23"/>
    <s v="ANT-0112"/>
    <d v="2023-10-19T11:30:00"/>
    <m/>
    <n v="70"/>
    <s v="Non Résolu"/>
    <n v="-7.8417870000000001"/>
    <n v="14.730712"/>
    <x v="2"/>
    <s v="Nokia"/>
  </r>
  <r>
    <x v="23"/>
    <s v="ANT-0112"/>
    <d v="2023-10-21T04:58:00"/>
    <m/>
    <n v="102"/>
    <s v="En Cours"/>
    <n v="-7.8417870000000001"/>
    <n v="14.730712"/>
    <x v="2"/>
    <s v="Nokia"/>
  </r>
  <r>
    <x v="23"/>
    <s v="ANT-0112"/>
    <d v="2023-10-12T11:27:00"/>
    <m/>
    <n v="23"/>
    <s v="En Cours"/>
    <n v="-7.8417870000000001"/>
    <n v="14.730712"/>
    <x v="2"/>
    <s v="Nokia"/>
  </r>
  <r>
    <x v="2"/>
    <s v="ANT-0113"/>
    <d v="2023-10-30T17:48:00"/>
    <m/>
    <n v="105"/>
    <s v="En Cours"/>
    <s v="Non trouvé"/>
    <s v="Non trouvé"/>
    <x v="1"/>
    <s v="Non trouvé"/>
  </r>
  <r>
    <x v="2"/>
    <s v="ANT-0113"/>
    <d v="2023-10-24T01:58:00"/>
    <m/>
    <n v="98"/>
    <s v="En Cours"/>
    <s v="Non trouvé"/>
    <s v="Non trouvé"/>
    <x v="1"/>
    <s v="Non trouvé"/>
  </r>
  <r>
    <x v="2"/>
    <s v="ANT-0113"/>
    <d v="2023-10-08T17:08:00"/>
    <m/>
    <n v="95"/>
    <s v="En Cours"/>
    <s v="Non trouvé"/>
    <s v="Non trouvé"/>
    <x v="1"/>
    <s v="Non trouvé"/>
  </r>
  <r>
    <x v="2"/>
    <s v="ANT-0113"/>
    <d v="2023-10-31T18:38:00"/>
    <m/>
    <n v="27"/>
    <s v="En Cours"/>
    <s v="Non trouvé"/>
    <s v="Non trouvé"/>
    <x v="1"/>
    <s v="Non trouvé"/>
  </r>
  <r>
    <x v="2"/>
    <s v="ANT-0113"/>
    <d v="2023-10-21T03:49:00"/>
    <m/>
    <n v="70"/>
    <s v="En Cours"/>
    <s v="Non trouvé"/>
    <s v="Non trouvé"/>
    <x v="1"/>
    <s v="Non trouvé"/>
  </r>
  <r>
    <x v="2"/>
    <s v="ANT-0114"/>
    <d v="2023-10-30T22:18:00"/>
    <m/>
    <n v="48"/>
    <s v="En Cours"/>
    <s v="Non trouvé"/>
    <s v="Non trouvé"/>
    <x v="1"/>
    <s v="Non trouvé"/>
  </r>
  <r>
    <x v="2"/>
    <s v="ANT-0114"/>
    <d v="2023-10-13T16:23:00"/>
    <m/>
    <n v="72"/>
    <s v="Résolu"/>
    <s v="Non trouvé"/>
    <s v="Non trouvé"/>
    <x v="1"/>
    <s v="Non trouvé"/>
  </r>
  <r>
    <x v="2"/>
    <s v="ANT-0115"/>
    <d v="2023-10-28T07:55:00"/>
    <m/>
    <n v="28"/>
    <s v="Non Résolu"/>
    <s v="Non trouvé"/>
    <s v="Non trouvé"/>
    <x v="1"/>
    <s v="Non trouvé"/>
  </r>
  <r>
    <x v="2"/>
    <s v="ANT-0115"/>
    <d v="2023-10-27T09:15:00"/>
    <m/>
    <n v="107"/>
    <s v="Non Résolu"/>
    <s v="Non trouvé"/>
    <s v="Non trouvé"/>
    <x v="1"/>
    <s v="Non trouvé"/>
  </r>
  <r>
    <x v="2"/>
    <s v="ANT-0115"/>
    <d v="2023-10-30T16:17:00"/>
    <m/>
    <n v="65"/>
    <s v="Résolu"/>
    <s v="Non trouvé"/>
    <s v="Non trouvé"/>
    <x v="1"/>
    <s v="Non trouvé"/>
  </r>
  <r>
    <x v="2"/>
    <s v="ANT-0115"/>
    <d v="2023-10-02T10:15:00"/>
    <m/>
    <n v="49"/>
    <s v="Résolu"/>
    <s v="Non trouvé"/>
    <s v="Non trouvé"/>
    <x v="1"/>
    <s v="Non trouvé"/>
  </r>
  <r>
    <x v="2"/>
    <s v="ANT-0115"/>
    <d v="2023-10-24T11:51:00"/>
    <m/>
    <n v="75"/>
    <s v="Non Résolu"/>
    <s v="Non trouvé"/>
    <s v="Non trouvé"/>
    <x v="1"/>
    <s v="Non trouvé"/>
  </r>
  <r>
    <x v="2"/>
    <s v="ANT-0116"/>
    <d v="2023-10-04T03:47:00"/>
    <m/>
    <n v="25"/>
    <s v="Non Résolu"/>
    <s v="Non trouvé"/>
    <s v="Non trouvé"/>
    <x v="1"/>
    <s v="Non trouvé"/>
  </r>
  <r>
    <x v="2"/>
    <s v="ANT-0116"/>
    <d v="2023-10-28T18:37:00"/>
    <m/>
    <n v="76"/>
    <s v="Résolu"/>
    <s v="Non trouvé"/>
    <s v="Non trouvé"/>
    <x v="1"/>
    <s v="Non trouvé"/>
  </r>
  <r>
    <x v="2"/>
    <s v="ANT-0116"/>
    <d v="2023-10-22T02:17:00"/>
    <m/>
    <n v="55"/>
    <s v="Résolu"/>
    <s v="Non trouvé"/>
    <s v="Non trouvé"/>
    <x v="1"/>
    <s v="Non trouvé"/>
  </r>
  <r>
    <x v="2"/>
    <s v="ANT-0116"/>
    <d v="2023-10-17T20:07:00"/>
    <m/>
    <n v="96"/>
    <s v="En Cours"/>
    <s v="Non trouvé"/>
    <s v="Non trouvé"/>
    <x v="1"/>
    <s v="Non trouvé"/>
  </r>
  <r>
    <x v="2"/>
    <s v="ANT-0116"/>
    <d v="2023-10-26T15:57:00"/>
    <m/>
    <n v="58"/>
    <s v="En Cours"/>
    <s v="Non trouvé"/>
    <s v="Non trouvé"/>
    <x v="1"/>
    <s v="Non trouvé"/>
  </r>
  <r>
    <x v="2"/>
    <s v="ANT-0116"/>
    <d v="2023-10-02T10:59:00"/>
    <m/>
    <n v="7"/>
    <s v="Résolu"/>
    <s v="Non trouvé"/>
    <s v="Non trouvé"/>
    <x v="1"/>
    <s v="Non trouvé"/>
  </r>
  <r>
    <x v="18"/>
    <s v="ANT-0117"/>
    <d v="2023-10-27T14:58:00"/>
    <m/>
    <n v="118"/>
    <s v="Non Résolu"/>
    <n v="1.938083"/>
    <n v="28.25281"/>
    <x v="0"/>
    <s v="Nokia"/>
  </r>
  <r>
    <x v="18"/>
    <s v="ANT-0117"/>
    <d v="2023-10-22T12:04:00"/>
    <m/>
    <n v="97"/>
    <s v="Non Résolu"/>
    <n v="1.938083"/>
    <n v="28.25281"/>
    <x v="0"/>
    <s v="Nokia"/>
  </r>
  <r>
    <x v="2"/>
    <s v="ANT-0118"/>
    <d v="2023-10-20T14:33:00"/>
    <m/>
    <n v="93"/>
    <s v="En Cours"/>
    <s v="Non trouvé"/>
    <s v="Non trouvé"/>
    <x v="1"/>
    <s v="Non trouvé"/>
  </r>
  <r>
    <x v="2"/>
    <s v="ANT-0118"/>
    <d v="2023-10-17T13:53:00"/>
    <m/>
    <n v="79"/>
    <s v="Résolu"/>
    <s v="Non trouvé"/>
    <s v="Non trouvé"/>
    <x v="1"/>
    <s v="Non trouvé"/>
  </r>
  <r>
    <x v="2"/>
    <s v="ANT-0118"/>
    <d v="2023-10-24T16:41:00"/>
    <m/>
    <n v="20"/>
    <s v="Résolu"/>
    <s v="Non trouvé"/>
    <s v="Non trouvé"/>
    <x v="1"/>
    <s v="Non trouvé"/>
  </r>
  <r>
    <x v="2"/>
    <s v="ANT-0118"/>
    <d v="2023-10-10T20:27:00"/>
    <m/>
    <n v="93"/>
    <s v="Résolu"/>
    <s v="Non trouvé"/>
    <s v="Non trouvé"/>
    <x v="1"/>
    <s v="Non trouvé"/>
  </r>
  <r>
    <x v="2"/>
    <s v="ANT-0118"/>
    <d v="2023-10-15T01:03:00"/>
    <m/>
    <n v="70"/>
    <s v="En Cours"/>
    <s v="Non trouvé"/>
    <s v="Non trouvé"/>
    <x v="1"/>
    <s v="Non trouvé"/>
  </r>
  <r>
    <x v="2"/>
    <s v="ANT-0118"/>
    <d v="2023-10-06T11:23:00"/>
    <m/>
    <n v="101"/>
    <s v="En Cours"/>
    <s v="Non trouvé"/>
    <s v="Non trouvé"/>
    <x v="1"/>
    <s v="Non trouvé"/>
  </r>
  <r>
    <x v="2"/>
    <s v="ANT-0118"/>
    <d v="2023-10-10T03:03:00"/>
    <m/>
    <n v="24"/>
    <s v="En Cours"/>
    <s v="Non trouvé"/>
    <s v="Non trouvé"/>
    <x v="1"/>
    <s v="Non trouvé"/>
  </r>
  <r>
    <x v="2"/>
    <s v="ANT-0119"/>
    <d v="2023-10-18T08:47:00"/>
    <m/>
    <n v="46"/>
    <s v="En Cours"/>
    <s v="Non trouvé"/>
    <s v="Non trouvé"/>
    <x v="1"/>
    <s v="Non trouvé"/>
  </r>
  <r>
    <x v="2"/>
    <s v="ANT-0119"/>
    <d v="2023-10-22T20:19:00"/>
    <m/>
    <n v="16"/>
    <s v="Non Résolu"/>
    <s v="Non trouvé"/>
    <s v="Non trouvé"/>
    <x v="1"/>
    <s v="Non trouvé"/>
  </r>
  <r>
    <x v="2"/>
    <s v="ANT-0119"/>
    <d v="2023-10-14T03:08:00"/>
    <m/>
    <n v="95"/>
    <s v="Non Résolu"/>
    <s v="Non trouvé"/>
    <s v="Non trouvé"/>
    <x v="1"/>
    <s v="Non trouvé"/>
  </r>
  <r>
    <x v="2"/>
    <s v="ANT-0119"/>
    <d v="2023-10-11T18:27:00"/>
    <m/>
    <n v="22"/>
    <s v="Non Résolu"/>
    <s v="Non trouvé"/>
    <s v="Non trouvé"/>
    <x v="1"/>
    <s v="Non trouvé"/>
  </r>
  <r>
    <x v="17"/>
    <s v="ANT-0120"/>
    <d v="2023-10-04T19:27:00"/>
    <m/>
    <n v="14"/>
    <s v="Résolu"/>
    <n v="3.4676979999999999"/>
    <n v="13.459707"/>
    <x v="2"/>
    <s v="Huawei"/>
  </r>
  <r>
    <x v="17"/>
    <s v="ANT-0120"/>
    <d v="2023-10-22T06:23:00"/>
    <m/>
    <n v="104"/>
    <s v="Résolu"/>
    <n v="3.4676979999999999"/>
    <n v="13.459707"/>
    <x v="2"/>
    <s v="Huawei"/>
  </r>
  <r>
    <x v="4"/>
    <s v="ANT-0121"/>
    <d v="2023-10-14T10:17:00"/>
    <m/>
    <n v="88"/>
    <s v="Résolu"/>
    <n v="-7.3952039999999997"/>
    <n v="21.651043999999999"/>
    <x v="0"/>
    <s v="Huawei"/>
  </r>
  <r>
    <x v="4"/>
    <s v="ANT-0121"/>
    <d v="2023-10-11T21:54:00"/>
    <m/>
    <n v="80"/>
    <s v="Résolu"/>
    <n v="-7.3952039999999997"/>
    <n v="21.651043999999999"/>
    <x v="0"/>
    <s v="Huawei"/>
  </r>
  <r>
    <x v="14"/>
    <s v="ANT-0122"/>
    <d v="2023-10-20T02:26:00"/>
    <m/>
    <n v="14"/>
    <s v="En Cours"/>
    <n v="1.897178"/>
    <n v="23.902604"/>
    <x v="3"/>
    <s v="Nokia"/>
  </r>
  <r>
    <x v="14"/>
    <s v="ANT-0122"/>
    <d v="2023-10-03T07:46:00"/>
    <m/>
    <n v="46"/>
    <s v="En Cours"/>
    <n v="1.897178"/>
    <n v="23.902604"/>
    <x v="3"/>
    <s v="Nokia"/>
  </r>
  <r>
    <x v="14"/>
    <s v="ANT-0122"/>
    <d v="2023-10-19T16:38:00"/>
    <m/>
    <n v="35"/>
    <s v="En Cours"/>
    <n v="1.897178"/>
    <n v="23.902604"/>
    <x v="3"/>
    <s v="Nokia"/>
  </r>
  <r>
    <x v="14"/>
    <s v="ANT-0122"/>
    <d v="2023-10-06T11:19:00"/>
    <m/>
    <n v="117"/>
    <s v="En Cours"/>
    <n v="1.897178"/>
    <n v="23.902604"/>
    <x v="3"/>
    <s v="Nokia"/>
  </r>
  <r>
    <x v="4"/>
    <s v="ANT-0123"/>
    <d v="2023-10-12T17:56:00"/>
    <m/>
    <n v="52"/>
    <s v="Non Résolu"/>
    <n v="-1.6893210000000001"/>
    <n v="30.446543999999999"/>
    <x v="0"/>
    <s v="Huawei"/>
  </r>
  <r>
    <x v="4"/>
    <s v="ANT-0123"/>
    <d v="2023-10-13T01:54:00"/>
    <m/>
    <n v="96"/>
    <s v="Résolu"/>
    <n v="-1.6893210000000001"/>
    <n v="30.446543999999999"/>
    <x v="0"/>
    <s v="Huawei"/>
  </r>
  <r>
    <x v="4"/>
    <s v="ANT-0123"/>
    <d v="2023-10-15T01:37:00"/>
    <m/>
    <n v="53"/>
    <s v="Résolu"/>
    <n v="-1.6893210000000001"/>
    <n v="30.446543999999999"/>
    <x v="0"/>
    <s v="Huawei"/>
  </r>
  <r>
    <x v="4"/>
    <s v="ANT-0123"/>
    <d v="2023-10-03T17:13:00"/>
    <m/>
    <n v="107"/>
    <s v="En Cours"/>
    <n v="-1.6893210000000001"/>
    <n v="30.446543999999999"/>
    <x v="0"/>
    <s v="Huawei"/>
  </r>
  <r>
    <x v="2"/>
    <s v="ANT-0124"/>
    <d v="2023-10-11T06:29:00"/>
    <m/>
    <n v="36"/>
    <s v="Non Résolu"/>
    <s v="Non trouvé"/>
    <s v="Non trouvé"/>
    <x v="1"/>
    <s v="Non trouvé"/>
  </r>
  <r>
    <x v="2"/>
    <s v="ANT-0124"/>
    <d v="2023-10-06T02:39:00"/>
    <m/>
    <n v="9"/>
    <s v="Non Résolu"/>
    <s v="Non trouvé"/>
    <s v="Non trouvé"/>
    <x v="1"/>
    <s v="Non trouvé"/>
  </r>
  <r>
    <x v="2"/>
    <s v="ANT-0124"/>
    <d v="2023-10-28T17:23:00"/>
    <m/>
    <n v="46"/>
    <s v="Résolu"/>
    <s v="Non trouvé"/>
    <s v="Non trouvé"/>
    <x v="1"/>
    <s v="Non trouvé"/>
  </r>
  <r>
    <x v="2"/>
    <s v="ANT-0124"/>
    <d v="2023-10-17T06:24:00"/>
    <m/>
    <n v="27"/>
    <s v="Non Résolu"/>
    <s v="Non trouvé"/>
    <s v="Non trouvé"/>
    <x v="1"/>
    <s v="Non trouvé"/>
  </r>
  <r>
    <x v="2"/>
    <s v="ANT-0125"/>
    <d v="2023-10-29T12:17:00"/>
    <m/>
    <n v="108"/>
    <s v="Résolu"/>
    <s v="Non trouvé"/>
    <s v="Non trouvé"/>
    <x v="1"/>
    <s v="Non trouvé"/>
  </r>
  <r>
    <x v="2"/>
    <s v="ANT-0125"/>
    <d v="2023-10-24T16:02:00"/>
    <m/>
    <n v="86"/>
    <s v="En Cours"/>
    <s v="Non trouvé"/>
    <s v="Non trouvé"/>
    <x v="1"/>
    <s v="Non trouvé"/>
  </r>
  <r>
    <x v="2"/>
    <s v="ANT-0125"/>
    <d v="2023-10-14T05:52:00"/>
    <m/>
    <n v="73"/>
    <s v="En Cours"/>
    <s v="Non trouvé"/>
    <s v="Non trouvé"/>
    <x v="1"/>
    <s v="Non trouvé"/>
  </r>
  <r>
    <x v="2"/>
    <s v="ANT-0126"/>
    <d v="2023-10-08T03:29:00"/>
    <m/>
    <n v="16"/>
    <s v="Non Résolu"/>
    <s v="Non trouvé"/>
    <s v="Non trouvé"/>
    <x v="1"/>
    <s v="Non trouvé"/>
  </r>
  <r>
    <x v="2"/>
    <s v="ANT-0126"/>
    <d v="2023-10-27T23:57:00"/>
    <m/>
    <n v="80"/>
    <s v="Résolu"/>
    <s v="Non trouvé"/>
    <s v="Non trouvé"/>
    <x v="1"/>
    <s v="Non trouvé"/>
  </r>
  <r>
    <x v="2"/>
    <s v="ANT-0126"/>
    <d v="2023-10-15T02:45:00"/>
    <m/>
    <n v="48"/>
    <s v="En Cours"/>
    <s v="Non trouvé"/>
    <s v="Non trouvé"/>
    <x v="1"/>
    <s v="Non trouvé"/>
  </r>
  <r>
    <x v="2"/>
    <s v="ANT-0126"/>
    <d v="2023-10-31T00:48:00"/>
    <m/>
    <n v="51"/>
    <s v="Résolu"/>
    <s v="Non trouvé"/>
    <s v="Non trouvé"/>
    <x v="1"/>
    <s v="Non trouvé"/>
  </r>
  <r>
    <x v="2"/>
    <s v="ANT-0126"/>
    <d v="2023-10-10T23:55:00"/>
    <m/>
    <n v="103"/>
    <s v="Non Résolu"/>
    <s v="Non trouvé"/>
    <s v="Non trouvé"/>
    <x v="1"/>
    <s v="Non trouvé"/>
  </r>
  <r>
    <x v="2"/>
    <s v="ANT-0126"/>
    <d v="2023-10-15T18:35:00"/>
    <m/>
    <n v="90"/>
    <s v="En Cours"/>
    <s v="Non trouvé"/>
    <s v="Non trouvé"/>
    <x v="1"/>
    <s v="Non trouvé"/>
  </r>
  <r>
    <x v="2"/>
    <s v="ANT-0126"/>
    <d v="2023-10-12T21:46:00"/>
    <m/>
    <n v="24"/>
    <s v="Non Résolu"/>
    <s v="Non trouvé"/>
    <s v="Non trouvé"/>
    <x v="1"/>
    <s v="Non trouvé"/>
  </r>
  <r>
    <x v="2"/>
    <s v="ANT-0126"/>
    <d v="2023-10-31T07:52:00"/>
    <m/>
    <n v="116"/>
    <s v="Résolu"/>
    <s v="Non trouvé"/>
    <s v="Non trouvé"/>
    <x v="1"/>
    <s v="Non trouvé"/>
  </r>
  <r>
    <x v="2"/>
    <s v="ANT-0126"/>
    <d v="2023-10-08T12:05:00"/>
    <m/>
    <n v="62"/>
    <s v="Résolu"/>
    <s v="Non trouvé"/>
    <s v="Non trouvé"/>
    <x v="1"/>
    <s v="Non trouvé"/>
  </r>
  <r>
    <x v="2"/>
    <s v="ANT-0127"/>
    <d v="2023-10-01T12:16:00"/>
    <m/>
    <n v="54"/>
    <s v="Non Résolu"/>
    <s v="Non trouvé"/>
    <s v="Non trouvé"/>
    <x v="1"/>
    <s v="Non trouvé"/>
  </r>
  <r>
    <x v="2"/>
    <s v="ANT-0127"/>
    <d v="2023-10-28T03:28:00"/>
    <m/>
    <n v="84"/>
    <s v="Résolu"/>
    <s v="Non trouvé"/>
    <s v="Non trouvé"/>
    <x v="1"/>
    <s v="Non trouvé"/>
  </r>
  <r>
    <x v="2"/>
    <s v="ANT-0127"/>
    <d v="2023-10-26T14:57:00"/>
    <m/>
    <n v="45"/>
    <s v="En Cours"/>
    <s v="Non trouvé"/>
    <s v="Non trouvé"/>
    <x v="1"/>
    <s v="Non trouvé"/>
  </r>
  <r>
    <x v="2"/>
    <s v="ANT-0127"/>
    <d v="2023-10-03T05:17:00"/>
    <m/>
    <n v="92"/>
    <s v="Résolu"/>
    <s v="Non trouvé"/>
    <s v="Non trouvé"/>
    <x v="1"/>
    <s v="Non trouvé"/>
  </r>
  <r>
    <x v="2"/>
    <s v="ANT-0127"/>
    <d v="2023-10-18T00:40:00"/>
    <m/>
    <n v="61"/>
    <s v="Résolu"/>
    <s v="Non trouvé"/>
    <s v="Non trouvé"/>
    <x v="1"/>
    <s v="Non trouvé"/>
  </r>
  <r>
    <x v="2"/>
    <s v="ANT-0128"/>
    <d v="2023-10-24T23:47:00"/>
    <m/>
    <n v="111"/>
    <s v="Non Résolu"/>
    <s v="Non trouvé"/>
    <s v="Non trouvé"/>
    <x v="1"/>
    <s v="Non trouvé"/>
  </r>
  <r>
    <x v="2"/>
    <s v="ANT-0128"/>
    <d v="2023-10-13T15:25:00"/>
    <m/>
    <n v="75"/>
    <s v="En Cours"/>
    <s v="Non trouvé"/>
    <s v="Non trouvé"/>
    <x v="1"/>
    <s v="Non trouvé"/>
  </r>
  <r>
    <x v="2"/>
    <s v="ANT-0128"/>
    <d v="2023-10-08T09:42:00"/>
    <m/>
    <n v="68"/>
    <s v="Non Résolu"/>
    <s v="Non trouvé"/>
    <s v="Non trouvé"/>
    <x v="1"/>
    <s v="Non trouvé"/>
  </r>
  <r>
    <x v="2"/>
    <s v="ANT-0128"/>
    <d v="2023-10-04T15:39:00"/>
    <m/>
    <n v="106"/>
    <s v="Résolu"/>
    <s v="Non trouvé"/>
    <s v="Non trouvé"/>
    <x v="1"/>
    <s v="Non trouvé"/>
  </r>
  <r>
    <x v="2"/>
    <s v="ANT-0129"/>
    <d v="2023-10-19T07:00:00"/>
    <m/>
    <n v="51"/>
    <s v="Non Résolu"/>
    <s v="Non trouvé"/>
    <s v="Non trouvé"/>
    <x v="1"/>
    <s v="Non trouvé"/>
  </r>
  <r>
    <x v="2"/>
    <s v="ANT-0129"/>
    <d v="2023-10-20T23:45:00"/>
    <m/>
    <n v="48"/>
    <s v="Résolu"/>
    <s v="Non trouvé"/>
    <s v="Non trouvé"/>
    <x v="1"/>
    <s v="Non trouvé"/>
  </r>
  <r>
    <x v="2"/>
    <s v="ANT-0129"/>
    <d v="2023-10-15T02:43:00"/>
    <m/>
    <n v="41"/>
    <s v="Non Résolu"/>
    <s v="Non trouvé"/>
    <s v="Non trouvé"/>
    <x v="1"/>
    <s v="Non trouvé"/>
  </r>
  <r>
    <x v="2"/>
    <s v="ANT-0129"/>
    <d v="2023-10-10T11:06:00"/>
    <m/>
    <n v="88"/>
    <s v="En Cours"/>
    <s v="Non trouvé"/>
    <s v="Non trouvé"/>
    <x v="1"/>
    <s v="Non trouvé"/>
  </r>
  <r>
    <x v="2"/>
    <s v="ANT-0130"/>
    <d v="2023-10-13T23:10:00"/>
    <m/>
    <n v="68"/>
    <s v="Non Résolu"/>
    <s v="Non trouvé"/>
    <s v="Non trouvé"/>
    <x v="1"/>
    <s v="Non trouvé"/>
  </r>
  <r>
    <x v="2"/>
    <s v="ANT-0130"/>
    <d v="2023-10-29T19:00:00"/>
    <m/>
    <n v="41"/>
    <s v="En Cours"/>
    <s v="Non trouvé"/>
    <s v="Non trouvé"/>
    <x v="1"/>
    <s v="Non trouvé"/>
  </r>
  <r>
    <x v="2"/>
    <s v="ANT-0130"/>
    <d v="2023-10-04T22:54:00"/>
    <m/>
    <n v="102"/>
    <s v="Résolu"/>
    <s v="Non trouvé"/>
    <s v="Non trouvé"/>
    <x v="1"/>
    <s v="Non trouvé"/>
  </r>
  <r>
    <x v="17"/>
    <s v="ANT-0131"/>
    <d v="2023-10-11T14:25:00"/>
    <m/>
    <n v="47"/>
    <s v="En Cours"/>
    <n v="-9.3652239999999995"/>
    <n v="22.593423999999999"/>
    <x v="2"/>
    <s v="Nokia"/>
  </r>
  <r>
    <x v="17"/>
    <s v="ANT-0131"/>
    <d v="2023-10-21T21:27:00"/>
    <m/>
    <n v="92"/>
    <s v="Non Résolu"/>
    <n v="-9.3652239999999995"/>
    <n v="22.593423999999999"/>
    <x v="2"/>
    <s v="Nokia"/>
  </r>
  <r>
    <x v="17"/>
    <s v="ANT-0131"/>
    <d v="2023-10-23T04:18:00"/>
    <m/>
    <n v="92"/>
    <s v="Résolu"/>
    <n v="-9.3652239999999995"/>
    <n v="22.593423999999999"/>
    <x v="2"/>
    <s v="Nokia"/>
  </r>
  <r>
    <x v="20"/>
    <s v="ANT-0132"/>
    <d v="2023-10-30T17:43:00"/>
    <m/>
    <n v="117"/>
    <s v="En Cours"/>
    <n v="1.2691650000000001"/>
    <n v="18.789956"/>
    <x v="3"/>
    <s v="Nokia"/>
  </r>
  <r>
    <x v="20"/>
    <s v="ANT-0132"/>
    <d v="2023-10-19T18:42:00"/>
    <m/>
    <n v="52"/>
    <s v="Résolu"/>
    <n v="1.2691650000000001"/>
    <n v="18.789956"/>
    <x v="3"/>
    <s v="Nokia"/>
  </r>
  <r>
    <x v="2"/>
    <s v="ANT-0133"/>
    <d v="2023-10-11T13:20:00"/>
    <m/>
    <n v="65"/>
    <s v="En Cours"/>
    <s v="Non trouvé"/>
    <s v="Non trouvé"/>
    <x v="1"/>
    <s v="Non trouvé"/>
  </r>
  <r>
    <x v="2"/>
    <s v="ANT-0133"/>
    <d v="2023-10-06T04:24:00"/>
    <m/>
    <n v="41"/>
    <s v="Non Résolu"/>
    <s v="Non trouvé"/>
    <s v="Non trouvé"/>
    <x v="1"/>
    <s v="Non trouvé"/>
  </r>
  <r>
    <x v="25"/>
    <s v="ANT-0134"/>
    <d v="2023-10-21T20:06:00"/>
    <m/>
    <n v="22"/>
    <s v="En Cours"/>
    <n v="-10.963041"/>
    <n v="12.269857"/>
    <x v="0"/>
    <s v="Huawei"/>
  </r>
  <r>
    <x v="25"/>
    <s v="ANT-0134"/>
    <d v="2023-10-01T02:47:00"/>
    <m/>
    <n v="9"/>
    <s v="Résolu"/>
    <n v="-10.963041"/>
    <n v="12.269857"/>
    <x v="0"/>
    <s v="Huawei"/>
  </r>
  <r>
    <x v="2"/>
    <s v="ANT-0135"/>
    <d v="2023-10-31T01:37:00"/>
    <m/>
    <n v="95"/>
    <s v="En Cours"/>
    <s v="Non trouvé"/>
    <s v="Non trouvé"/>
    <x v="1"/>
    <s v="Non trouvé"/>
  </r>
  <r>
    <x v="2"/>
    <s v="ANT-0135"/>
    <d v="2023-10-23T04:45:00"/>
    <m/>
    <n v="115"/>
    <s v="Non Résolu"/>
    <s v="Non trouvé"/>
    <s v="Non trouvé"/>
    <x v="1"/>
    <s v="Non trouvé"/>
  </r>
  <r>
    <x v="2"/>
    <s v="ANT-0135"/>
    <d v="2023-10-27T20:15:00"/>
    <m/>
    <n v="98"/>
    <s v="Résolu"/>
    <s v="Non trouvé"/>
    <s v="Non trouvé"/>
    <x v="1"/>
    <s v="Non trouvé"/>
  </r>
  <r>
    <x v="2"/>
    <s v="ANT-0135"/>
    <d v="2023-10-18T13:42:00"/>
    <m/>
    <n v="102"/>
    <s v="Non Résolu"/>
    <s v="Non trouvé"/>
    <s v="Non trouvé"/>
    <x v="1"/>
    <s v="Non trouvé"/>
  </r>
  <r>
    <x v="21"/>
    <s v="ANT-0136"/>
    <d v="2023-10-11T12:17:00"/>
    <m/>
    <n v="82"/>
    <s v="Non Résolu"/>
    <n v="-9.3900009999999998"/>
    <n v="30.001517"/>
    <x v="3"/>
    <s v="Nokia"/>
  </r>
  <r>
    <x v="21"/>
    <s v="ANT-0136"/>
    <d v="2023-10-05T11:56:00"/>
    <m/>
    <n v="49"/>
    <s v="Résolu"/>
    <n v="-9.3900009999999998"/>
    <n v="30.001517"/>
    <x v="3"/>
    <s v="Nokia"/>
  </r>
  <r>
    <x v="21"/>
    <s v="ANT-0136"/>
    <d v="2023-10-07T00:39:00"/>
    <m/>
    <n v="25"/>
    <s v="Résolu"/>
    <n v="-9.3900009999999998"/>
    <n v="30.001517"/>
    <x v="3"/>
    <s v="Nokia"/>
  </r>
  <r>
    <x v="21"/>
    <s v="ANT-0136"/>
    <d v="2023-10-09T07:07:00"/>
    <m/>
    <n v="68"/>
    <s v="Non Résolu"/>
    <n v="-9.3900009999999998"/>
    <n v="30.001517"/>
    <x v="3"/>
    <s v="Nokia"/>
  </r>
  <r>
    <x v="21"/>
    <s v="ANT-0136"/>
    <d v="2023-10-31T23:57:00"/>
    <m/>
    <n v="17"/>
    <s v="Résolu"/>
    <n v="-9.3900009999999998"/>
    <n v="30.001517"/>
    <x v="3"/>
    <s v="Nokia"/>
  </r>
  <r>
    <x v="2"/>
    <s v="ANT-0137"/>
    <d v="2023-10-02T03:09:00"/>
    <m/>
    <n v="82"/>
    <s v="En Cours"/>
    <s v="Non trouvé"/>
    <s v="Non trouvé"/>
    <x v="1"/>
    <s v="Non trouvé"/>
  </r>
  <r>
    <x v="2"/>
    <s v="ANT-0137"/>
    <d v="2023-10-12T23:50:00"/>
    <m/>
    <n v="62"/>
    <s v="Résolu"/>
    <s v="Non trouvé"/>
    <s v="Non trouvé"/>
    <x v="1"/>
    <s v="Non trouvé"/>
  </r>
  <r>
    <x v="2"/>
    <s v="ANT-0137"/>
    <d v="2023-10-25T04:50:00"/>
    <m/>
    <n v="10"/>
    <s v="Non Résolu"/>
    <s v="Non trouvé"/>
    <s v="Non trouvé"/>
    <x v="1"/>
    <s v="Non trouvé"/>
  </r>
  <r>
    <x v="2"/>
    <s v="ANT-0137"/>
    <d v="2023-10-12T23:50:00"/>
    <m/>
    <n v="62"/>
    <s v="Résolu"/>
    <s v="Non trouvé"/>
    <s v="Non trouvé"/>
    <x v="1"/>
    <s v="Non trouvé"/>
  </r>
  <r>
    <x v="21"/>
    <s v="ANT-0138"/>
    <d v="2023-10-11T01:14:00"/>
    <m/>
    <n v="15"/>
    <s v="Non Résolu"/>
    <n v="-3.6233270000000002"/>
    <n v="25.915645999999999"/>
    <x v="3"/>
    <s v="Huawei"/>
  </r>
  <r>
    <x v="21"/>
    <s v="ANT-0138"/>
    <d v="2023-10-19T19:02:00"/>
    <m/>
    <n v="114"/>
    <s v="Résolu"/>
    <n v="-3.6233270000000002"/>
    <n v="25.915645999999999"/>
    <x v="3"/>
    <s v="Huawei"/>
  </r>
  <r>
    <x v="21"/>
    <s v="ANT-0138"/>
    <d v="2023-10-23T10:13:00"/>
    <m/>
    <n v="94"/>
    <s v="En Cours"/>
    <n v="-3.6233270000000002"/>
    <n v="25.915645999999999"/>
    <x v="3"/>
    <s v="Huawei"/>
  </r>
  <r>
    <x v="21"/>
    <s v="ANT-0138"/>
    <d v="2023-10-19T06:29:00"/>
    <m/>
    <n v="66"/>
    <s v="Non Résolu"/>
    <n v="-3.6233270000000002"/>
    <n v="25.915645999999999"/>
    <x v="3"/>
    <s v="Huawei"/>
  </r>
  <r>
    <x v="21"/>
    <s v="ANT-0138"/>
    <d v="2023-10-11T00:11:00"/>
    <m/>
    <n v="100"/>
    <s v="Résolu"/>
    <n v="-3.6233270000000002"/>
    <n v="25.915645999999999"/>
    <x v="3"/>
    <s v="Huawei"/>
  </r>
  <r>
    <x v="21"/>
    <s v="ANT-0138"/>
    <d v="2023-10-05T14:04:00"/>
    <m/>
    <n v="86"/>
    <s v="En Cours"/>
    <n v="-3.6233270000000002"/>
    <n v="25.915645999999999"/>
    <x v="3"/>
    <s v="Huawei"/>
  </r>
  <r>
    <x v="21"/>
    <s v="ANT-0138"/>
    <d v="2023-10-25T19:08:00"/>
    <m/>
    <n v="52"/>
    <s v="Résolu"/>
    <n v="-3.6233270000000002"/>
    <n v="25.915645999999999"/>
    <x v="3"/>
    <s v="Huawei"/>
  </r>
  <r>
    <x v="21"/>
    <s v="ANT-0138"/>
    <d v="2023-10-07T04:35:00"/>
    <m/>
    <n v="69"/>
    <s v="Non Résolu"/>
    <n v="-3.6233270000000002"/>
    <n v="25.915645999999999"/>
    <x v="3"/>
    <s v="Huawei"/>
  </r>
  <r>
    <x v="2"/>
    <s v="ANT-0139"/>
    <d v="2023-10-15T18:17:00"/>
    <m/>
    <n v="104"/>
    <s v="Non Résolu"/>
    <s v="Non trouvé"/>
    <s v="Non trouvé"/>
    <x v="1"/>
    <s v="Non trouvé"/>
  </r>
  <r>
    <x v="2"/>
    <s v="ANT-0139"/>
    <d v="2023-10-22T20:04:00"/>
    <m/>
    <n v="71"/>
    <s v="Non Résolu"/>
    <s v="Non trouvé"/>
    <s v="Non trouvé"/>
    <x v="1"/>
    <s v="Non trouvé"/>
  </r>
  <r>
    <x v="2"/>
    <s v="ANT-0139"/>
    <d v="2023-10-23T09:25:00"/>
    <m/>
    <n v="9"/>
    <s v="En Cours"/>
    <s v="Non trouvé"/>
    <s v="Non trouvé"/>
    <x v="1"/>
    <s v="Non trouvé"/>
  </r>
  <r>
    <x v="2"/>
    <s v="ANT-0139"/>
    <d v="2023-10-11T10:57:00"/>
    <m/>
    <n v="77"/>
    <s v="Non Résolu"/>
    <s v="Non trouvé"/>
    <s v="Non trouvé"/>
    <x v="1"/>
    <s v="Non trouvé"/>
  </r>
  <r>
    <x v="2"/>
    <s v="ANT-0139"/>
    <d v="2023-10-04T06:40:00"/>
    <m/>
    <n v="51"/>
    <s v="Non Résolu"/>
    <s v="Non trouvé"/>
    <s v="Non trouvé"/>
    <x v="1"/>
    <s v="Non trouvé"/>
  </r>
  <r>
    <x v="2"/>
    <s v="ANT-0139"/>
    <d v="2023-10-13T15:02:00"/>
    <m/>
    <n v="62"/>
    <s v="Non Résolu"/>
    <s v="Non trouvé"/>
    <s v="Non trouvé"/>
    <x v="1"/>
    <s v="Non trouvé"/>
  </r>
  <r>
    <x v="2"/>
    <s v="ANT-0140"/>
    <d v="2023-10-08T04:32:00"/>
    <m/>
    <n v="44"/>
    <s v="Non Résolu"/>
    <s v="Non trouvé"/>
    <s v="Non trouvé"/>
    <x v="1"/>
    <s v="Non trouvé"/>
  </r>
  <r>
    <x v="2"/>
    <s v="ANT-0140"/>
    <d v="2023-10-21T07:17:00"/>
    <m/>
    <n v="82"/>
    <s v="Non Résolu"/>
    <s v="Non trouvé"/>
    <s v="Non trouvé"/>
    <x v="1"/>
    <s v="Non trouvé"/>
  </r>
  <r>
    <x v="2"/>
    <s v="ANT-0140"/>
    <d v="2023-10-02T17:18:00"/>
    <m/>
    <n v="41"/>
    <s v="Non Résolu"/>
    <s v="Non trouvé"/>
    <s v="Non trouvé"/>
    <x v="1"/>
    <s v="Non trouvé"/>
  </r>
  <r>
    <x v="2"/>
    <s v="ANT-0140"/>
    <d v="2023-10-22T07:30:00"/>
    <m/>
    <n v="40"/>
    <s v="Résolu"/>
    <s v="Non trouvé"/>
    <s v="Non trouvé"/>
    <x v="1"/>
    <s v="Non trouvé"/>
  </r>
  <r>
    <x v="2"/>
    <s v="ANT-0140"/>
    <d v="2023-10-06T03:42:00"/>
    <m/>
    <n v="49"/>
    <s v="En Cours"/>
    <s v="Non trouvé"/>
    <s v="Non trouvé"/>
    <x v="1"/>
    <s v="Non trouvé"/>
  </r>
  <r>
    <x v="2"/>
    <s v="ANT-0140"/>
    <d v="2023-10-18T16:50:00"/>
    <m/>
    <n v="120"/>
    <s v="Non Résolu"/>
    <s v="Non trouvé"/>
    <s v="Non trouvé"/>
    <x v="1"/>
    <s v="Non trouvé"/>
  </r>
  <r>
    <x v="2"/>
    <s v="ANT-0140"/>
    <d v="2023-10-19T23:48:00"/>
    <m/>
    <n v="58"/>
    <s v="Résolu"/>
    <s v="Non trouvé"/>
    <s v="Non trouvé"/>
    <x v="1"/>
    <s v="Non trouvé"/>
  </r>
  <r>
    <x v="2"/>
    <s v="ANT-0141"/>
    <d v="2023-10-08T04:41:00"/>
    <m/>
    <n v="40"/>
    <s v="Non Résolu"/>
    <s v="Non trouvé"/>
    <s v="Non trouvé"/>
    <x v="1"/>
    <s v="Non trouvé"/>
  </r>
  <r>
    <x v="2"/>
    <s v="ANT-0141"/>
    <d v="2023-10-21T02:40:00"/>
    <m/>
    <n v="43"/>
    <s v="En Cours"/>
    <s v="Non trouvé"/>
    <s v="Non trouvé"/>
    <x v="1"/>
    <s v="Non trouvé"/>
  </r>
  <r>
    <x v="2"/>
    <s v="ANT-0141"/>
    <d v="2023-10-17T18:15:00"/>
    <m/>
    <n v="19"/>
    <s v="Résolu"/>
    <s v="Non trouvé"/>
    <s v="Non trouvé"/>
    <x v="1"/>
    <s v="Non trouvé"/>
  </r>
  <r>
    <x v="24"/>
    <s v="ANT-0142"/>
    <d v="2023-10-17T12:43:00"/>
    <m/>
    <n v="78"/>
    <s v="En Cours"/>
    <n v="-12.229338"/>
    <n v="29.587834999999998"/>
    <x v="0"/>
    <s v="Nokia"/>
  </r>
  <r>
    <x v="24"/>
    <s v="ANT-0142"/>
    <d v="2023-10-15T14:43:00"/>
    <m/>
    <n v="25"/>
    <s v="Résolu"/>
    <n v="-12.229338"/>
    <n v="29.587834999999998"/>
    <x v="0"/>
    <s v="Nokia"/>
  </r>
  <r>
    <x v="24"/>
    <s v="ANT-0142"/>
    <d v="2023-10-02T11:14:00"/>
    <m/>
    <n v="63"/>
    <s v="Résolu"/>
    <n v="-12.229338"/>
    <n v="29.587834999999998"/>
    <x v="0"/>
    <s v="Nokia"/>
  </r>
  <r>
    <x v="24"/>
    <s v="ANT-0142"/>
    <d v="2023-10-01T16:12:00"/>
    <m/>
    <n v="109"/>
    <s v="Résolu"/>
    <n v="-12.229338"/>
    <n v="29.587834999999998"/>
    <x v="0"/>
    <s v="Nokia"/>
  </r>
  <r>
    <x v="24"/>
    <s v="ANT-0142"/>
    <d v="2023-10-17T20:28:00"/>
    <m/>
    <n v="30"/>
    <s v="Résolu"/>
    <n v="-12.229338"/>
    <n v="29.587834999999998"/>
    <x v="0"/>
    <s v="Nokia"/>
  </r>
  <r>
    <x v="24"/>
    <s v="ANT-0142"/>
    <d v="2023-10-07T22:15:00"/>
    <m/>
    <n v="44"/>
    <s v="En Cours"/>
    <n v="-12.229338"/>
    <n v="29.587834999999998"/>
    <x v="0"/>
    <s v="Nokia"/>
  </r>
  <r>
    <x v="24"/>
    <s v="ANT-0142"/>
    <d v="2023-10-17T17:53:00"/>
    <m/>
    <n v="87"/>
    <s v="En Cours"/>
    <n v="-12.229338"/>
    <n v="29.587834999999998"/>
    <x v="0"/>
    <s v="Nokia"/>
  </r>
  <r>
    <x v="18"/>
    <s v="ANT-0143"/>
    <d v="2023-10-08T02:28:00"/>
    <m/>
    <n v="40"/>
    <s v="Résolu"/>
    <n v="4.8228650000000002"/>
    <n v="30.555627000000001"/>
    <x v="0"/>
    <s v="Huawei"/>
  </r>
  <r>
    <x v="18"/>
    <s v="ANT-0143"/>
    <d v="2023-10-02T05:24:00"/>
    <m/>
    <n v="71"/>
    <s v="En Cours"/>
    <n v="4.8228650000000002"/>
    <n v="30.555627000000001"/>
    <x v="0"/>
    <s v="Huawei"/>
  </r>
  <r>
    <x v="18"/>
    <s v="ANT-0143"/>
    <d v="2023-10-07T16:16:00"/>
    <m/>
    <n v="90"/>
    <s v="En Cours"/>
    <n v="4.8228650000000002"/>
    <n v="30.555627000000001"/>
    <x v="0"/>
    <s v="Huawei"/>
  </r>
  <r>
    <x v="18"/>
    <s v="ANT-0143"/>
    <d v="2023-10-27T00:18:00"/>
    <m/>
    <n v="109"/>
    <s v="Non Résolu"/>
    <n v="4.8228650000000002"/>
    <n v="30.555627000000001"/>
    <x v="0"/>
    <s v="Huawei"/>
  </r>
  <r>
    <x v="18"/>
    <s v="ANT-0143"/>
    <d v="2023-10-24T09:53:00"/>
    <m/>
    <n v="7"/>
    <s v="Non Résolu"/>
    <n v="4.8228650000000002"/>
    <n v="30.555627000000001"/>
    <x v="0"/>
    <s v="Huawei"/>
  </r>
  <r>
    <x v="18"/>
    <s v="ANT-0143"/>
    <d v="2023-10-22T08:23:00"/>
    <m/>
    <n v="17"/>
    <s v="Non Résolu"/>
    <n v="4.8228650000000002"/>
    <n v="30.555627000000001"/>
    <x v="0"/>
    <s v="Huawei"/>
  </r>
  <r>
    <x v="18"/>
    <s v="ANT-0143"/>
    <d v="2023-10-29T05:46:00"/>
    <m/>
    <n v="22"/>
    <s v="En Cours"/>
    <n v="4.8228650000000002"/>
    <n v="30.555627000000001"/>
    <x v="0"/>
    <s v="Huawei"/>
  </r>
  <r>
    <x v="24"/>
    <s v="ANT-0144"/>
    <d v="2023-10-25T02:00:00"/>
    <m/>
    <n v="92"/>
    <s v="Résolu"/>
    <n v="-12.824638999999999"/>
    <n v="24.407249"/>
    <x v="2"/>
    <s v="Huawei"/>
  </r>
  <r>
    <x v="24"/>
    <s v="ANT-0144"/>
    <d v="2023-10-12T06:43:00"/>
    <m/>
    <n v="75"/>
    <s v="En Cours"/>
    <n v="-12.824638999999999"/>
    <n v="24.407249"/>
    <x v="2"/>
    <s v="Huawei"/>
  </r>
  <r>
    <x v="24"/>
    <s v="ANT-0144"/>
    <d v="2023-10-03T15:50:00"/>
    <m/>
    <n v="104"/>
    <s v="Non Résolu"/>
    <n v="-12.824638999999999"/>
    <n v="24.407249"/>
    <x v="2"/>
    <s v="Huawei"/>
  </r>
  <r>
    <x v="24"/>
    <s v="ANT-0144"/>
    <d v="2023-10-14T00:29:00"/>
    <m/>
    <n v="68"/>
    <s v="Résolu"/>
    <n v="-12.824638999999999"/>
    <n v="24.407249"/>
    <x v="2"/>
    <s v="Huawei"/>
  </r>
  <r>
    <x v="24"/>
    <s v="ANT-0144"/>
    <d v="2023-10-12T17:59:00"/>
    <m/>
    <n v="32"/>
    <s v="Résolu"/>
    <n v="-12.824638999999999"/>
    <n v="24.407249"/>
    <x v="2"/>
    <s v="Huawei"/>
  </r>
  <r>
    <x v="2"/>
    <s v="ANT-0145"/>
    <d v="2023-10-06T19:36:00"/>
    <m/>
    <n v="111"/>
    <s v="Non Résolu"/>
    <s v="Non trouvé"/>
    <s v="Non trouvé"/>
    <x v="1"/>
    <s v="Non trouvé"/>
  </r>
  <r>
    <x v="2"/>
    <s v="ANT-0145"/>
    <d v="2023-10-09T19:51:00"/>
    <m/>
    <n v="39"/>
    <s v="Résolu"/>
    <s v="Non trouvé"/>
    <s v="Non trouvé"/>
    <x v="1"/>
    <s v="Non trouvé"/>
  </r>
  <r>
    <x v="2"/>
    <s v="ANT-0145"/>
    <d v="2023-10-11T11:44:00"/>
    <m/>
    <n v="117"/>
    <s v="Résolu"/>
    <s v="Non trouvé"/>
    <s v="Non trouvé"/>
    <x v="1"/>
    <s v="Non trouvé"/>
  </r>
  <r>
    <x v="2"/>
    <s v="ANT-0145"/>
    <d v="2023-10-23T04:40:00"/>
    <m/>
    <n v="68"/>
    <s v="Non Résolu"/>
    <s v="Non trouvé"/>
    <s v="Non trouvé"/>
    <x v="1"/>
    <s v="Non trouvé"/>
  </r>
  <r>
    <x v="2"/>
    <s v="ANT-0145"/>
    <d v="2023-10-24T21:16:00"/>
    <m/>
    <n v="66"/>
    <s v="Non Résolu"/>
    <s v="Non trouvé"/>
    <s v="Non trouvé"/>
    <x v="1"/>
    <s v="Non trouvé"/>
  </r>
  <r>
    <x v="2"/>
    <s v="ANT-0145"/>
    <d v="2023-10-29T02:20:00"/>
    <m/>
    <n v="80"/>
    <s v="Non Résolu"/>
    <s v="Non trouvé"/>
    <s v="Non trouvé"/>
    <x v="1"/>
    <s v="Non trouvé"/>
  </r>
  <r>
    <x v="2"/>
    <s v="ANT-0145"/>
    <d v="2023-10-23T20:21:00"/>
    <m/>
    <n v="51"/>
    <s v="En Cours"/>
    <s v="Non trouvé"/>
    <s v="Non trouvé"/>
    <x v="1"/>
    <s v="Non trouvé"/>
  </r>
  <r>
    <x v="2"/>
    <s v="ANT-0145"/>
    <d v="2023-10-08T13:40:00"/>
    <m/>
    <n v="26"/>
    <s v="Non Résolu"/>
    <s v="Non trouvé"/>
    <s v="Non trouvé"/>
    <x v="1"/>
    <s v="Non trouvé"/>
  </r>
  <r>
    <x v="2"/>
    <s v="ANT-0146"/>
    <d v="2023-10-14T20:36:00"/>
    <m/>
    <n v="30"/>
    <s v="Non Résolu"/>
    <s v="Non trouvé"/>
    <s v="Non trouvé"/>
    <x v="1"/>
    <s v="Non trouvé"/>
  </r>
  <r>
    <x v="2"/>
    <s v="ANT-0146"/>
    <d v="2023-10-16T08:46:00"/>
    <m/>
    <n v="63"/>
    <s v="Résolu"/>
    <s v="Non trouvé"/>
    <s v="Non trouvé"/>
    <x v="1"/>
    <s v="Non trouvé"/>
  </r>
  <r>
    <x v="2"/>
    <s v="ANT-0146"/>
    <d v="2023-10-28T18:27:00"/>
    <m/>
    <n v="51"/>
    <s v="Résolu"/>
    <s v="Non trouvé"/>
    <s v="Non trouvé"/>
    <x v="1"/>
    <s v="Non trouvé"/>
  </r>
  <r>
    <x v="10"/>
    <s v="ANT-0147"/>
    <d v="2023-10-23T12:41:00"/>
    <m/>
    <n v="78"/>
    <s v="Résolu"/>
    <n v="4.8689660000000003"/>
    <n v="25.112373000000002"/>
    <x v="3"/>
    <s v="Huawei"/>
  </r>
  <r>
    <x v="10"/>
    <s v="ANT-0147"/>
    <d v="2023-10-12T07:36:00"/>
    <m/>
    <n v="96"/>
    <s v="Résolu"/>
    <n v="4.8689660000000003"/>
    <n v="25.112373000000002"/>
    <x v="3"/>
    <s v="Huawei"/>
  </r>
  <r>
    <x v="2"/>
    <s v="ANT-0148"/>
    <d v="2023-10-11T02:32:00"/>
    <m/>
    <n v="9"/>
    <s v="Résolu"/>
    <s v="Non trouvé"/>
    <s v="Non trouvé"/>
    <x v="1"/>
    <s v="Non trouvé"/>
  </r>
  <r>
    <x v="2"/>
    <s v="ANT-0148"/>
    <d v="2023-10-16T06:34:00"/>
    <m/>
    <n v="24"/>
    <s v="Résolu"/>
    <s v="Non trouvé"/>
    <s v="Non trouvé"/>
    <x v="1"/>
    <s v="Non trouvé"/>
  </r>
  <r>
    <x v="2"/>
    <s v="ANT-0148"/>
    <d v="2023-10-11T03:29:00"/>
    <m/>
    <n v="116"/>
    <s v="Résolu"/>
    <s v="Non trouvé"/>
    <s v="Non trouvé"/>
    <x v="1"/>
    <s v="Non trouvé"/>
  </r>
  <r>
    <x v="2"/>
    <s v="ANT-0148"/>
    <d v="2023-10-03T02:05:00"/>
    <m/>
    <n v="22"/>
    <s v="Résolu"/>
    <s v="Non trouvé"/>
    <s v="Non trouvé"/>
    <x v="1"/>
    <s v="Non trouvé"/>
  </r>
  <r>
    <x v="2"/>
    <s v="ANT-0148"/>
    <d v="2023-10-21T19:20:00"/>
    <m/>
    <n v="83"/>
    <s v="Non Résolu"/>
    <s v="Non trouvé"/>
    <s v="Non trouvé"/>
    <x v="1"/>
    <s v="Non trouvé"/>
  </r>
  <r>
    <x v="2"/>
    <s v="ANT-0148"/>
    <d v="2023-10-08T04:09:00"/>
    <m/>
    <n v="103"/>
    <s v="Résolu"/>
    <s v="Non trouvé"/>
    <s v="Non trouvé"/>
    <x v="1"/>
    <s v="Non trouvé"/>
  </r>
  <r>
    <x v="25"/>
    <s v="ANT-0149"/>
    <d v="2023-10-29T17:05:00"/>
    <m/>
    <n v="9"/>
    <s v="Résolu"/>
    <n v="-9.8995180000000005"/>
    <n v="24.156687999999999"/>
    <x v="0"/>
    <s v="Ericsson"/>
  </r>
  <r>
    <x v="25"/>
    <s v="ANT-0149"/>
    <d v="2023-10-26T23:10:00"/>
    <m/>
    <n v="95"/>
    <s v="Non Résolu"/>
    <n v="-9.8995180000000005"/>
    <n v="24.156687999999999"/>
    <x v="0"/>
    <s v="Ericsson"/>
  </r>
  <r>
    <x v="25"/>
    <s v="ANT-0149"/>
    <d v="2023-10-31T04:43:00"/>
    <m/>
    <n v="92"/>
    <s v="Résolu"/>
    <n v="-9.8995180000000005"/>
    <n v="24.156687999999999"/>
    <x v="0"/>
    <s v="Ericsson"/>
  </r>
  <r>
    <x v="22"/>
    <s v="ANT-0150"/>
    <d v="2023-10-07T16:30:00"/>
    <m/>
    <n v="46"/>
    <s v="En Cours"/>
    <n v="-1.7476179999999999"/>
    <n v="18.129401000000001"/>
    <x v="0"/>
    <s v="Ericsson"/>
  </r>
  <r>
    <x v="22"/>
    <s v="ANT-0150"/>
    <d v="2023-10-11T10:42:00"/>
    <m/>
    <n v="10"/>
    <s v="Résolu"/>
    <n v="-1.7476179999999999"/>
    <n v="18.129401000000001"/>
    <x v="0"/>
    <s v="Ericsson"/>
  </r>
  <r>
    <x v="22"/>
    <s v="ANT-0150"/>
    <d v="2023-10-19T06:52:00"/>
    <m/>
    <n v="23"/>
    <s v="En Cours"/>
    <n v="-1.7476179999999999"/>
    <n v="18.129401000000001"/>
    <x v="0"/>
    <s v="Ericsson"/>
  </r>
  <r>
    <x v="8"/>
    <s v="ANT-0151"/>
    <d v="2023-10-18T04:27:00"/>
    <m/>
    <n v="68"/>
    <s v="Non Résolu"/>
    <n v="-4.9108280000000004"/>
    <n v="17.670389"/>
    <x v="2"/>
    <s v="ZTE"/>
  </r>
  <r>
    <x v="8"/>
    <s v="ANT-0151"/>
    <d v="2023-10-27T02:25:00"/>
    <m/>
    <n v="41"/>
    <s v="En Cours"/>
    <n v="-4.9108280000000004"/>
    <n v="17.670389"/>
    <x v="2"/>
    <s v="ZTE"/>
  </r>
  <r>
    <x v="8"/>
    <s v="ANT-0151"/>
    <d v="2023-10-30T23:03:00"/>
    <m/>
    <n v="65"/>
    <s v="Résolu"/>
    <n v="-4.9108280000000004"/>
    <n v="17.670389"/>
    <x v="2"/>
    <s v="ZTE"/>
  </r>
  <r>
    <x v="8"/>
    <s v="ANT-0151"/>
    <d v="2023-10-03T16:41:00"/>
    <m/>
    <n v="38"/>
    <s v="Non Résolu"/>
    <n v="-4.9108280000000004"/>
    <n v="17.670389"/>
    <x v="2"/>
    <s v="ZTE"/>
  </r>
  <r>
    <x v="2"/>
    <s v="ANT-0152"/>
    <d v="2023-10-26T17:06:00"/>
    <m/>
    <n v="36"/>
    <s v="En Cours"/>
    <s v="Non trouvé"/>
    <s v="Non trouvé"/>
    <x v="1"/>
    <s v="Non trouvé"/>
  </r>
  <r>
    <x v="2"/>
    <s v="ANT-0152"/>
    <d v="2023-10-21T11:06:00"/>
    <m/>
    <n v="36"/>
    <s v="Résolu"/>
    <s v="Non trouvé"/>
    <s v="Non trouvé"/>
    <x v="1"/>
    <s v="Non trouvé"/>
  </r>
  <r>
    <x v="2"/>
    <s v="ANT-0152"/>
    <d v="2023-10-17T16:12:00"/>
    <m/>
    <n v="28"/>
    <s v="Résolu"/>
    <s v="Non trouvé"/>
    <s v="Non trouvé"/>
    <x v="1"/>
    <s v="Non trouvé"/>
  </r>
  <r>
    <x v="2"/>
    <s v="ANT-0152"/>
    <d v="2023-10-10T08:46:00"/>
    <m/>
    <n v="6"/>
    <s v="Résolu"/>
    <s v="Non trouvé"/>
    <s v="Non trouvé"/>
    <x v="1"/>
    <s v="Non trouvé"/>
  </r>
  <r>
    <x v="0"/>
    <s v="ANT-0153"/>
    <d v="2023-10-16T00:07:00"/>
    <m/>
    <n v="51"/>
    <s v="En Cours"/>
    <n v="0.94539899999999999"/>
    <n v="14.401821999999999"/>
    <x v="2"/>
    <s v="Nokia"/>
  </r>
  <r>
    <x v="0"/>
    <s v="ANT-0153"/>
    <d v="2023-10-23T12:17:00"/>
    <m/>
    <n v="20"/>
    <s v="En Cours"/>
    <n v="0.94539899999999999"/>
    <n v="14.401821999999999"/>
    <x v="2"/>
    <s v="Nokia"/>
  </r>
  <r>
    <x v="0"/>
    <s v="ANT-0153"/>
    <d v="2023-10-28T13:02:00"/>
    <m/>
    <n v="120"/>
    <s v="En Cours"/>
    <n v="0.94539899999999999"/>
    <n v="14.401821999999999"/>
    <x v="2"/>
    <s v="Nokia"/>
  </r>
  <r>
    <x v="0"/>
    <s v="ANT-0153"/>
    <d v="2023-10-10T21:34:00"/>
    <m/>
    <n v="58"/>
    <s v="Résolu"/>
    <n v="0.94539899999999999"/>
    <n v="14.401821999999999"/>
    <x v="2"/>
    <s v="Nokia"/>
  </r>
  <r>
    <x v="0"/>
    <s v="ANT-0153"/>
    <d v="2023-10-26T11:14:00"/>
    <m/>
    <n v="71"/>
    <s v="Non Résolu"/>
    <n v="0.94539899999999999"/>
    <n v="14.401821999999999"/>
    <x v="2"/>
    <s v="Nokia"/>
  </r>
  <r>
    <x v="0"/>
    <s v="ANT-0153"/>
    <d v="2023-10-09T01:08:00"/>
    <m/>
    <n v="66"/>
    <s v="Non Résolu"/>
    <n v="0.94539899999999999"/>
    <n v="14.401821999999999"/>
    <x v="2"/>
    <s v="Nokia"/>
  </r>
  <r>
    <x v="0"/>
    <s v="ANT-0153"/>
    <d v="2023-10-07T10:38:00"/>
    <m/>
    <n v="66"/>
    <s v="Résolu"/>
    <n v="0.94539899999999999"/>
    <n v="14.401821999999999"/>
    <x v="2"/>
    <s v="Nokia"/>
  </r>
  <r>
    <x v="0"/>
    <s v="ANT-0153"/>
    <d v="2023-10-31T06:21:00"/>
    <m/>
    <n v="118"/>
    <s v="Résolu"/>
    <n v="0.94539899999999999"/>
    <n v="14.401821999999999"/>
    <x v="2"/>
    <s v="Nokia"/>
  </r>
  <r>
    <x v="8"/>
    <s v="ANT-0154"/>
    <d v="2023-10-02T07:56:00"/>
    <m/>
    <n v="100"/>
    <s v="Non Résolu"/>
    <n v="-10.977309"/>
    <n v="12.408281000000001"/>
    <x v="2"/>
    <s v="ZTE"/>
  </r>
  <r>
    <x v="8"/>
    <s v="ANT-0154"/>
    <d v="2023-10-05T23:59:00"/>
    <m/>
    <n v="91"/>
    <s v="Non Résolu"/>
    <n v="-10.977309"/>
    <n v="12.408281000000001"/>
    <x v="2"/>
    <s v="ZTE"/>
  </r>
  <r>
    <x v="8"/>
    <s v="ANT-0154"/>
    <d v="2023-10-11T23:30:00"/>
    <m/>
    <n v="97"/>
    <s v="Non Résolu"/>
    <n v="-10.977309"/>
    <n v="12.408281000000001"/>
    <x v="2"/>
    <s v="ZTE"/>
  </r>
  <r>
    <x v="8"/>
    <s v="ANT-0154"/>
    <d v="2023-10-05T18:13:00"/>
    <m/>
    <n v="103"/>
    <s v="Non Résolu"/>
    <n v="-10.977309"/>
    <n v="12.408281000000001"/>
    <x v="2"/>
    <s v="ZTE"/>
  </r>
  <r>
    <x v="2"/>
    <s v="ANT-0155"/>
    <d v="2023-10-09T05:47:00"/>
    <m/>
    <n v="20"/>
    <s v="Non Résolu"/>
    <s v="Non trouvé"/>
    <s v="Non trouvé"/>
    <x v="1"/>
    <s v="Non trouvé"/>
  </r>
  <r>
    <x v="2"/>
    <s v="ANT-0155"/>
    <d v="2023-10-15T17:45:00"/>
    <m/>
    <n v="30"/>
    <s v="Résolu"/>
    <s v="Non trouvé"/>
    <s v="Non trouvé"/>
    <x v="1"/>
    <s v="Non trouvé"/>
  </r>
  <r>
    <x v="2"/>
    <s v="ANT-0155"/>
    <d v="2023-10-10T07:14:00"/>
    <m/>
    <n v="72"/>
    <s v="Non Résolu"/>
    <s v="Non trouvé"/>
    <s v="Non trouvé"/>
    <x v="1"/>
    <s v="Non trouvé"/>
  </r>
  <r>
    <x v="2"/>
    <s v="ANT-0155"/>
    <d v="2023-10-27T18:58:00"/>
    <m/>
    <n v="84"/>
    <s v="Non Résolu"/>
    <s v="Non trouvé"/>
    <s v="Non trouvé"/>
    <x v="1"/>
    <s v="Non trouvé"/>
  </r>
  <r>
    <x v="2"/>
    <s v="ANT-0155"/>
    <d v="2023-10-27T04:40:00"/>
    <m/>
    <n v="89"/>
    <s v="Résolu"/>
    <s v="Non trouvé"/>
    <s v="Non trouvé"/>
    <x v="1"/>
    <s v="Non trouvé"/>
  </r>
  <r>
    <x v="2"/>
    <s v="ANT-0157"/>
    <d v="2023-10-31T01:28:00"/>
    <m/>
    <n v="36"/>
    <s v="Non Résolu"/>
    <s v="Non trouvé"/>
    <s v="Non trouvé"/>
    <x v="1"/>
    <s v="Non trouvé"/>
  </r>
  <r>
    <x v="2"/>
    <s v="ANT-0158"/>
    <d v="2023-10-30T03:55:00"/>
    <m/>
    <n v="86"/>
    <s v="En Cours"/>
    <s v="Non trouvé"/>
    <s v="Non trouvé"/>
    <x v="1"/>
    <s v="Non trouvé"/>
  </r>
  <r>
    <x v="2"/>
    <s v="ANT-0158"/>
    <d v="2023-10-02T08:24:00"/>
    <m/>
    <n v="66"/>
    <s v="En Cours"/>
    <s v="Non trouvé"/>
    <s v="Non trouvé"/>
    <x v="1"/>
    <s v="Non trouvé"/>
  </r>
  <r>
    <x v="2"/>
    <s v="ANT-0158"/>
    <d v="2023-10-15T22:19:00"/>
    <m/>
    <n v="83"/>
    <s v="En Cours"/>
    <s v="Non trouvé"/>
    <s v="Non trouvé"/>
    <x v="1"/>
    <s v="Non trouvé"/>
  </r>
  <r>
    <x v="2"/>
    <s v="ANT-0158"/>
    <d v="2023-10-06T02:28:00"/>
    <m/>
    <n v="24"/>
    <s v="Résolu"/>
    <s v="Non trouvé"/>
    <s v="Non trouvé"/>
    <x v="1"/>
    <s v="Non trouvé"/>
  </r>
  <r>
    <x v="2"/>
    <s v="ANT-0158"/>
    <d v="2023-10-11T07:21:00"/>
    <m/>
    <n v="87"/>
    <s v="En Cours"/>
    <s v="Non trouvé"/>
    <s v="Non trouvé"/>
    <x v="1"/>
    <s v="Non trouvé"/>
  </r>
  <r>
    <x v="2"/>
    <s v="ANT-0158"/>
    <d v="2023-10-18T21:24:00"/>
    <m/>
    <n v="78"/>
    <s v="En Cours"/>
    <s v="Non trouvé"/>
    <s v="Non trouvé"/>
    <x v="1"/>
    <s v="Non trouvé"/>
  </r>
  <r>
    <x v="21"/>
    <s v="ANT-0159"/>
    <d v="2023-10-19T21:01:00"/>
    <m/>
    <n v="42"/>
    <s v="Résolu"/>
    <n v="2.4414509999999998"/>
    <n v="30.167489"/>
    <x v="2"/>
    <s v="Nokia"/>
  </r>
  <r>
    <x v="21"/>
    <s v="ANT-0159"/>
    <d v="2023-10-19T01:22:00"/>
    <m/>
    <n v="21"/>
    <s v="Non Résolu"/>
    <n v="2.4414509999999998"/>
    <n v="30.167489"/>
    <x v="2"/>
    <s v="Nokia"/>
  </r>
  <r>
    <x v="21"/>
    <s v="ANT-0159"/>
    <d v="2023-10-15T02:20:00"/>
    <m/>
    <n v="47"/>
    <s v="Non Résolu"/>
    <n v="2.4414509999999998"/>
    <n v="30.167489"/>
    <x v="2"/>
    <s v="Nokia"/>
  </r>
  <r>
    <x v="21"/>
    <s v="ANT-0159"/>
    <d v="2023-10-27T21:25:00"/>
    <m/>
    <n v="116"/>
    <s v="En Cours"/>
    <n v="2.4414509999999998"/>
    <n v="30.167489"/>
    <x v="2"/>
    <s v="Nokia"/>
  </r>
  <r>
    <x v="21"/>
    <s v="ANT-0159"/>
    <d v="2023-10-30T09:24:00"/>
    <m/>
    <n v="39"/>
    <s v="Non Résolu"/>
    <n v="2.4414509999999998"/>
    <n v="30.167489"/>
    <x v="2"/>
    <s v="Nokia"/>
  </r>
  <r>
    <x v="21"/>
    <s v="ANT-0159"/>
    <d v="2023-10-27T06:23:00"/>
    <m/>
    <n v="94"/>
    <s v="En Cours"/>
    <n v="2.4414509999999998"/>
    <n v="30.167489"/>
    <x v="2"/>
    <s v="Nokia"/>
  </r>
  <r>
    <x v="2"/>
    <s v="ANT-0161"/>
    <d v="2023-10-30T07:10:00"/>
    <m/>
    <n v="99"/>
    <s v="En Cours"/>
    <s v="Non trouvé"/>
    <s v="Non trouvé"/>
    <x v="1"/>
    <s v="Non trouvé"/>
  </r>
  <r>
    <x v="2"/>
    <s v="ANT-0161"/>
    <d v="2023-10-22T00:57:00"/>
    <m/>
    <n v="61"/>
    <s v="Résolu"/>
    <s v="Non trouvé"/>
    <s v="Non trouvé"/>
    <x v="1"/>
    <s v="Non trouvé"/>
  </r>
  <r>
    <x v="16"/>
    <s v="ANT-0162"/>
    <d v="2023-10-29T13:34:00"/>
    <m/>
    <n v="31"/>
    <s v="Non Résolu"/>
    <n v="-1.648326"/>
    <n v="25.528901999999999"/>
    <x v="0"/>
    <s v="Huawei"/>
  </r>
  <r>
    <x v="16"/>
    <s v="ANT-0162"/>
    <d v="2023-10-04T12:01:00"/>
    <m/>
    <n v="64"/>
    <s v="Non Résolu"/>
    <n v="-1.648326"/>
    <n v="25.528901999999999"/>
    <x v="0"/>
    <s v="Huawei"/>
  </r>
  <r>
    <x v="2"/>
    <s v="ANT-0163"/>
    <d v="2023-10-01T02:14:00"/>
    <m/>
    <n v="106"/>
    <s v="Non Résolu"/>
    <s v="Non trouvé"/>
    <s v="Non trouvé"/>
    <x v="1"/>
    <s v="Non trouvé"/>
  </r>
  <r>
    <x v="2"/>
    <s v="ANT-0163"/>
    <d v="2023-10-30T09:28:00"/>
    <m/>
    <n v="46"/>
    <s v="Résolu"/>
    <s v="Non trouvé"/>
    <s v="Non trouvé"/>
    <x v="1"/>
    <s v="Non trouvé"/>
  </r>
  <r>
    <x v="2"/>
    <s v="ANT-0163"/>
    <d v="2023-10-27T15:51:00"/>
    <m/>
    <n v="91"/>
    <s v="Non Résolu"/>
    <s v="Non trouvé"/>
    <s v="Non trouvé"/>
    <x v="1"/>
    <s v="Non trouvé"/>
  </r>
  <r>
    <x v="2"/>
    <s v="ANT-0163"/>
    <d v="2023-10-23T11:13:00"/>
    <m/>
    <n v="40"/>
    <s v="Résolu"/>
    <s v="Non trouvé"/>
    <s v="Non trouvé"/>
    <x v="1"/>
    <s v="Non trouvé"/>
  </r>
  <r>
    <x v="2"/>
    <s v="ANT-0163"/>
    <d v="2023-10-22T10:56:00"/>
    <m/>
    <n v="42"/>
    <s v="En Cours"/>
    <s v="Non trouvé"/>
    <s v="Non trouvé"/>
    <x v="1"/>
    <s v="Non trouvé"/>
  </r>
  <r>
    <x v="11"/>
    <s v="ANT-0164"/>
    <d v="2023-10-03T20:27:00"/>
    <m/>
    <n v="87"/>
    <s v="En Cours"/>
    <n v="-11.389362"/>
    <n v="22.240174"/>
    <x v="2"/>
    <s v="ZTE"/>
  </r>
  <r>
    <x v="11"/>
    <s v="ANT-0164"/>
    <d v="2023-10-25T07:44:00"/>
    <m/>
    <n v="97"/>
    <s v="Résolu"/>
    <n v="-11.389362"/>
    <n v="22.240174"/>
    <x v="2"/>
    <s v="ZTE"/>
  </r>
  <r>
    <x v="11"/>
    <s v="ANT-0164"/>
    <d v="2023-10-24T13:33:00"/>
    <m/>
    <n v="32"/>
    <s v="Non Résolu"/>
    <n v="-11.389362"/>
    <n v="22.240174"/>
    <x v="2"/>
    <s v="ZTE"/>
  </r>
  <r>
    <x v="11"/>
    <s v="ANT-0164"/>
    <d v="2023-10-27T22:58:00"/>
    <m/>
    <n v="108"/>
    <s v="En Cours"/>
    <n v="-11.389362"/>
    <n v="22.240174"/>
    <x v="2"/>
    <s v="ZTE"/>
  </r>
  <r>
    <x v="11"/>
    <s v="ANT-0164"/>
    <d v="2023-10-02T14:58:00"/>
    <m/>
    <n v="28"/>
    <s v="Résolu"/>
    <n v="-11.389362"/>
    <n v="22.240174"/>
    <x v="2"/>
    <s v="ZTE"/>
  </r>
  <r>
    <x v="17"/>
    <s v="ANT-0165"/>
    <d v="2023-10-18T09:53:00"/>
    <m/>
    <n v="56"/>
    <s v="Non Résolu"/>
    <n v="-0.54908599999999996"/>
    <n v="14.816867"/>
    <x v="2"/>
    <s v="ZTE"/>
  </r>
  <r>
    <x v="17"/>
    <s v="ANT-0165"/>
    <d v="2023-10-26T17:42:00"/>
    <m/>
    <n v="38"/>
    <s v="Résolu"/>
    <n v="-0.54908599999999996"/>
    <n v="14.816867"/>
    <x v="2"/>
    <s v="ZTE"/>
  </r>
  <r>
    <x v="17"/>
    <s v="ANT-0165"/>
    <d v="2023-10-17T17:38:00"/>
    <m/>
    <n v="87"/>
    <s v="Résolu"/>
    <n v="-0.54908599999999996"/>
    <n v="14.816867"/>
    <x v="2"/>
    <s v="ZTE"/>
  </r>
  <r>
    <x v="17"/>
    <s v="ANT-0165"/>
    <d v="2023-10-18T02:08:00"/>
    <m/>
    <n v="10"/>
    <s v="En Cours"/>
    <n v="-0.54908599999999996"/>
    <n v="14.816867"/>
    <x v="2"/>
    <s v="ZTE"/>
  </r>
  <r>
    <x v="17"/>
    <s v="ANT-0166"/>
    <d v="2023-10-28T11:36:00"/>
    <m/>
    <n v="61"/>
    <s v="Non Résolu"/>
    <n v="-10.56448"/>
    <n v="19.792876"/>
    <x v="2"/>
    <s v="Ericsson"/>
  </r>
  <r>
    <x v="17"/>
    <s v="ANT-0166"/>
    <d v="2023-10-30T21:06:00"/>
    <m/>
    <n v="43"/>
    <s v="En Cours"/>
    <n v="-10.56448"/>
    <n v="19.792876"/>
    <x v="2"/>
    <s v="Ericsson"/>
  </r>
  <r>
    <x v="17"/>
    <s v="ANT-0166"/>
    <d v="2023-10-18T16:22:00"/>
    <m/>
    <n v="64"/>
    <s v="Non Résolu"/>
    <n v="-10.56448"/>
    <n v="19.792876"/>
    <x v="2"/>
    <s v="Ericsson"/>
  </r>
  <r>
    <x v="17"/>
    <s v="ANT-0166"/>
    <d v="2023-10-16T12:27:00"/>
    <m/>
    <n v="18"/>
    <s v="Non Résolu"/>
    <n v="-10.56448"/>
    <n v="19.792876"/>
    <x v="2"/>
    <s v="Ericsson"/>
  </r>
  <r>
    <x v="17"/>
    <s v="ANT-0166"/>
    <d v="2023-10-20T04:04:00"/>
    <m/>
    <n v="35"/>
    <s v="Non Résolu"/>
    <n v="-10.56448"/>
    <n v="19.792876"/>
    <x v="2"/>
    <s v="Ericsson"/>
  </r>
  <r>
    <x v="17"/>
    <s v="ANT-0166"/>
    <d v="2023-10-21T18:35:00"/>
    <m/>
    <n v="11"/>
    <s v="En Cours"/>
    <n v="-10.56448"/>
    <n v="19.792876"/>
    <x v="2"/>
    <s v="Ericsson"/>
  </r>
  <r>
    <x v="17"/>
    <s v="ANT-0166"/>
    <d v="2023-10-08T12:38:00"/>
    <m/>
    <n v="6"/>
    <s v="Résolu"/>
    <n v="-10.56448"/>
    <n v="19.792876"/>
    <x v="2"/>
    <s v="Ericsson"/>
  </r>
  <r>
    <x v="17"/>
    <s v="ANT-0166"/>
    <d v="2023-10-06T05:53:00"/>
    <m/>
    <n v="33"/>
    <s v="Résolu"/>
    <n v="-10.56448"/>
    <n v="19.792876"/>
    <x v="2"/>
    <s v="Ericsson"/>
  </r>
  <r>
    <x v="2"/>
    <s v="ANT-0167"/>
    <d v="2023-10-11T13:38:00"/>
    <m/>
    <n v="64"/>
    <s v="Non Résolu"/>
    <s v="Non trouvé"/>
    <s v="Non trouvé"/>
    <x v="1"/>
    <s v="Non trouvé"/>
  </r>
  <r>
    <x v="2"/>
    <s v="ANT-0167"/>
    <d v="2023-10-20T21:24:00"/>
    <m/>
    <n v="115"/>
    <s v="Non Résolu"/>
    <s v="Non trouvé"/>
    <s v="Non trouvé"/>
    <x v="1"/>
    <s v="Non trouvé"/>
  </r>
  <r>
    <x v="2"/>
    <s v="ANT-0167"/>
    <d v="2023-10-26T07:38:00"/>
    <m/>
    <n v="22"/>
    <s v="Non Résolu"/>
    <s v="Non trouvé"/>
    <s v="Non trouvé"/>
    <x v="1"/>
    <s v="Non trouvé"/>
  </r>
  <r>
    <x v="2"/>
    <s v="ANT-0168"/>
    <d v="2023-10-18T23:15:00"/>
    <m/>
    <n v="107"/>
    <s v="Résolu"/>
    <s v="Non trouvé"/>
    <s v="Non trouvé"/>
    <x v="1"/>
    <s v="Non trouvé"/>
  </r>
  <r>
    <x v="2"/>
    <s v="ANT-0168"/>
    <d v="2023-10-23T00:57:00"/>
    <m/>
    <n v="21"/>
    <s v="Non Résolu"/>
    <s v="Non trouvé"/>
    <s v="Non trouvé"/>
    <x v="1"/>
    <s v="Non trouvé"/>
  </r>
  <r>
    <x v="2"/>
    <s v="ANT-0168"/>
    <d v="2023-10-25T14:36:00"/>
    <m/>
    <n v="54"/>
    <s v="Non Résolu"/>
    <s v="Non trouvé"/>
    <s v="Non trouvé"/>
    <x v="1"/>
    <s v="Non trouvé"/>
  </r>
  <r>
    <x v="2"/>
    <s v="ANT-0168"/>
    <d v="2023-10-17T03:18:00"/>
    <m/>
    <n v="36"/>
    <s v="En Cours"/>
    <s v="Non trouvé"/>
    <s v="Non trouvé"/>
    <x v="1"/>
    <s v="Non trouvé"/>
  </r>
  <r>
    <x v="2"/>
    <s v="ANT-0169"/>
    <d v="2023-10-11T10:48:00"/>
    <m/>
    <n v="108"/>
    <s v="Résolu"/>
    <s v="Non trouvé"/>
    <s v="Non trouvé"/>
    <x v="1"/>
    <s v="Non trouvé"/>
  </r>
  <r>
    <x v="2"/>
    <s v="ANT-0169"/>
    <d v="2023-10-28T15:06:00"/>
    <m/>
    <n v="81"/>
    <s v="Non Résolu"/>
    <s v="Non trouvé"/>
    <s v="Non trouvé"/>
    <x v="1"/>
    <s v="Non trouvé"/>
  </r>
  <r>
    <x v="2"/>
    <s v="ANT-0169"/>
    <d v="2023-10-29T20:22:00"/>
    <m/>
    <n v="91"/>
    <s v="En Cours"/>
    <s v="Non trouvé"/>
    <s v="Non trouvé"/>
    <x v="1"/>
    <s v="Non trouvé"/>
  </r>
  <r>
    <x v="2"/>
    <s v="ANT-0169"/>
    <d v="2023-10-08T19:02:00"/>
    <m/>
    <n v="76"/>
    <s v="En Cours"/>
    <s v="Non trouvé"/>
    <s v="Non trouvé"/>
    <x v="1"/>
    <s v="Non trouvé"/>
  </r>
  <r>
    <x v="2"/>
    <s v="ANT-0169"/>
    <d v="2023-10-12T02:27:00"/>
    <m/>
    <n v="19"/>
    <s v="Non Résolu"/>
    <s v="Non trouvé"/>
    <s v="Non trouvé"/>
    <x v="1"/>
    <s v="Non trouvé"/>
  </r>
  <r>
    <x v="4"/>
    <s v="ANT-0170"/>
    <d v="2023-10-09T22:59:00"/>
    <m/>
    <n v="107"/>
    <s v="Non Résolu"/>
    <n v="-12.244119"/>
    <n v="28.279755999999999"/>
    <x v="2"/>
    <s v="ZTE"/>
  </r>
  <r>
    <x v="4"/>
    <s v="ANT-0170"/>
    <d v="2023-10-24T08:32:00"/>
    <m/>
    <n v="60"/>
    <s v="En Cours"/>
    <n v="-12.244119"/>
    <n v="28.279755999999999"/>
    <x v="2"/>
    <s v="ZTE"/>
  </r>
  <r>
    <x v="4"/>
    <s v="ANT-0170"/>
    <d v="2023-10-24T01:43:00"/>
    <m/>
    <n v="78"/>
    <s v="Résolu"/>
    <n v="-12.244119"/>
    <n v="28.279755999999999"/>
    <x v="2"/>
    <s v="ZTE"/>
  </r>
  <r>
    <x v="4"/>
    <s v="ANT-0170"/>
    <d v="2023-10-04T05:21:00"/>
    <m/>
    <n v="10"/>
    <s v="En Cours"/>
    <n v="-12.244119"/>
    <n v="28.279755999999999"/>
    <x v="2"/>
    <s v="ZTE"/>
  </r>
  <r>
    <x v="20"/>
    <s v="ANT-0171"/>
    <d v="2023-10-05T14:11:00"/>
    <m/>
    <n v="43"/>
    <s v="Non Résolu"/>
    <n v="-3.571288"/>
    <n v="12.931596000000001"/>
    <x v="0"/>
    <s v="Nokia"/>
  </r>
  <r>
    <x v="20"/>
    <s v="ANT-0171"/>
    <d v="2023-10-24T21:33:00"/>
    <m/>
    <n v="94"/>
    <s v="Non Résolu"/>
    <n v="-3.571288"/>
    <n v="12.931596000000001"/>
    <x v="0"/>
    <s v="Nokia"/>
  </r>
  <r>
    <x v="22"/>
    <s v="ANT-0172"/>
    <d v="2023-10-23T15:09:00"/>
    <m/>
    <n v="104"/>
    <s v="En Cours"/>
    <n v="2.266232"/>
    <n v="29.532896000000001"/>
    <x v="0"/>
    <s v="Ericsson"/>
  </r>
  <r>
    <x v="22"/>
    <s v="ANT-0172"/>
    <d v="2023-10-12T01:57:00"/>
    <m/>
    <n v="51"/>
    <s v="Résolu"/>
    <n v="2.266232"/>
    <n v="29.532896000000001"/>
    <x v="0"/>
    <s v="Ericsson"/>
  </r>
  <r>
    <x v="22"/>
    <s v="ANT-0172"/>
    <d v="2023-10-15T13:03:00"/>
    <m/>
    <n v="10"/>
    <s v="Non Résolu"/>
    <n v="2.266232"/>
    <n v="29.532896000000001"/>
    <x v="0"/>
    <s v="Ericsson"/>
  </r>
  <r>
    <x v="22"/>
    <s v="ANT-0172"/>
    <d v="2023-10-20T16:24:00"/>
    <m/>
    <n v="56"/>
    <s v="Non Résolu"/>
    <n v="2.266232"/>
    <n v="29.532896000000001"/>
    <x v="0"/>
    <s v="Ericsson"/>
  </r>
  <r>
    <x v="2"/>
    <s v="ANT-0173"/>
    <d v="2023-10-19T13:57:00"/>
    <m/>
    <n v="89"/>
    <s v="En Cours"/>
    <s v="Non trouvé"/>
    <s v="Non trouvé"/>
    <x v="1"/>
    <s v="Non trouvé"/>
  </r>
  <r>
    <x v="2"/>
    <s v="ANT-0173"/>
    <d v="2023-10-19T02:05:00"/>
    <m/>
    <n v="91"/>
    <s v="En Cours"/>
    <s v="Non trouvé"/>
    <s v="Non trouvé"/>
    <x v="1"/>
    <s v="Non trouvé"/>
  </r>
  <r>
    <x v="2"/>
    <s v="ANT-0173"/>
    <d v="2023-10-16T07:50:00"/>
    <m/>
    <n v="52"/>
    <s v="Résolu"/>
    <s v="Non trouvé"/>
    <s v="Non trouvé"/>
    <x v="1"/>
    <s v="Non trouvé"/>
  </r>
  <r>
    <x v="2"/>
    <s v="ANT-0173"/>
    <d v="2023-10-11T04:40:00"/>
    <m/>
    <n v="33"/>
    <s v="Non Résolu"/>
    <s v="Non trouvé"/>
    <s v="Non trouvé"/>
    <x v="1"/>
    <s v="Non trouvé"/>
  </r>
  <r>
    <x v="2"/>
    <s v="ANT-0173"/>
    <d v="2023-10-04T18:01:00"/>
    <m/>
    <n v="23"/>
    <s v="Résolu"/>
    <s v="Non trouvé"/>
    <s v="Non trouvé"/>
    <x v="1"/>
    <s v="Non trouvé"/>
  </r>
  <r>
    <x v="2"/>
    <s v="ANT-0173"/>
    <d v="2023-10-05T13:41:00"/>
    <m/>
    <n v="76"/>
    <s v="En Cours"/>
    <s v="Non trouvé"/>
    <s v="Non trouvé"/>
    <x v="1"/>
    <s v="Non trouvé"/>
  </r>
  <r>
    <x v="2"/>
    <s v="ANT-0173"/>
    <d v="2023-10-20T01:50:00"/>
    <m/>
    <n v="43"/>
    <s v="Non Résolu"/>
    <s v="Non trouvé"/>
    <s v="Non trouvé"/>
    <x v="1"/>
    <s v="Non trouvé"/>
  </r>
  <r>
    <x v="2"/>
    <s v="ANT-0173"/>
    <d v="2023-10-20T04:21:00"/>
    <m/>
    <n v="88"/>
    <s v="Non Résolu"/>
    <s v="Non trouvé"/>
    <s v="Non trouvé"/>
    <x v="1"/>
    <s v="Non trouvé"/>
  </r>
  <r>
    <x v="18"/>
    <s v="ANT-0174"/>
    <d v="2023-10-14T15:30:00"/>
    <m/>
    <n v="28"/>
    <s v="En Cours"/>
    <n v="3.08182"/>
    <n v="29.961940999999999"/>
    <x v="0"/>
    <s v="Huawei"/>
  </r>
  <r>
    <x v="18"/>
    <s v="ANT-0174"/>
    <d v="2023-10-02T19:47:00"/>
    <m/>
    <n v="56"/>
    <s v="Résolu"/>
    <n v="3.08182"/>
    <n v="29.961940999999999"/>
    <x v="0"/>
    <s v="Huawei"/>
  </r>
  <r>
    <x v="18"/>
    <s v="ANT-0174"/>
    <d v="2023-10-05T08:39:00"/>
    <m/>
    <n v="36"/>
    <s v="En Cours"/>
    <n v="3.08182"/>
    <n v="29.961940999999999"/>
    <x v="0"/>
    <s v="Huawei"/>
  </r>
  <r>
    <x v="18"/>
    <s v="ANT-0174"/>
    <d v="2023-10-22T13:55:00"/>
    <m/>
    <n v="117"/>
    <s v="Résolu"/>
    <n v="3.08182"/>
    <n v="29.961940999999999"/>
    <x v="0"/>
    <s v="Huawei"/>
  </r>
  <r>
    <x v="18"/>
    <s v="ANT-0174"/>
    <d v="2023-10-10T06:49:00"/>
    <m/>
    <n v="77"/>
    <s v="Non Résolu"/>
    <n v="3.08182"/>
    <n v="29.961940999999999"/>
    <x v="0"/>
    <s v="Huawei"/>
  </r>
  <r>
    <x v="18"/>
    <s v="ANT-0175"/>
    <d v="2023-10-12T06:42:00"/>
    <m/>
    <n v="52"/>
    <s v="En Cours"/>
    <n v="0.850665"/>
    <n v="19.446418000000001"/>
    <x v="0"/>
    <s v="Huawei"/>
  </r>
  <r>
    <x v="18"/>
    <s v="ANT-0175"/>
    <d v="2023-10-16T11:26:00"/>
    <m/>
    <n v="69"/>
    <s v="Non Résolu"/>
    <n v="0.850665"/>
    <n v="19.446418000000001"/>
    <x v="0"/>
    <s v="Huawei"/>
  </r>
  <r>
    <x v="18"/>
    <s v="ANT-0175"/>
    <d v="2023-10-31T17:20:00"/>
    <m/>
    <n v="43"/>
    <s v="Résolu"/>
    <n v="0.850665"/>
    <n v="19.446418000000001"/>
    <x v="0"/>
    <s v="Huawei"/>
  </r>
  <r>
    <x v="2"/>
    <s v="ANT-0176"/>
    <d v="2023-10-25T03:49:00"/>
    <m/>
    <n v="85"/>
    <s v="Résolu"/>
    <s v="Non trouvé"/>
    <s v="Non trouvé"/>
    <x v="1"/>
    <s v="Non trouvé"/>
  </r>
  <r>
    <x v="2"/>
    <s v="ANT-0176"/>
    <d v="2023-10-08T02:17:00"/>
    <m/>
    <n v="11"/>
    <s v="Résolu"/>
    <s v="Non trouvé"/>
    <s v="Non trouvé"/>
    <x v="1"/>
    <s v="Non trouvé"/>
  </r>
  <r>
    <x v="2"/>
    <s v="ANT-0176"/>
    <d v="2023-10-01T22:34:00"/>
    <m/>
    <n v="11"/>
    <s v="Résolu"/>
    <s v="Non trouvé"/>
    <s v="Non trouvé"/>
    <x v="1"/>
    <s v="Non trouvé"/>
  </r>
  <r>
    <x v="2"/>
    <s v="ANT-0176"/>
    <d v="2023-10-31T10:40:00"/>
    <m/>
    <n v="11"/>
    <s v="En Cours"/>
    <s v="Non trouvé"/>
    <s v="Non trouvé"/>
    <x v="1"/>
    <s v="Non trouvé"/>
  </r>
  <r>
    <x v="2"/>
    <s v="ANT-0176"/>
    <d v="2023-10-27T13:05:00"/>
    <m/>
    <n v="81"/>
    <s v="En Cours"/>
    <s v="Non trouvé"/>
    <s v="Non trouvé"/>
    <x v="1"/>
    <s v="Non trouvé"/>
  </r>
  <r>
    <x v="2"/>
    <s v="ANT-0177"/>
    <d v="2023-10-16T09:02:00"/>
    <m/>
    <n v="29"/>
    <s v="En Cours"/>
    <s v="Non trouvé"/>
    <s v="Non trouvé"/>
    <x v="1"/>
    <s v="Non trouvé"/>
  </r>
  <r>
    <x v="2"/>
    <s v="ANT-0177"/>
    <d v="2023-10-30T15:04:00"/>
    <m/>
    <n v="103"/>
    <s v="Résolu"/>
    <s v="Non trouvé"/>
    <s v="Non trouvé"/>
    <x v="1"/>
    <s v="Non trouvé"/>
  </r>
  <r>
    <x v="2"/>
    <s v="ANT-0177"/>
    <d v="2023-10-31T09:38:00"/>
    <m/>
    <n v="66"/>
    <s v="Non Résolu"/>
    <s v="Non trouvé"/>
    <s v="Non trouvé"/>
    <x v="1"/>
    <s v="Non trouvé"/>
  </r>
  <r>
    <x v="10"/>
    <s v="ANT-0178"/>
    <d v="2023-10-07T06:47:00"/>
    <m/>
    <n v="69"/>
    <s v="Résolu"/>
    <n v="4.1464489999999996"/>
    <n v="17.793337000000001"/>
    <x v="2"/>
    <s v="ZTE"/>
  </r>
  <r>
    <x v="10"/>
    <s v="ANT-0178"/>
    <d v="2023-10-04T20:41:00"/>
    <m/>
    <n v="66"/>
    <s v="Résolu"/>
    <n v="4.1464489999999996"/>
    <n v="17.793337000000001"/>
    <x v="2"/>
    <s v="ZTE"/>
  </r>
  <r>
    <x v="10"/>
    <s v="ANT-0178"/>
    <d v="2023-10-06T08:58:00"/>
    <m/>
    <n v="50"/>
    <s v="Non Résolu"/>
    <n v="4.1464489999999996"/>
    <n v="17.793337000000001"/>
    <x v="2"/>
    <s v="ZTE"/>
  </r>
  <r>
    <x v="10"/>
    <s v="ANT-0178"/>
    <d v="2023-10-22T23:44:00"/>
    <m/>
    <n v="45"/>
    <s v="Résolu"/>
    <n v="4.1464489999999996"/>
    <n v="17.793337000000001"/>
    <x v="2"/>
    <s v="ZTE"/>
  </r>
  <r>
    <x v="10"/>
    <s v="ANT-0178"/>
    <d v="2023-10-09T04:08:00"/>
    <m/>
    <n v="96"/>
    <s v="Résolu"/>
    <n v="4.1464489999999996"/>
    <n v="17.793337000000001"/>
    <x v="2"/>
    <s v="ZTE"/>
  </r>
  <r>
    <x v="10"/>
    <s v="ANT-0178"/>
    <d v="2023-10-27T23:43:00"/>
    <m/>
    <n v="25"/>
    <s v="Non Résolu"/>
    <n v="4.1464489999999996"/>
    <n v="17.793337000000001"/>
    <x v="2"/>
    <s v="ZTE"/>
  </r>
  <r>
    <x v="10"/>
    <s v="ANT-0178"/>
    <d v="2023-10-20T12:09:00"/>
    <m/>
    <n v="83"/>
    <s v="Non Résolu"/>
    <n v="4.1464489999999996"/>
    <n v="17.793337000000001"/>
    <x v="2"/>
    <s v="ZTE"/>
  </r>
  <r>
    <x v="15"/>
    <s v="ANT-0179"/>
    <d v="2023-10-24T10:03:00"/>
    <m/>
    <n v="32"/>
    <s v="Non Résolu"/>
    <n v="0.92885200000000001"/>
    <n v="25.868548000000001"/>
    <x v="2"/>
    <s v="Nokia"/>
  </r>
  <r>
    <x v="15"/>
    <s v="ANT-0179"/>
    <d v="2023-10-27T14:22:00"/>
    <m/>
    <n v="66"/>
    <s v="Résolu"/>
    <n v="0.92885200000000001"/>
    <n v="25.868548000000001"/>
    <x v="2"/>
    <s v="Nokia"/>
  </r>
  <r>
    <x v="15"/>
    <s v="ANT-0179"/>
    <d v="2023-10-04T05:19:00"/>
    <m/>
    <n v="82"/>
    <s v="Résolu"/>
    <n v="0.92885200000000001"/>
    <n v="25.868548000000001"/>
    <x v="2"/>
    <s v="Nokia"/>
  </r>
  <r>
    <x v="15"/>
    <s v="ANT-0179"/>
    <d v="2023-10-16T14:27:00"/>
    <m/>
    <n v="36"/>
    <s v="En Cours"/>
    <n v="0.92885200000000001"/>
    <n v="25.868548000000001"/>
    <x v="2"/>
    <s v="Nokia"/>
  </r>
  <r>
    <x v="15"/>
    <s v="ANT-0179"/>
    <d v="2023-10-06T19:03:00"/>
    <m/>
    <n v="112"/>
    <s v="En Cours"/>
    <n v="0.92885200000000001"/>
    <n v="25.868548000000001"/>
    <x v="2"/>
    <s v="Nokia"/>
  </r>
  <r>
    <x v="5"/>
    <s v="ANT-0180"/>
    <d v="2023-10-23T20:44:00"/>
    <m/>
    <n v="50"/>
    <s v="En Cours"/>
    <n v="2.4425979999999998"/>
    <n v="24.924308"/>
    <x v="2"/>
    <s v="Ericsson"/>
  </r>
  <r>
    <x v="5"/>
    <s v="ANT-0180"/>
    <d v="2023-10-16T14:50:00"/>
    <m/>
    <n v="29"/>
    <s v="Résolu"/>
    <n v="2.4425979999999998"/>
    <n v="24.924308"/>
    <x v="2"/>
    <s v="Ericsson"/>
  </r>
  <r>
    <x v="5"/>
    <s v="ANT-0180"/>
    <d v="2023-10-26T07:37:00"/>
    <m/>
    <n v="37"/>
    <s v="En Cours"/>
    <n v="2.4425979999999998"/>
    <n v="24.924308"/>
    <x v="2"/>
    <s v="Ericsson"/>
  </r>
  <r>
    <x v="2"/>
    <s v="ANT-0181"/>
    <d v="2023-10-24T15:52:00"/>
    <m/>
    <n v="25"/>
    <s v="Résolu"/>
    <s v="Non trouvé"/>
    <s v="Non trouvé"/>
    <x v="1"/>
    <s v="Non trouvé"/>
  </r>
  <r>
    <x v="2"/>
    <s v="ANT-0181"/>
    <d v="2023-10-01T21:12:00"/>
    <m/>
    <n v="57"/>
    <s v="Non Résolu"/>
    <s v="Non trouvé"/>
    <s v="Non trouvé"/>
    <x v="1"/>
    <s v="Non trouvé"/>
  </r>
  <r>
    <x v="2"/>
    <s v="ANT-0181"/>
    <d v="2023-10-05T08:12:00"/>
    <m/>
    <n v="106"/>
    <s v="Non Résolu"/>
    <s v="Non trouvé"/>
    <s v="Non trouvé"/>
    <x v="1"/>
    <s v="Non trouvé"/>
  </r>
  <r>
    <x v="2"/>
    <s v="ANT-0181"/>
    <d v="2023-10-19T14:43:00"/>
    <m/>
    <n v="29"/>
    <s v="Non Résolu"/>
    <s v="Non trouvé"/>
    <s v="Non trouvé"/>
    <x v="1"/>
    <s v="Non trouvé"/>
  </r>
  <r>
    <x v="2"/>
    <s v="ANT-0181"/>
    <d v="2023-10-21T20:21:00"/>
    <m/>
    <n v="79"/>
    <s v="Non Résolu"/>
    <s v="Non trouvé"/>
    <s v="Non trouvé"/>
    <x v="1"/>
    <s v="Non trouvé"/>
  </r>
  <r>
    <x v="22"/>
    <s v="ANT-0182"/>
    <d v="2023-10-23T10:15:00"/>
    <m/>
    <n v="96"/>
    <s v="Résolu"/>
    <n v="-3.234483"/>
    <n v="13.241939"/>
    <x v="0"/>
    <s v="ZTE"/>
  </r>
  <r>
    <x v="22"/>
    <s v="ANT-0182"/>
    <d v="2023-10-08T15:14:00"/>
    <m/>
    <n v="58"/>
    <s v="Non Résolu"/>
    <n v="-3.234483"/>
    <n v="13.241939"/>
    <x v="0"/>
    <s v="ZTE"/>
  </r>
  <r>
    <x v="22"/>
    <s v="ANT-0182"/>
    <d v="2023-10-02T01:19:00"/>
    <m/>
    <n v="31"/>
    <s v="En Cours"/>
    <n v="-3.234483"/>
    <n v="13.241939"/>
    <x v="0"/>
    <s v="ZTE"/>
  </r>
  <r>
    <x v="22"/>
    <s v="ANT-0182"/>
    <d v="2023-10-12T13:07:00"/>
    <m/>
    <n v="116"/>
    <s v="Résolu"/>
    <n v="-3.234483"/>
    <n v="13.241939"/>
    <x v="0"/>
    <s v="ZTE"/>
  </r>
  <r>
    <x v="22"/>
    <s v="ANT-0182"/>
    <d v="2023-10-01T13:03:00"/>
    <m/>
    <n v="15"/>
    <s v="En Cours"/>
    <n v="-3.234483"/>
    <n v="13.241939"/>
    <x v="0"/>
    <s v="ZTE"/>
  </r>
  <r>
    <x v="25"/>
    <s v="ANT-0183"/>
    <d v="2023-10-05T04:51:00"/>
    <m/>
    <n v="113"/>
    <s v="En Cours"/>
    <n v="4.8319039999999998"/>
    <n v="20.733468999999999"/>
    <x v="2"/>
    <s v="Ericsson"/>
  </r>
  <r>
    <x v="25"/>
    <s v="ANT-0183"/>
    <d v="2023-10-17T00:42:00"/>
    <m/>
    <n v="71"/>
    <s v="Résolu"/>
    <n v="4.8319039999999998"/>
    <n v="20.733468999999999"/>
    <x v="2"/>
    <s v="Ericsson"/>
  </r>
  <r>
    <x v="25"/>
    <s v="ANT-0183"/>
    <d v="2023-10-09T17:08:00"/>
    <m/>
    <n v="22"/>
    <s v="Résolu"/>
    <n v="4.8319039999999998"/>
    <n v="20.733468999999999"/>
    <x v="2"/>
    <s v="Ericsson"/>
  </r>
  <r>
    <x v="20"/>
    <s v="ANT-0184"/>
    <d v="2023-10-07T03:54:00"/>
    <m/>
    <n v="53"/>
    <s v="Résolu"/>
    <n v="-10.161428000000001"/>
    <n v="19.362325999999999"/>
    <x v="3"/>
    <s v="Nokia"/>
  </r>
  <r>
    <x v="23"/>
    <s v="ANT-0185"/>
    <d v="2023-10-19T12:23:00"/>
    <m/>
    <n v="42"/>
    <s v="Résolu"/>
    <n v="1.2391989999999999"/>
    <n v="15.386718999999999"/>
    <x v="2"/>
    <s v="ZTE"/>
  </r>
  <r>
    <x v="23"/>
    <s v="ANT-0185"/>
    <d v="2023-10-30T10:39:00"/>
    <m/>
    <n v="86"/>
    <s v="En Cours"/>
    <n v="1.2391989999999999"/>
    <n v="15.386718999999999"/>
    <x v="2"/>
    <s v="ZTE"/>
  </r>
  <r>
    <x v="23"/>
    <s v="ANT-0185"/>
    <d v="2023-10-22T02:18:00"/>
    <m/>
    <n v="33"/>
    <s v="Non Résolu"/>
    <n v="1.2391989999999999"/>
    <n v="15.386718999999999"/>
    <x v="2"/>
    <s v="ZTE"/>
  </r>
  <r>
    <x v="23"/>
    <s v="ANT-0185"/>
    <d v="2023-10-25T16:31:00"/>
    <m/>
    <n v="120"/>
    <s v="Non Résolu"/>
    <n v="1.2391989999999999"/>
    <n v="15.386718999999999"/>
    <x v="2"/>
    <s v="ZTE"/>
  </r>
  <r>
    <x v="23"/>
    <s v="ANT-0185"/>
    <d v="2023-10-05T07:08:00"/>
    <m/>
    <n v="61"/>
    <s v="En Cours"/>
    <n v="1.2391989999999999"/>
    <n v="15.386718999999999"/>
    <x v="2"/>
    <s v="ZTE"/>
  </r>
  <r>
    <x v="23"/>
    <s v="ANT-0185"/>
    <d v="2023-10-09T14:16:00"/>
    <m/>
    <n v="7"/>
    <s v="Résolu"/>
    <n v="1.2391989999999999"/>
    <n v="15.386718999999999"/>
    <x v="2"/>
    <s v="ZTE"/>
  </r>
  <r>
    <x v="23"/>
    <s v="ANT-0185"/>
    <d v="2023-10-03T01:09:00"/>
    <m/>
    <n v="9"/>
    <s v="Résolu"/>
    <n v="1.2391989999999999"/>
    <n v="15.386718999999999"/>
    <x v="2"/>
    <s v="ZTE"/>
  </r>
  <r>
    <x v="23"/>
    <s v="ANT-0185"/>
    <d v="2023-10-08T23:42:00"/>
    <m/>
    <n v="21"/>
    <s v="En Cours"/>
    <n v="1.2391989999999999"/>
    <n v="15.386718999999999"/>
    <x v="2"/>
    <s v="ZTE"/>
  </r>
  <r>
    <x v="2"/>
    <s v="ANT-0186"/>
    <d v="2023-10-09T20:21:00"/>
    <m/>
    <n v="98"/>
    <s v="Non Résolu"/>
    <s v="Non trouvé"/>
    <s v="Non trouvé"/>
    <x v="1"/>
    <s v="Non trouvé"/>
  </r>
  <r>
    <x v="2"/>
    <s v="ANT-0186"/>
    <d v="2023-10-22T20:54:00"/>
    <m/>
    <n v="86"/>
    <s v="En Cours"/>
    <s v="Non trouvé"/>
    <s v="Non trouvé"/>
    <x v="1"/>
    <s v="Non trouvé"/>
  </r>
  <r>
    <x v="2"/>
    <s v="ANT-0186"/>
    <d v="2023-10-05T01:19:00"/>
    <m/>
    <n v="8"/>
    <s v="Non Résolu"/>
    <s v="Non trouvé"/>
    <s v="Non trouvé"/>
    <x v="1"/>
    <s v="Non trouvé"/>
  </r>
  <r>
    <x v="2"/>
    <s v="ANT-0186"/>
    <d v="2023-10-05T14:42:00"/>
    <m/>
    <n v="69"/>
    <s v="Résolu"/>
    <s v="Non trouvé"/>
    <s v="Non trouvé"/>
    <x v="1"/>
    <s v="Non trouvé"/>
  </r>
  <r>
    <x v="2"/>
    <s v="ANT-0186"/>
    <d v="2023-10-08T09:45:00"/>
    <m/>
    <n v="51"/>
    <s v="En Cours"/>
    <s v="Non trouvé"/>
    <s v="Non trouvé"/>
    <x v="1"/>
    <s v="Non trouvé"/>
  </r>
  <r>
    <x v="2"/>
    <s v="ANT-0186"/>
    <d v="2023-10-28T20:09:00"/>
    <m/>
    <n v="105"/>
    <s v="Résolu"/>
    <s v="Non trouvé"/>
    <s v="Non trouvé"/>
    <x v="1"/>
    <s v="Non trouvé"/>
  </r>
  <r>
    <x v="15"/>
    <s v="ANT-0187"/>
    <d v="2023-10-21T19:56:00"/>
    <m/>
    <n v="100"/>
    <s v="En Cours"/>
    <n v="-6.0234120000000004"/>
    <n v="18.314309999999999"/>
    <x v="2"/>
    <s v="ZTE"/>
  </r>
  <r>
    <x v="15"/>
    <s v="ANT-0187"/>
    <d v="2023-10-31T18:56:00"/>
    <m/>
    <n v="28"/>
    <s v="Résolu"/>
    <n v="-6.0234120000000004"/>
    <n v="18.314309999999999"/>
    <x v="2"/>
    <s v="ZTE"/>
  </r>
  <r>
    <x v="15"/>
    <s v="ANT-0187"/>
    <d v="2023-10-23T09:41:00"/>
    <m/>
    <n v="41"/>
    <s v="Résolu"/>
    <n v="-6.0234120000000004"/>
    <n v="18.314309999999999"/>
    <x v="2"/>
    <s v="ZTE"/>
  </r>
  <r>
    <x v="15"/>
    <s v="ANT-0187"/>
    <d v="2023-10-22T22:17:00"/>
    <m/>
    <n v="88"/>
    <s v="Non Résolu"/>
    <n v="-6.0234120000000004"/>
    <n v="18.314309999999999"/>
    <x v="2"/>
    <s v="ZTE"/>
  </r>
  <r>
    <x v="23"/>
    <s v="ANT-0188"/>
    <d v="2023-10-29T05:47:00"/>
    <m/>
    <n v="26"/>
    <s v="En Cours"/>
    <n v="-2.5254650000000001"/>
    <n v="21.338113"/>
    <x v="2"/>
    <s v="Nokia"/>
  </r>
  <r>
    <x v="2"/>
    <s v="ANT-0189"/>
    <d v="2023-10-02T20:34:00"/>
    <m/>
    <n v="19"/>
    <s v="Résolu"/>
    <s v="Non trouvé"/>
    <s v="Non trouvé"/>
    <x v="1"/>
    <s v="Non trouvé"/>
  </r>
  <r>
    <x v="2"/>
    <s v="ANT-0189"/>
    <d v="2023-10-17T08:53:00"/>
    <m/>
    <n v="74"/>
    <s v="En Cours"/>
    <s v="Non trouvé"/>
    <s v="Non trouvé"/>
    <x v="1"/>
    <s v="Non trouvé"/>
  </r>
  <r>
    <x v="2"/>
    <s v="ANT-0189"/>
    <d v="2023-10-28T09:47:00"/>
    <m/>
    <n v="63"/>
    <s v="Résolu"/>
    <s v="Non trouvé"/>
    <s v="Non trouvé"/>
    <x v="1"/>
    <s v="Non trouvé"/>
  </r>
  <r>
    <x v="2"/>
    <s v="ANT-0189"/>
    <d v="2023-10-27T21:29:00"/>
    <m/>
    <n v="76"/>
    <s v="Non Résolu"/>
    <s v="Non trouvé"/>
    <s v="Non trouvé"/>
    <x v="1"/>
    <s v="Non trouvé"/>
  </r>
  <r>
    <x v="2"/>
    <s v="ANT-0190"/>
    <d v="2023-10-16T17:10:00"/>
    <m/>
    <n v="113"/>
    <s v="Résolu"/>
    <s v="Non trouvé"/>
    <s v="Non trouvé"/>
    <x v="1"/>
    <s v="Non trouvé"/>
  </r>
  <r>
    <x v="2"/>
    <s v="ANT-0190"/>
    <d v="2023-10-27T00:19:00"/>
    <m/>
    <n v="71"/>
    <s v="Résolu"/>
    <s v="Non trouvé"/>
    <s v="Non trouvé"/>
    <x v="1"/>
    <s v="Non trouvé"/>
  </r>
  <r>
    <x v="2"/>
    <s v="ANT-0190"/>
    <d v="2023-10-11T14:39:00"/>
    <m/>
    <n v="26"/>
    <s v="En Cours"/>
    <s v="Non trouvé"/>
    <s v="Non trouvé"/>
    <x v="1"/>
    <s v="Non trouvé"/>
  </r>
  <r>
    <x v="2"/>
    <s v="ANT-0190"/>
    <d v="2023-10-06T00:26:00"/>
    <m/>
    <n v="77"/>
    <s v="En Cours"/>
    <s v="Non trouvé"/>
    <s v="Non trouvé"/>
    <x v="1"/>
    <s v="Non trouvé"/>
  </r>
  <r>
    <x v="2"/>
    <s v="ANT-0190"/>
    <d v="2023-10-04T00:40:00"/>
    <m/>
    <n v="45"/>
    <s v="En Cours"/>
    <s v="Non trouvé"/>
    <s v="Non trouvé"/>
    <x v="1"/>
    <s v="Non trouvé"/>
  </r>
  <r>
    <x v="2"/>
    <s v="ANT-0190"/>
    <d v="2023-10-11T03:00:00"/>
    <m/>
    <n v="18"/>
    <s v="Résolu"/>
    <s v="Non trouvé"/>
    <s v="Non trouvé"/>
    <x v="1"/>
    <s v="Non trouvé"/>
  </r>
  <r>
    <x v="2"/>
    <s v="ANT-0191"/>
    <d v="2023-10-08T04:47:00"/>
    <m/>
    <n v="65"/>
    <s v="En Cours"/>
    <s v="Non trouvé"/>
    <s v="Non trouvé"/>
    <x v="1"/>
    <s v="Non trouvé"/>
  </r>
  <r>
    <x v="2"/>
    <s v="ANT-0191"/>
    <d v="2023-10-08T08:50:00"/>
    <m/>
    <n v="14"/>
    <s v="En Cours"/>
    <s v="Non trouvé"/>
    <s v="Non trouvé"/>
    <x v="1"/>
    <s v="Non trouvé"/>
  </r>
  <r>
    <x v="2"/>
    <s v="ANT-0191"/>
    <d v="2023-10-26T19:29:00"/>
    <m/>
    <n v="46"/>
    <s v="Résolu"/>
    <s v="Non trouvé"/>
    <s v="Non trouvé"/>
    <x v="1"/>
    <s v="Non trouvé"/>
  </r>
  <r>
    <x v="19"/>
    <s v="ANT-0192"/>
    <d v="2023-10-08T08:10:00"/>
    <m/>
    <n v="44"/>
    <s v="Résolu"/>
    <n v="-12.018316"/>
    <n v="16.700451000000001"/>
    <x v="3"/>
    <s v="Nokia"/>
  </r>
  <r>
    <x v="19"/>
    <s v="ANT-0192"/>
    <d v="2023-10-14T23:06:00"/>
    <m/>
    <n v="96"/>
    <s v="Non Résolu"/>
    <n v="-12.018316"/>
    <n v="16.700451000000001"/>
    <x v="3"/>
    <s v="Nokia"/>
  </r>
  <r>
    <x v="2"/>
    <s v="ANT-0193"/>
    <d v="2023-10-21T21:03:00"/>
    <m/>
    <n v="6"/>
    <s v="En Cours"/>
    <s v="Non trouvé"/>
    <s v="Non trouvé"/>
    <x v="1"/>
    <s v="Non trouvé"/>
  </r>
  <r>
    <x v="2"/>
    <s v="ANT-0193"/>
    <d v="2023-10-20T16:18:00"/>
    <m/>
    <n v="120"/>
    <s v="Résolu"/>
    <s v="Non trouvé"/>
    <s v="Non trouvé"/>
    <x v="1"/>
    <s v="Non trouvé"/>
  </r>
  <r>
    <x v="2"/>
    <s v="ANT-0193"/>
    <d v="2023-10-15T18:48:00"/>
    <m/>
    <n v="101"/>
    <s v="Résolu"/>
    <s v="Non trouvé"/>
    <s v="Non trouvé"/>
    <x v="1"/>
    <s v="Non trouvé"/>
  </r>
  <r>
    <x v="2"/>
    <s v="ANT-0193"/>
    <d v="2023-10-06T04:04:00"/>
    <m/>
    <n v="91"/>
    <s v="En Cours"/>
    <s v="Non trouvé"/>
    <s v="Non trouvé"/>
    <x v="1"/>
    <s v="Non trouvé"/>
  </r>
  <r>
    <x v="0"/>
    <s v="ANT-0194"/>
    <d v="2023-10-29T20:29:00"/>
    <m/>
    <n v="46"/>
    <s v="En Cours"/>
    <n v="8.5490999999999998E-2"/>
    <n v="26.296129000000001"/>
    <x v="3"/>
    <s v="ZTE"/>
  </r>
  <r>
    <x v="0"/>
    <s v="ANT-0194"/>
    <d v="2023-10-15T16:28:00"/>
    <m/>
    <n v="13"/>
    <s v="En Cours"/>
    <n v="8.5490999999999998E-2"/>
    <n v="26.296129000000001"/>
    <x v="3"/>
    <s v="ZTE"/>
  </r>
  <r>
    <x v="0"/>
    <s v="ANT-0194"/>
    <d v="2023-10-04T18:15:00"/>
    <m/>
    <n v="22"/>
    <s v="Résolu"/>
    <n v="8.5490999999999998E-2"/>
    <n v="26.296129000000001"/>
    <x v="3"/>
    <s v="ZTE"/>
  </r>
  <r>
    <x v="0"/>
    <s v="ANT-0194"/>
    <d v="2023-10-26T22:06:00"/>
    <m/>
    <n v="55"/>
    <s v="Résolu"/>
    <n v="8.5490999999999998E-2"/>
    <n v="26.296129000000001"/>
    <x v="3"/>
    <s v="ZTE"/>
  </r>
  <r>
    <x v="0"/>
    <s v="ANT-0194"/>
    <d v="2023-10-06T17:04:00"/>
    <m/>
    <n v="11"/>
    <s v="Résolu"/>
    <n v="8.5490999999999998E-2"/>
    <n v="26.296129000000001"/>
    <x v="3"/>
    <s v="ZTE"/>
  </r>
  <r>
    <x v="0"/>
    <s v="ANT-0194"/>
    <d v="2023-10-21T12:23:00"/>
    <m/>
    <n v="108"/>
    <s v="Non Résolu"/>
    <n v="8.5490999999999998E-2"/>
    <n v="26.296129000000001"/>
    <x v="3"/>
    <s v="ZTE"/>
  </r>
  <r>
    <x v="17"/>
    <s v="ANT-0195"/>
    <d v="2023-10-02T11:37:00"/>
    <m/>
    <n v="106"/>
    <s v="Résolu"/>
    <n v="-8.0864899999999995"/>
    <n v="14.555277"/>
    <x v="3"/>
    <s v="Ericsson"/>
  </r>
  <r>
    <x v="17"/>
    <s v="ANT-0195"/>
    <d v="2023-10-04T23:57:00"/>
    <m/>
    <n v="28"/>
    <s v="Non Résolu"/>
    <n v="-8.0864899999999995"/>
    <n v="14.555277"/>
    <x v="3"/>
    <s v="Ericsson"/>
  </r>
  <r>
    <x v="17"/>
    <s v="ANT-0195"/>
    <d v="2023-10-11T00:31:00"/>
    <m/>
    <n v="83"/>
    <s v="Non Résolu"/>
    <n v="-8.0864899999999995"/>
    <n v="14.555277"/>
    <x v="3"/>
    <s v="Ericsson"/>
  </r>
  <r>
    <x v="17"/>
    <s v="ANT-0195"/>
    <d v="2023-10-14T15:30:00"/>
    <m/>
    <n v="111"/>
    <s v="Résolu"/>
    <n v="-8.0864899999999995"/>
    <n v="14.555277"/>
    <x v="3"/>
    <s v="Ericsson"/>
  </r>
  <r>
    <x v="17"/>
    <s v="ANT-0195"/>
    <d v="2023-10-02T09:58:00"/>
    <m/>
    <n v="77"/>
    <s v="Non Résolu"/>
    <n v="-8.0864899999999995"/>
    <n v="14.555277"/>
    <x v="3"/>
    <s v="Ericsson"/>
  </r>
  <r>
    <x v="17"/>
    <s v="ANT-0195"/>
    <d v="2023-10-12T02:22:00"/>
    <m/>
    <n v="63"/>
    <s v="Non Résolu"/>
    <n v="-8.0864899999999995"/>
    <n v="14.555277"/>
    <x v="3"/>
    <s v="Ericsson"/>
  </r>
  <r>
    <x v="2"/>
    <s v="ANT-0196"/>
    <d v="2023-10-04T09:27:00"/>
    <m/>
    <n v="116"/>
    <s v="Non Résolu"/>
    <s v="Non trouvé"/>
    <s v="Non trouvé"/>
    <x v="1"/>
    <s v="Non trouvé"/>
  </r>
  <r>
    <x v="2"/>
    <s v="ANT-0196"/>
    <d v="2023-10-15T01:35:00"/>
    <m/>
    <n v="73"/>
    <s v="Résolu"/>
    <s v="Non trouvé"/>
    <s v="Non trouvé"/>
    <x v="1"/>
    <s v="Non trouvé"/>
  </r>
  <r>
    <x v="2"/>
    <s v="ANT-0196"/>
    <d v="2023-10-29T18:44:00"/>
    <m/>
    <n v="103"/>
    <s v="En Cours"/>
    <s v="Non trouvé"/>
    <s v="Non trouvé"/>
    <x v="1"/>
    <s v="Non trouvé"/>
  </r>
  <r>
    <x v="2"/>
    <s v="ANT-0197"/>
    <d v="2023-10-09T01:46:00"/>
    <m/>
    <n v="52"/>
    <s v="Résolu"/>
    <s v="Non trouvé"/>
    <s v="Non trouvé"/>
    <x v="1"/>
    <s v="Non trouvé"/>
  </r>
  <r>
    <x v="2"/>
    <s v="ANT-0197"/>
    <d v="2023-10-30T12:05:00"/>
    <m/>
    <n v="118"/>
    <s v="En Cours"/>
    <s v="Non trouvé"/>
    <s v="Non trouvé"/>
    <x v="1"/>
    <s v="Non trouvé"/>
  </r>
  <r>
    <x v="2"/>
    <s v="ANT-0197"/>
    <d v="2023-10-21T09:53:00"/>
    <m/>
    <n v="106"/>
    <s v="En Cours"/>
    <s v="Non trouvé"/>
    <s v="Non trouvé"/>
    <x v="1"/>
    <s v="Non trouvé"/>
  </r>
  <r>
    <x v="2"/>
    <s v="ANT-0197"/>
    <d v="2023-10-10T14:07:00"/>
    <m/>
    <n v="92"/>
    <s v="Résolu"/>
    <s v="Non trouvé"/>
    <s v="Non trouvé"/>
    <x v="1"/>
    <s v="Non trouvé"/>
  </r>
  <r>
    <x v="2"/>
    <s v="ANT-0197"/>
    <d v="2023-10-30T19:14:00"/>
    <m/>
    <n v="33"/>
    <s v="Résolu"/>
    <s v="Non trouvé"/>
    <s v="Non trouvé"/>
    <x v="1"/>
    <s v="Non trouvé"/>
  </r>
  <r>
    <x v="2"/>
    <s v="ANT-0197"/>
    <d v="2023-10-12T16:37:00"/>
    <m/>
    <n v="73"/>
    <s v="Non Résolu"/>
    <s v="Non trouvé"/>
    <s v="Non trouvé"/>
    <x v="1"/>
    <s v="Non trouvé"/>
  </r>
  <r>
    <x v="2"/>
    <s v="ANT-0197"/>
    <d v="2023-10-29T15:38:00"/>
    <m/>
    <n v="71"/>
    <s v="En Cours"/>
    <s v="Non trouvé"/>
    <s v="Non trouvé"/>
    <x v="1"/>
    <s v="Non trouvé"/>
  </r>
  <r>
    <x v="2"/>
    <s v="ANT-0198"/>
    <d v="2023-10-29T18:36:00"/>
    <m/>
    <n v="62"/>
    <s v="En Cours"/>
    <s v="Non trouvé"/>
    <s v="Non trouvé"/>
    <x v="1"/>
    <s v="Non trouvé"/>
  </r>
  <r>
    <x v="2"/>
    <s v="ANT-0198"/>
    <d v="2023-10-27T17:02:00"/>
    <m/>
    <n v="96"/>
    <s v="En Cours"/>
    <s v="Non trouvé"/>
    <s v="Non trouvé"/>
    <x v="1"/>
    <s v="Non trouvé"/>
  </r>
  <r>
    <x v="2"/>
    <s v="ANT-0198"/>
    <d v="2023-10-14T11:55:00"/>
    <m/>
    <n v="117"/>
    <s v="Non Résolu"/>
    <s v="Non trouvé"/>
    <s v="Non trouvé"/>
    <x v="1"/>
    <s v="Non trouvé"/>
  </r>
  <r>
    <x v="2"/>
    <s v="ANT-0198"/>
    <d v="2023-10-03T03:53:00"/>
    <m/>
    <n v="114"/>
    <s v="Non Résolu"/>
    <s v="Non trouvé"/>
    <s v="Non trouvé"/>
    <x v="1"/>
    <s v="Non trouvé"/>
  </r>
  <r>
    <x v="2"/>
    <s v="ANT-0199"/>
    <d v="2023-10-04T07:14:00"/>
    <m/>
    <n v="35"/>
    <s v="Non Résolu"/>
    <s v="Non trouvé"/>
    <s v="Non trouvé"/>
    <x v="1"/>
    <s v="Non trouvé"/>
  </r>
  <r>
    <x v="2"/>
    <s v="ANT-0199"/>
    <d v="2023-10-31T00:07:00"/>
    <m/>
    <n v="21"/>
    <s v="Résolu"/>
    <s v="Non trouvé"/>
    <s v="Non trouvé"/>
    <x v="1"/>
    <s v="Non trouvé"/>
  </r>
  <r>
    <x v="2"/>
    <s v="ANT-0199"/>
    <d v="2023-10-15T02:38:00"/>
    <m/>
    <n v="17"/>
    <s v="En Cours"/>
    <s v="Non trouvé"/>
    <s v="Non trouvé"/>
    <x v="1"/>
    <s v="Non trouvé"/>
  </r>
  <r>
    <x v="2"/>
    <s v="ANT-0199"/>
    <d v="2023-10-12T02:33:00"/>
    <m/>
    <n v="16"/>
    <s v="Non Résolu"/>
    <s v="Non trouvé"/>
    <s v="Non trouvé"/>
    <x v="1"/>
    <s v="Non trouvé"/>
  </r>
  <r>
    <x v="11"/>
    <s v="ANT-0200"/>
    <d v="2023-10-17T14:00:00"/>
    <m/>
    <n v="38"/>
    <s v="Résolu"/>
    <n v="1.217457"/>
    <n v="25.48668"/>
    <x v="2"/>
    <s v="Nokia"/>
  </r>
  <r>
    <x v="11"/>
    <s v="ANT-0200"/>
    <d v="2023-10-25T09:15:00"/>
    <m/>
    <n v="73"/>
    <s v="Résolu"/>
    <n v="1.217457"/>
    <n v="25.48668"/>
    <x v="2"/>
    <s v="Nokia"/>
  </r>
  <r>
    <x v="24"/>
    <s v="ANT-0465"/>
    <d v="2023-10-04T00:47:00"/>
    <m/>
    <n v="73"/>
    <s v="Résolu"/>
    <n v="-11.144149000000001"/>
    <n v="27.244658999999999"/>
    <x v="0"/>
    <s v="Nokia"/>
  </r>
  <r>
    <x v="2"/>
    <s v="ANT-0004"/>
    <d v="2023-10-09T07:14:00"/>
    <m/>
    <n v="38"/>
    <s v="Résolu"/>
    <s v="Non trouvé"/>
    <s v="Non trouvé"/>
    <x v="1"/>
    <s v="Non trouvé"/>
  </r>
  <r>
    <x v="2"/>
    <s v="ANT-0977"/>
    <d v="2023-10-05T23:06:00"/>
    <m/>
    <n v="100"/>
    <s v="Non Résolu"/>
    <s v="Non trouvé"/>
    <s v="Non trouvé"/>
    <x v="1"/>
    <s v="Non trouvé"/>
  </r>
  <r>
    <x v="2"/>
    <s v="ANT-0740"/>
    <d v="2023-10-22T23:57:00"/>
    <m/>
    <n v="79"/>
    <s v="En Cours"/>
    <s v="Non trouvé"/>
    <s v="Non trouvé"/>
    <x v="1"/>
    <s v="Non trouvé"/>
  </r>
  <r>
    <x v="2"/>
    <s v="ANT-0897"/>
    <d v="2023-10-18T02:37:00"/>
    <m/>
    <n v="59"/>
    <s v="Résolu"/>
    <s v="Non trouvé"/>
    <s v="Non trouvé"/>
    <x v="1"/>
    <s v="Non trouvé"/>
  </r>
  <r>
    <x v="8"/>
    <s v="ANT-0737"/>
    <d v="2023-10-14T01:01:00"/>
    <m/>
    <n v="119"/>
    <s v="Non Résolu"/>
    <n v="-2.8211520000000001"/>
    <n v="20.651419000000001"/>
    <x v="2"/>
    <s v="Ericsson"/>
  </r>
  <r>
    <x v="14"/>
    <s v="ANT-0270"/>
    <d v="2023-10-03T06:14:00"/>
    <m/>
    <n v="79"/>
    <s v="Résolu"/>
    <n v="-1.648264"/>
    <n v="28.866143999999998"/>
    <x v="2"/>
    <s v="Ericsson"/>
  </r>
  <r>
    <x v="2"/>
    <s v="ANT-0996"/>
    <d v="2023-10-17T19:01:00"/>
    <m/>
    <n v="56"/>
    <s v="Résolu"/>
    <s v="Non trouvé"/>
    <s v="Non trouvé"/>
    <x v="1"/>
    <s v="Non trouvé"/>
  </r>
  <r>
    <x v="2"/>
    <s v="ANT-0513"/>
    <d v="2023-10-18T06:45:00"/>
    <m/>
    <n v="51"/>
    <s v="Non Résolu"/>
    <s v="Non trouvé"/>
    <s v="Non trouvé"/>
    <x v="1"/>
    <s v="Non trouvé"/>
  </r>
  <r>
    <x v="2"/>
    <s v="ANT-0781"/>
    <d v="2023-10-21T22:34:00"/>
    <m/>
    <n v="33"/>
    <s v="En Cours"/>
    <s v="Non trouvé"/>
    <s v="Non trouvé"/>
    <x v="1"/>
    <s v="Non trouvé"/>
  </r>
  <r>
    <x v="25"/>
    <s v="ANT-0183"/>
    <d v="2023-10-14T07:28:00"/>
    <m/>
    <n v="22"/>
    <s v="Non Résolu"/>
    <n v="4.8319039999999998"/>
    <n v="20.733468999999999"/>
    <x v="2"/>
    <s v="Ericsson"/>
  </r>
  <r>
    <x v="26"/>
    <s v="ANT-0520"/>
    <d v="2023-10-19T08:51:00"/>
    <m/>
    <n v="70"/>
    <s v="Résolu"/>
    <n v="-8.4227860000000003"/>
    <n v="16.781293000000002"/>
    <x v="0"/>
    <s v="Huawei"/>
  </r>
  <r>
    <x v="0"/>
    <s v="ANT-0935"/>
    <d v="2023-10-28T00:48:00"/>
    <m/>
    <n v="68"/>
    <s v="En Cours"/>
    <n v="-10.375266999999999"/>
    <n v="17.993663000000002"/>
    <x v="2"/>
    <s v="ZTE"/>
  </r>
  <r>
    <x v="2"/>
    <s v="ANT-0109"/>
    <d v="2023-10-26T05:44:00"/>
    <m/>
    <n v="16"/>
    <s v="Non Résolu"/>
    <s v="Non trouvé"/>
    <s v="Non trouvé"/>
    <x v="1"/>
    <s v="Non trouvé"/>
  </r>
  <r>
    <x v="2"/>
    <s v="ANT-0892"/>
    <d v="2023-10-14T10:17:00"/>
    <m/>
    <n v="101"/>
    <s v="Non Résolu"/>
    <s v="Non trouvé"/>
    <s v="Non trouvé"/>
    <x v="1"/>
    <s v="Non trouvé"/>
  </r>
  <r>
    <x v="26"/>
    <s v="ANT-0641"/>
    <d v="2023-10-05T06:48:00"/>
    <m/>
    <n v="11"/>
    <s v="En Cours"/>
    <n v="-2.2371569999999998"/>
    <n v="25.926188"/>
    <x v="3"/>
    <s v="Nokia"/>
  </r>
  <r>
    <x v="2"/>
    <s v="ANT-0306"/>
    <d v="2023-10-11T03:05:00"/>
    <m/>
    <n v="115"/>
    <s v="Résolu"/>
    <s v="Non trouvé"/>
    <s v="Non trouvé"/>
    <x v="1"/>
    <s v="Non trouvé"/>
  </r>
  <r>
    <x v="24"/>
    <s v="ANT-0862"/>
    <d v="2023-10-13T03:22:00"/>
    <m/>
    <n v="19"/>
    <s v="Non Résolu"/>
    <n v="-9.4708620000000003"/>
    <n v="29.234387999999999"/>
    <x v="3"/>
    <s v="ZTE"/>
  </r>
  <r>
    <x v="2"/>
    <s v="ANT-0655"/>
    <d v="2023-10-28T11:38:00"/>
    <m/>
    <n v="24"/>
    <s v="Non Résolu"/>
    <s v="Non trouvé"/>
    <s v="Non trouvé"/>
    <x v="1"/>
    <s v="Non trouvé"/>
  </r>
  <r>
    <x v="26"/>
    <s v="ANT-0520"/>
    <d v="2023-10-09T01:46:00"/>
    <m/>
    <n v="85"/>
    <s v="Non Résolu"/>
    <n v="-8.4227860000000003"/>
    <n v="16.781293000000002"/>
    <x v="0"/>
    <s v="Huawei"/>
  </r>
  <r>
    <x v="7"/>
    <s v="ANT-0624"/>
    <d v="2023-10-15T17:07:00"/>
    <m/>
    <n v="25"/>
    <s v="Résolu"/>
    <n v="0.172153"/>
    <n v="21.091376"/>
    <x v="3"/>
    <s v="Ericsson"/>
  </r>
  <r>
    <x v="2"/>
    <s v="ANT-0204"/>
    <d v="2023-10-30T12:05:00"/>
    <m/>
    <n v="106"/>
    <s v="Non Résolu"/>
    <s v="Non trouvé"/>
    <s v="Non trouvé"/>
    <x v="1"/>
    <s v="Non trouvé"/>
  </r>
  <r>
    <x v="2"/>
    <s v="ANT-0157"/>
    <d v="2023-10-18T09:53:00"/>
    <m/>
    <n v="92"/>
    <s v="En Cours"/>
    <s v="Non trouvé"/>
    <s v="Non trouvé"/>
    <x v="1"/>
    <s v="Non trouvé"/>
  </r>
  <r>
    <x v="2"/>
    <s v="ANT-0383"/>
    <d v="2023-10-21T19:56:00"/>
    <m/>
    <n v="59"/>
    <s v="En Cours"/>
    <s v="Non trouvé"/>
    <s v="Non trouvé"/>
    <x v="1"/>
    <s v="Non trouvé"/>
  </r>
  <r>
    <x v="2"/>
    <s v="ANT-0781"/>
    <d v="2023-10-28T11:36:00"/>
    <m/>
    <n v="81"/>
    <s v="Non Résolu"/>
    <s v="Non trouvé"/>
    <s v="Non trouvé"/>
    <x v="1"/>
    <s v="Non trouvé"/>
  </r>
  <r>
    <x v="17"/>
    <s v="ANT-0166"/>
    <d v="2023-10-07T22:04:00"/>
    <m/>
    <n v="13"/>
    <s v="Non Résolu"/>
    <n v="-10.56448"/>
    <n v="19.792876"/>
    <x v="2"/>
    <s v="Ericsson"/>
  </r>
  <r>
    <x v="15"/>
    <s v="ANT-0553"/>
    <d v="2023-10-02T21:14:00"/>
    <m/>
    <n v="54"/>
    <s v="En Cours"/>
    <n v="4.6287159999999998"/>
    <n v="19.407077999999998"/>
    <x v="0"/>
    <s v="Ericsson"/>
  </r>
  <r>
    <x v="2"/>
    <s v="ANT-0977"/>
    <d v="2023-10-25T09:05:00"/>
    <m/>
    <n v="53"/>
    <s v="En Cours"/>
    <s v="Non trouvé"/>
    <s v="Non trouvé"/>
    <x v="1"/>
    <s v="Non trouvé"/>
  </r>
  <r>
    <x v="2"/>
    <s v="ANT-0798"/>
    <d v="2023-10-28T07:55:00"/>
    <m/>
    <n v="81"/>
    <s v="Non Résolu"/>
    <s v="Non trouvé"/>
    <s v="Non trouvé"/>
    <x v="1"/>
    <s v="Non trouvé"/>
  </r>
  <r>
    <x v="5"/>
    <s v="ANT-0945"/>
    <d v="2023-10-04T12:17:00"/>
    <m/>
    <n v="64"/>
    <s v="En Cours"/>
    <n v="0.23583499999999999"/>
    <n v="24.889558999999998"/>
    <x v="3"/>
    <s v="ZTE"/>
  </r>
  <r>
    <x v="2"/>
    <s v="ANT-0544"/>
    <d v="2023-10-15T20:53:00"/>
    <m/>
    <n v="72"/>
    <s v="Résolu"/>
    <s v="Non trouvé"/>
    <s v="Non trouvé"/>
    <x v="1"/>
    <s v="Non trouvé"/>
  </r>
  <r>
    <x v="24"/>
    <s v="ANT-0941"/>
    <d v="2023-10-12T05:23:00"/>
    <m/>
    <n v="37"/>
    <s v="Résolu"/>
    <n v="-2.4662510000000002"/>
    <n v="18.007998000000001"/>
    <x v="2"/>
    <s v="Ericsson"/>
  </r>
  <r>
    <x v="0"/>
    <s v="ANT-0001"/>
    <d v="2023-10-12T06:42:00"/>
    <m/>
    <n v="75"/>
    <s v="Résolu"/>
    <n v="-8.1437910000000002"/>
    <n v="28.946161"/>
    <x v="0"/>
    <s v="ZTE"/>
  </r>
  <r>
    <x v="5"/>
    <s v="ANT-0614"/>
    <d v="2023-10-09T22:59:00"/>
    <m/>
    <n v="115"/>
    <s v="Résolu"/>
    <n v="-6.1837850000000003"/>
    <n v="25.138759"/>
    <x v="3"/>
    <s v="Ericsson"/>
  </r>
  <r>
    <x v="10"/>
    <s v="ANT-0332"/>
    <d v="2023-10-22T20:04:00"/>
    <m/>
    <n v="6"/>
    <s v="En Cours"/>
    <n v="-4.9789079999999997"/>
    <n v="28.506295000000001"/>
    <x v="0"/>
    <s v="Huawei"/>
  </r>
  <r>
    <x v="2"/>
    <s v="ANT-0501"/>
    <d v="2023-10-20T20:10:00"/>
    <m/>
    <n v="92"/>
    <s v="Résolu"/>
    <s v="Non trouvé"/>
    <s v="Non trouvé"/>
    <x v="1"/>
    <s v="Non trouvé"/>
  </r>
  <r>
    <x v="10"/>
    <s v="ANT-0020"/>
    <d v="2023-10-18T23:15:00"/>
    <m/>
    <n v="97"/>
    <s v="Non Résolu"/>
    <n v="-10.059846"/>
    <n v="14.375757999999999"/>
    <x v="0"/>
    <s v="Huawei"/>
  </r>
  <r>
    <x v="2"/>
    <s v="ANT-0115"/>
    <d v="2023-10-06T14:24:00"/>
    <m/>
    <n v="19"/>
    <s v="Non Résolu"/>
    <s v="Non trouvé"/>
    <s v="Non trouvé"/>
    <x v="1"/>
    <s v="Non trouvé"/>
  </r>
  <r>
    <x v="20"/>
    <s v="ANT-0952"/>
    <d v="2023-10-09T20:44:00"/>
    <m/>
    <n v="92"/>
    <s v="Résolu"/>
    <n v="-0.77432100000000004"/>
    <n v="18.628658999999999"/>
    <x v="0"/>
    <s v="Huawei"/>
  </r>
  <r>
    <x v="2"/>
    <s v="ANT-0372"/>
    <d v="2023-10-18T07:43:00"/>
    <m/>
    <n v="118"/>
    <s v="Non Résolu"/>
    <s v="Non trouvé"/>
    <s v="Non trouvé"/>
    <x v="1"/>
    <s v="Non trouvé"/>
  </r>
  <r>
    <x v="24"/>
    <s v="ANT-0900"/>
    <d v="2023-10-11T01:14:00"/>
    <m/>
    <n v="73"/>
    <s v="Résolu"/>
    <n v="-10.776204"/>
    <n v="24.672934000000001"/>
    <x v="0"/>
    <s v="Ericsson"/>
  </r>
  <r>
    <x v="21"/>
    <s v="ANT-0852"/>
    <d v="2023-10-27T01:51:00"/>
    <m/>
    <n v="101"/>
    <s v="Résolu"/>
    <n v="4.2493650000000001"/>
    <n v="28.355039999999999"/>
    <x v="3"/>
    <s v="ZTE"/>
  </r>
  <r>
    <x v="3"/>
    <s v="ANT-0315"/>
    <d v="2023-10-03T06:58:00"/>
    <m/>
    <n v="103"/>
    <s v="Non Résolu"/>
    <n v="4.9250049999999996"/>
    <n v="19.887931999999999"/>
    <x v="0"/>
    <s v="Huawei"/>
  </r>
  <r>
    <x v="2"/>
    <s v="ANT-0246"/>
    <d v="2023-10-31T18:56:00"/>
    <m/>
    <n v="87"/>
    <s v="Non Résolu"/>
    <s v="Non trouvé"/>
    <s v="Non trouvé"/>
    <x v="1"/>
    <s v="Non trouvé"/>
  </r>
  <r>
    <x v="2"/>
    <s v="ANT-0060"/>
    <d v="2023-10-23T10:13:00"/>
    <m/>
    <n v="48"/>
    <s v="Résolu"/>
    <s v="Non trouvé"/>
    <s v="Non trouvé"/>
    <x v="1"/>
    <s v="Non trouvé"/>
  </r>
  <r>
    <x v="2"/>
    <s v="ANT-0247"/>
    <d v="2023-10-21T15:25:00"/>
    <m/>
    <n v="19"/>
    <s v="Résolu"/>
    <s v="Non trouvé"/>
    <s v="Non trouvé"/>
    <x v="1"/>
    <s v="Non trouvé"/>
  </r>
  <r>
    <x v="24"/>
    <s v="ANT-0900"/>
    <d v="2023-10-29T20:29:00"/>
    <m/>
    <n v="42"/>
    <s v="Résolu"/>
    <n v="-10.776204"/>
    <n v="24.672934000000001"/>
    <x v="0"/>
    <s v="Ericsson"/>
  </r>
  <r>
    <x v="2"/>
    <s v="ANT-0581"/>
    <d v="2023-10-05T08:08:00"/>
    <m/>
    <n v="60"/>
    <s v="Résolu"/>
    <s v="Non trouvé"/>
    <s v="Non trouvé"/>
    <x v="1"/>
    <s v="Non trouvé"/>
  </r>
  <r>
    <x v="15"/>
    <s v="ANT-0970"/>
    <d v="2023-10-08T23:35:00"/>
    <m/>
    <n v="25"/>
    <s v="En Cours"/>
    <n v="-11.866133"/>
    <n v="27.068932"/>
    <x v="3"/>
    <s v="Huawei"/>
  </r>
  <r>
    <x v="2"/>
    <s v="ANT-0650"/>
    <d v="2023-10-19T15:15:00"/>
    <m/>
    <n v="17"/>
    <s v="En Cours"/>
    <s v="Non trouvé"/>
    <s v="Non trouvé"/>
    <x v="1"/>
    <s v="Non trouvé"/>
  </r>
  <r>
    <x v="2"/>
    <s v="ANT-0874"/>
    <d v="2023-10-26T15:51:00"/>
    <m/>
    <n v="14"/>
    <s v="Résolu"/>
    <s v="Non trouvé"/>
    <s v="Non trouvé"/>
    <x v="1"/>
    <s v="Non trouvé"/>
  </r>
  <r>
    <x v="19"/>
    <s v="ANT-0271"/>
    <d v="2023-10-14T06:06:00"/>
    <m/>
    <n v="73"/>
    <s v="En Cours"/>
    <n v="-5.1030600000000002"/>
    <n v="22.849231"/>
    <x v="2"/>
    <s v="ZTE"/>
  </r>
  <r>
    <x v="2"/>
    <s v="ANT-0518"/>
    <d v="2023-10-04T21:27:00"/>
    <m/>
    <n v="32"/>
    <s v="Résolu"/>
    <s v="Non trouvé"/>
    <s v="Non trouvé"/>
    <x v="1"/>
    <s v="Non trouvé"/>
  </r>
  <r>
    <x v="2"/>
    <s v="ANT-0501"/>
    <d v="2023-10-12T13:26:00"/>
    <m/>
    <n v="69"/>
    <s v="Non Résolu"/>
    <s v="Non trouvé"/>
    <s v="Non trouvé"/>
    <x v="1"/>
    <s v="Non trouvé"/>
  </r>
  <r>
    <x v="22"/>
    <s v="ANT-0258"/>
    <d v="2023-10-15T23:03:00"/>
    <m/>
    <n v="38"/>
    <s v="Résolu"/>
    <n v="-11.710407999999999"/>
    <n v="23.741330999999999"/>
    <x v="3"/>
    <s v="Huawei"/>
  </r>
  <r>
    <x v="24"/>
    <s v="ANT-0928"/>
    <d v="2023-10-22T20:41:00"/>
    <m/>
    <n v="21"/>
    <s v="Non Résolu"/>
    <n v="-1.864393"/>
    <n v="21.453434000000001"/>
    <x v="2"/>
    <s v="Ericsson"/>
  </r>
  <r>
    <x v="2"/>
    <s v="ANT-0930"/>
    <d v="2023-10-04T01:25:00"/>
    <m/>
    <n v="49"/>
    <s v="Résolu"/>
    <s v="Non trouvé"/>
    <s v="Non trouvé"/>
    <x v="1"/>
    <s v="Non trouvé"/>
  </r>
  <r>
    <x v="2"/>
    <s v="ANT-0867"/>
    <d v="2023-10-24T10:51:00"/>
    <m/>
    <n v="117"/>
    <s v="En Cours"/>
    <s v="Non trouvé"/>
    <s v="Non trouvé"/>
    <x v="1"/>
    <s v="Non trouvé"/>
  </r>
  <r>
    <x v="2"/>
    <s v="ANT-0053"/>
    <d v="2023-10-28T03:15:00"/>
    <m/>
    <n v="13"/>
    <s v="Non Résolu"/>
    <s v="Non trouvé"/>
    <s v="Non trouvé"/>
    <x v="1"/>
    <s v="Non trouvé"/>
  </r>
  <r>
    <x v="2"/>
    <s v="ANT-0095"/>
    <d v="2023-10-07T06:34:00"/>
    <m/>
    <n v="117"/>
    <s v="En Cours"/>
    <s v="Non trouvé"/>
    <s v="Non trouvé"/>
    <x v="1"/>
    <s v="Non trouvé"/>
  </r>
  <r>
    <x v="2"/>
    <s v="ANT-0650"/>
    <d v="2023-10-15T04:27:00"/>
    <m/>
    <n v="36"/>
    <s v="Non Résolu"/>
    <s v="Non trouvé"/>
    <s v="Non trouvé"/>
    <x v="1"/>
    <s v="Non trouvé"/>
  </r>
  <r>
    <x v="24"/>
    <s v="ANT-0434"/>
    <d v="2023-10-06T08:29:00"/>
    <m/>
    <n v="52"/>
    <s v="Non Résolu"/>
    <n v="3.1362930000000002"/>
    <n v="16.190878000000001"/>
    <x v="3"/>
    <s v="Nokia"/>
  </r>
  <r>
    <x v="20"/>
    <s v="ANT-0850"/>
    <d v="2023-10-08T02:28:00"/>
    <m/>
    <n v="41"/>
    <s v="Résolu"/>
    <n v="-5.9021970000000001"/>
    <n v="20.551169999999999"/>
    <x v="3"/>
    <s v="Huawei"/>
  </r>
  <r>
    <x v="7"/>
    <s v="ANT-0284"/>
    <d v="2023-10-26T17:06:00"/>
    <m/>
    <n v="25"/>
    <s v="Résolu"/>
    <n v="-5.5445120000000001"/>
    <n v="27.547335"/>
    <x v="0"/>
    <s v="Ericsson"/>
  </r>
  <r>
    <x v="2"/>
    <s v="ANT-0046"/>
    <d v="2023-10-02T20:34:00"/>
    <m/>
    <n v="61"/>
    <s v="Résolu"/>
    <s v="Non trouvé"/>
    <s v="Non trouvé"/>
    <x v="1"/>
    <s v="Non trouvé"/>
  </r>
  <r>
    <x v="2"/>
    <s v="ANT-0004"/>
    <d v="2023-10-27T00:05:00"/>
    <m/>
    <n v="111"/>
    <s v="Résolu"/>
    <s v="Non trouvé"/>
    <s v="Non trouvé"/>
    <x v="1"/>
    <s v="Non trouvé"/>
  </r>
  <r>
    <x v="2"/>
    <s v="ANT-0342"/>
    <d v="2023-10-30T07:10:00"/>
    <m/>
    <n v="74"/>
    <s v="En Cours"/>
    <s v="Non trouvé"/>
    <s v="Non trouvé"/>
    <x v="1"/>
    <s v="Non trouvé"/>
  </r>
  <r>
    <x v="7"/>
    <s v="ANT-0790"/>
    <d v="2023-10-14T15:30:00"/>
    <m/>
    <n v="95"/>
    <s v="Résolu"/>
    <n v="-2.9417719999999998"/>
    <n v="18.587305000000001"/>
    <x v="2"/>
    <s v="Ericsson"/>
  </r>
  <r>
    <x v="25"/>
    <s v="ANT-0134"/>
    <d v="2023-10-07T12:57:00"/>
    <m/>
    <n v="43"/>
    <s v="Résolu"/>
    <n v="-10.963041"/>
    <n v="12.269857"/>
    <x v="0"/>
    <s v="Huawei"/>
  </r>
  <r>
    <x v="15"/>
    <s v="ANT-0653"/>
    <d v="2023-10-02T05:24:00"/>
    <m/>
    <n v="83"/>
    <s v="Non Résolu"/>
    <n v="0.82868600000000003"/>
    <n v="26.958843999999999"/>
    <x v="2"/>
    <s v="ZTE"/>
  </r>
  <r>
    <x v="2"/>
    <s v="ANT-0269"/>
    <d v="2023-10-01T12:16:00"/>
    <m/>
    <n v="108"/>
    <s v="En Cours"/>
    <s v="Non trouvé"/>
    <s v="Non trouvé"/>
    <x v="1"/>
    <s v="Non trouvé"/>
  </r>
  <r>
    <x v="17"/>
    <s v="ANT-0166"/>
    <d v="2023-10-30T14:18:00"/>
    <m/>
    <n v="88"/>
    <s v="En Cours"/>
    <n v="-10.56448"/>
    <n v="19.792876"/>
    <x v="2"/>
    <s v="Ericsson"/>
  </r>
  <r>
    <x v="9"/>
    <s v="ANT-0760"/>
    <d v="2023-10-14T22:46:00"/>
    <m/>
    <n v="72"/>
    <s v="Non Résolu"/>
    <n v="-2.7140689999999998"/>
    <n v="22.222104000000002"/>
    <x v="0"/>
    <s v="Nokia"/>
  </r>
  <r>
    <x v="2"/>
    <s v="ANT-0453"/>
    <d v="2023-10-26T17:42:00"/>
    <m/>
    <n v="6"/>
    <s v="Non Résolu"/>
    <s v="Non trouvé"/>
    <s v="Non trouvé"/>
    <x v="1"/>
    <s v="Non trouvé"/>
  </r>
  <r>
    <x v="24"/>
    <s v="ANT-0565"/>
    <d v="2023-10-23T15:09:00"/>
    <m/>
    <n v="90"/>
    <s v="Résolu"/>
    <n v="-2.099631"/>
    <n v="13.974640000000001"/>
    <x v="3"/>
    <s v="Nokia"/>
  </r>
  <r>
    <x v="2"/>
    <s v="ANT-0723"/>
    <d v="2023-10-07T09:13:00"/>
    <m/>
    <n v="109"/>
    <s v="En Cours"/>
    <s v="Non trouvé"/>
    <s v="Non trouvé"/>
    <x v="1"/>
    <s v="Non trouvé"/>
  </r>
  <r>
    <x v="2"/>
    <s v="ANT-0438"/>
    <d v="2023-10-31T01:37:00"/>
    <m/>
    <n v="75"/>
    <s v="Résolu"/>
    <s v="Non trouvé"/>
    <s v="Non trouvé"/>
    <x v="1"/>
    <s v="Non trouvé"/>
  </r>
  <r>
    <x v="2"/>
    <s v="ANT-0575"/>
    <d v="2023-10-24T17:03:00"/>
    <m/>
    <n v="43"/>
    <s v="Non Résolu"/>
    <s v="Non trouvé"/>
    <s v="Non trouvé"/>
    <x v="1"/>
    <s v="Non trouvé"/>
  </r>
  <r>
    <x v="7"/>
    <s v="ANT-0010"/>
    <d v="2023-10-24T10:03:00"/>
    <m/>
    <n v="89"/>
    <s v="Résolu"/>
    <n v="4.4712560000000003"/>
    <n v="27.107028"/>
    <x v="3"/>
    <s v="Ericsson"/>
  </r>
  <r>
    <x v="2"/>
    <s v="ANT-0115"/>
    <d v="2023-10-02T18:30:00"/>
    <m/>
    <n v="18"/>
    <s v="En Cours"/>
    <s v="Non trouvé"/>
    <s v="Non trouvé"/>
    <x v="1"/>
    <s v="Non trouvé"/>
  </r>
  <r>
    <x v="17"/>
    <s v="ANT-0078"/>
    <d v="2023-10-17T16:10:00"/>
    <m/>
    <n v="117"/>
    <s v="Résolu"/>
    <n v="-12.141233"/>
    <n v="15.179043999999999"/>
    <x v="2"/>
    <s v="Ericsson"/>
  </r>
  <r>
    <x v="2"/>
    <s v="ANT-0968"/>
    <d v="2023-10-02T16:05:00"/>
    <m/>
    <n v="22"/>
    <s v="En Cours"/>
    <s v="Non trouvé"/>
    <s v="Non trouvé"/>
    <x v="1"/>
    <s v="Non trouvé"/>
  </r>
  <r>
    <x v="2"/>
    <s v="ANT-0905"/>
    <d v="2023-10-28T05:04:00"/>
    <m/>
    <n v="38"/>
    <s v="Résolu"/>
    <s v="Non trouvé"/>
    <s v="Non trouvé"/>
    <x v="1"/>
    <s v="Non trouvé"/>
  </r>
  <r>
    <x v="25"/>
    <s v="ANT-0708"/>
    <d v="2023-10-20T02:43:00"/>
    <m/>
    <n v="19"/>
    <s v="Résolu"/>
    <n v="-9.7712979999999998"/>
    <n v="19.827895999999999"/>
    <x v="3"/>
    <s v="ZTE"/>
  </r>
  <r>
    <x v="17"/>
    <s v="ANT-0926"/>
    <d v="2023-10-28T07:25:00"/>
    <m/>
    <n v="118"/>
    <s v="En Cours"/>
    <n v="-10.914952"/>
    <n v="26.409648000000001"/>
    <x v="0"/>
    <s v="Huawei"/>
  </r>
  <r>
    <x v="0"/>
    <s v="ANT-0153"/>
    <d v="2023-10-04T18:15:00"/>
    <m/>
    <n v="18"/>
    <s v="En Cours"/>
    <n v="0.94539899999999999"/>
    <n v="14.401821999999999"/>
    <x v="2"/>
    <s v="Nokia"/>
  </r>
  <r>
    <x v="2"/>
    <s v="ANT-0559"/>
    <d v="2023-10-19T19:02:00"/>
    <m/>
    <n v="100"/>
    <s v="En Cours"/>
    <s v="Non trouvé"/>
    <s v="Non trouvé"/>
    <x v="1"/>
    <s v="Non trouvé"/>
  </r>
  <r>
    <x v="12"/>
    <s v="ANT-0037"/>
    <d v="2023-10-20T02:26:00"/>
    <m/>
    <n v="75"/>
    <s v="Résolu"/>
    <n v="-7.0076900000000002"/>
    <n v="27.367121999999998"/>
    <x v="3"/>
    <s v="Nokia"/>
  </r>
  <r>
    <x v="13"/>
    <s v="ANT-0855"/>
    <d v="2023-10-22T18:36:00"/>
    <m/>
    <n v="24"/>
    <s v="Résolu"/>
    <n v="-11.514188000000001"/>
    <n v="15.971181"/>
    <x v="2"/>
    <s v="Ericsson"/>
  </r>
  <r>
    <x v="14"/>
    <s v="ANT-0379"/>
    <d v="2023-10-17T10:59:00"/>
    <m/>
    <n v="39"/>
    <s v="Résolu"/>
    <n v="-9.5266249999999992"/>
    <n v="27.889690999999999"/>
    <x v="0"/>
    <s v="Ericsson"/>
  </r>
  <r>
    <x v="0"/>
    <s v="ANT-0597"/>
    <d v="2023-10-09T06:42:00"/>
    <m/>
    <n v="41"/>
    <s v="Non Résolu"/>
    <n v="-9.3066320000000005"/>
    <n v="20.470889"/>
    <x v="2"/>
    <s v="ZTE"/>
  </r>
  <r>
    <x v="4"/>
    <s v="ANT-0566"/>
    <d v="2023-10-23T10:15:00"/>
    <m/>
    <n v="82"/>
    <s v="Résolu"/>
    <n v="-4.4697000000000001E-2"/>
    <n v="22.943373000000001"/>
    <x v="3"/>
    <s v="Huawei"/>
  </r>
  <r>
    <x v="2"/>
    <s v="ANT-0152"/>
    <d v="2023-10-09T12:08:00"/>
    <m/>
    <n v="31"/>
    <s v="En Cours"/>
    <s v="Non trouvé"/>
    <s v="Non trouvé"/>
    <x v="1"/>
    <s v="Non trouvé"/>
  </r>
  <r>
    <x v="21"/>
    <s v="ANT-0441"/>
    <d v="2023-10-22T20:19:00"/>
    <m/>
    <n v="96"/>
    <s v="En Cours"/>
    <n v="-5.2526849999999996"/>
    <n v="12.374528"/>
    <x v="3"/>
    <s v="Nokia"/>
  </r>
  <r>
    <x v="17"/>
    <s v="ANT-0131"/>
    <d v="2023-10-15T10:59:00"/>
    <m/>
    <n v="48"/>
    <s v="En Cours"/>
    <n v="-9.3652239999999995"/>
    <n v="22.593423999999999"/>
    <x v="2"/>
    <s v="Nokia"/>
  </r>
  <r>
    <x v="2"/>
    <s v="ANT-0043"/>
    <d v="2023-10-25T02:00:00"/>
    <m/>
    <n v="31"/>
    <s v="Résolu"/>
    <s v="Non trouvé"/>
    <s v="Non trouvé"/>
    <x v="1"/>
    <s v="Non trouvé"/>
  </r>
  <r>
    <x v="2"/>
    <s v="ANT-0316"/>
    <d v="2023-10-15T19:36:00"/>
    <m/>
    <n v="92"/>
    <s v="En Cours"/>
    <s v="Non trouvé"/>
    <s v="Non trouvé"/>
    <x v="1"/>
    <s v="Non trouvé"/>
  </r>
  <r>
    <x v="22"/>
    <s v="ANT-0573"/>
    <d v="2023-10-31T00:07:00"/>
    <m/>
    <n v="58"/>
    <s v="Résolu"/>
    <n v="-7.4608439999999998"/>
    <n v="23.268619999999999"/>
    <x v="0"/>
    <s v="Huawei"/>
  </r>
  <r>
    <x v="2"/>
    <s v="ANT-0610"/>
    <d v="2023-10-29T08:11:00"/>
    <m/>
    <n v="118"/>
    <s v="En Cours"/>
    <s v="Non trouvé"/>
    <s v="Non trouvé"/>
    <x v="1"/>
    <s v="Non trouvé"/>
  </r>
  <r>
    <x v="2"/>
    <s v="ANT-0325"/>
    <d v="2023-10-19T08:02:00"/>
    <m/>
    <n v="85"/>
    <s v="En Cours"/>
    <s v="Non trouvé"/>
    <s v="Non trouvé"/>
    <x v="1"/>
    <s v="Non trouvé"/>
  </r>
  <r>
    <x v="2"/>
    <s v="ANT-0973"/>
    <d v="2023-10-04T19:27:00"/>
    <m/>
    <n v="78"/>
    <s v="En Cours"/>
    <s v="Non trouvé"/>
    <s v="Non trouvé"/>
    <x v="1"/>
    <s v="Non trouvé"/>
  </r>
  <r>
    <x v="2"/>
    <s v="ANT-0774"/>
    <d v="2023-10-12T23:50:00"/>
    <m/>
    <n v="29"/>
    <s v="Non Résolu"/>
    <s v="Non trouvé"/>
    <s v="Non trouvé"/>
    <x v="1"/>
    <s v="Non trouvé"/>
  </r>
  <r>
    <x v="11"/>
    <s v="ANT-0913"/>
    <d v="2023-10-11T13:38:00"/>
    <m/>
    <n v="96"/>
    <s v="Résolu"/>
    <n v="-5.4126279999999998"/>
    <n v="25.498235999999999"/>
    <x v="2"/>
    <s v="ZTE"/>
  </r>
  <r>
    <x v="15"/>
    <s v="ANT-0454"/>
    <d v="2023-10-17T03:24:00"/>
    <m/>
    <n v="94"/>
    <s v="Résolu"/>
    <n v="1.8103860000000001"/>
    <n v="15.175582"/>
    <x v="3"/>
    <s v="Huawei"/>
  </r>
  <r>
    <x v="2"/>
    <s v="ANT-0628"/>
    <d v="2023-10-29T18:12:00"/>
    <m/>
    <n v="54"/>
    <s v="Résolu"/>
    <s v="Non trouvé"/>
    <s v="Non trouvé"/>
    <x v="1"/>
    <s v="Non trouvé"/>
  </r>
  <r>
    <x v="15"/>
    <s v="ANT-0835"/>
    <d v="2023-10-09T01:45:00"/>
    <m/>
    <n v="68"/>
    <s v="Résolu"/>
    <n v="1.017161"/>
    <n v="16.519689"/>
    <x v="3"/>
    <s v="Nokia"/>
  </r>
  <r>
    <x v="8"/>
    <s v="ANT-0737"/>
    <d v="2023-10-14T00:33:00"/>
    <m/>
    <n v="56"/>
    <s v="En Cours"/>
    <n v="-2.8211520000000001"/>
    <n v="20.651419000000001"/>
    <x v="2"/>
    <s v="Ericsson"/>
  </r>
  <r>
    <x v="26"/>
    <s v="ANT-0914"/>
    <d v="2023-10-30T17:43:00"/>
    <m/>
    <n v="36"/>
    <s v="Non Résolu"/>
    <n v="-11.218453999999999"/>
    <n v="28.230025000000001"/>
    <x v="2"/>
    <s v="ZTE"/>
  </r>
  <r>
    <x v="9"/>
    <s v="ANT-0517"/>
    <d v="2023-10-24T23:47:00"/>
    <m/>
    <n v="23"/>
    <s v="Résolu"/>
    <n v="-8.0922239999999999"/>
    <n v="15.483708"/>
    <x v="2"/>
    <s v="Nokia"/>
  </r>
  <r>
    <x v="11"/>
    <s v="ANT-0437"/>
    <d v="2023-10-22T06:23:00"/>
    <m/>
    <n v="88"/>
    <s v="Non Résolu"/>
    <n v="-1.339734"/>
    <n v="15.243098"/>
    <x v="3"/>
    <s v="Nokia"/>
  </r>
  <r>
    <x v="2"/>
    <s v="ANT-0851"/>
    <d v="2023-10-14T02:42:00"/>
    <m/>
    <n v="93"/>
    <s v="Résolu"/>
    <s v="Non trouvé"/>
    <s v="Non trouvé"/>
    <x v="1"/>
    <s v="Non trouvé"/>
  </r>
  <r>
    <x v="14"/>
    <s v="ANT-0929"/>
    <d v="2023-10-30T10:39:00"/>
    <m/>
    <n v="5"/>
    <s v="Résolu"/>
    <n v="-6.6803710000000001"/>
    <n v="21.955673000000001"/>
    <x v="0"/>
    <s v="Nokia"/>
  </r>
  <r>
    <x v="2"/>
    <s v="ANT-0562"/>
    <d v="2023-10-11T21:54:00"/>
    <m/>
    <n v="119"/>
    <s v="En Cours"/>
    <s v="Non trouvé"/>
    <s v="Non trouvé"/>
    <x v="1"/>
    <s v="Non trouvé"/>
  </r>
  <r>
    <x v="15"/>
    <s v="ANT-0457"/>
    <d v="2023-10-04T23:57:00"/>
    <m/>
    <n v="101"/>
    <s v="En Cours"/>
    <n v="-6.3148239999999998"/>
    <n v="24.507498999999999"/>
    <x v="3"/>
    <s v="ZTE"/>
  </r>
  <r>
    <x v="2"/>
    <s v="ANT-0919"/>
    <d v="2023-10-10T16:19:00"/>
    <m/>
    <n v="115"/>
    <s v="En Cours"/>
    <s v="Non trouvé"/>
    <s v="Non trouvé"/>
    <x v="1"/>
    <s v="Non trouvé"/>
  </r>
  <r>
    <x v="2"/>
    <s v="ANT-0163"/>
    <d v="2023-10-22T13:20:00"/>
    <m/>
    <n v="103"/>
    <s v="Non Résolu"/>
    <s v="Non trouvé"/>
    <s v="Non trouvé"/>
    <x v="1"/>
    <s v="Non trouvé"/>
  </r>
  <r>
    <x v="2"/>
    <s v="ANT-0762"/>
    <d v="2023-10-13T22:18:00"/>
    <m/>
    <n v="118"/>
    <s v="En Cours"/>
    <s v="Non trouvé"/>
    <s v="Non trouvé"/>
    <x v="1"/>
    <s v="Non trouvé"/>
  </r>
  <r>
    <x v="21"/>
    <s v="ANT-0883"/>
    <d v="2023-10-18T04:12:00"/>
    <m/>
    <n v="18"/>
    <s v="En Cours"/>
    <n v="-9.4702129999999993"/>
    <n v="12.826158"/>
    <x v="3"/>
    <s v="Ericsson"/>
  </r>
  <r>
    <x v="2"/>
    <s v="ANT-0487"/>
    <d v="2023-10-14T21:24:00"/>
    <m/>
    <n v="104"/>
    <s v="Résolu"/>
    <s v="Non trouvé"/>
    <s v="Non trouvé"/>
    <x v="1"/>
    <s v="Non trouvé"/>
  </r>
  <r>
    <x v="2"/>
    <s v="ANT-0461"/>
    <d v="2023-10-22T23:57:00"/>
    <m/>
    <n v="59"/>
    <s v="Résolu"/>
    <s v="Non trouvé"/>
    <s v="Non trouvé"/>
    <x v="1"/>
    <s v="Non trouvé"/>
  </r>
  <r>
    <x v="2"/>
    <s v="ANT-0266"/>
    <d v="2023-10-06T19:36:00"/>
    <m/>
    <n v="33"/>
    <s v="En Cours"/>
    <s v="Non trouvé"/>
    <s v="Non trouvé"/>
    <x v="1"/>
    <s v="Non trouvé"/>
  </r>
  <r>
    <x v="20"/>
    <s v="ANT-0770"/>
    <d v="2023-10-10T12:35:00"/>
    <m/>
    <n v="27"/>
    <s v="En Cours"/>
    <n v="2.4741019999999998"/>
    <n v="29.297391000000001"/>
    <x v="0"/>
    <s v="Ericsson"/>
  </r>
  <r>
    <x v="2"/>
    <s v="ANT-0254"/>
    <d v="2023-10-27T00:19:00"/>
    <m/>
    <n v="107"/>
    <s v="Non Résolu"/>
    <s v="Non trouvé"/>
    <s v="Non trouvé"/>
    <x v="1"/>
    <s v="Non trouvé"/>
  </r>
  <r>
    <x v="2"/>
    <s v="ANT-0861"/>
    <d v="2023-10-10T06:27:00"/>
    <m/>
    <n v="94"/>
    <s v="Non Résolu"/>
    <s v="Non trouvé"/>
    <s v="Non trouvé"/>
    <x v="1"/>
    <s v="Non trouvé"/>
  </r>
  <r>
    <x v="15"/>
    <s v="ANT-0653"/>
    <d v="2023-10-26T18:38:00"/>
    <m/>
    <n v="71"/>
    <s v="Résolu"/>
    <n v="0.82868600000000003"/>
    <n v="26.958843999999999"/>
    <x v="2"/>
    <s v="ZTE"/>
  </r>
  <r>
    <x v="7"/>
    <s v="ANT-0284"/>
    <d v="2023-10-21T10:29:00"/>
    <m/>
    <n v="64"/>
    <s v="Non Résolu"/>
    <n v="-5.5445120000000001"/>
    <n v="27.547335"/>
    <x v="0"/>
    <s v="Ericsson"/>
  </r>
  <r>
    <x v="2"/>
    <s v="ANT-0785"/>
    <d v="2023-10-15T14:43:00"/>
    <m/>
    <n v="11"/>
    <s v="En Cours"/>
    <s v="Non trouvé"/>
    <s v="Non trouvé"/>
    <x v="1"/>
    <s v="Non trouvé"/>
  </r>
  <r>
    <x v="23"/>
    <s v="ANT-0797"/>
    <d v="2023-10-07T16:30:00"/>
    <m/>
    <n v="76"/>
    <s v="En Cours"/>
    <n v="-12.100756000000001"/>
    <n v="21.938649999999999"/>
    <x v="0"/>
    <s v="Huawei"/>
  </r>
  <r>
    <x v="24"/>
    <s v="ANT-0534"/>
    <d v="2023-10-26T23:10:00"/>
    <m/>
    <n v="36"/>
    <s v="Résolu"/>
    <n v="-9.002459"/>
    <n v="25.182109000000001"/>
    <x v="2"/>
    <s v="Huawei"/>
  </r>
  <r>
    <x v="2"/>
    <s v="ANT-0497"/>
    <d v="2023-10-22T02:18:00"/>
    <m/>
    <n v="113"/>
    <s v="En Cours"/>
    <s v="Non trouvé"/>
    <s v="Non trouvé"/>
    <x v="1"/>
    <s v="Non trouvé"/>
  </r>
  <r>
    <x v="20"/>
    <s v="ANT-0642"/>
    <d v="2023-10-17T21:40:00"/>
    <m/>
    <n v="20"/>
    <s v="En Cours"/>
    <n v="-4.2408359999999998"/>
    <n v="26.210014000000001"/>
    <x v="0"/>
    <s v="Huawei"/>
  </r>
  <r>
    <x v="26"/>
    <s v="ANT-0245"/>
    <d v="2023-10-20T10:05:00"/>
    <m/>
    <n v="63"/>
    <s v="En Cours"/>
    <n v="-9.9875139999999991"/>
    <n v="12.013676999999999"/>
    <x v="3"/>
    <s v="ZTE"/>
  </r>
  <r>
    <x v="15"/>
    <s v="ANT-0282"/>
    <d v="2023-10-27T07:43:00"/>
    <m/>
    <n v="22"/>
    <s v="En Cours"/>
    <n v="-10.25074"/>
    <n v="26.099086"/>
    <x v="0"/>
    <s v="Huawei"/>
  </r>
  <r>
    <x v="3"/>
    <s v="ANT-0451"/>
    <d v="2023-10-10T07:51:00"/>
    <m/>
    <n v="107"/>
    <s v="Non Résolu"/>
    <n v="-5.0402180000000003"/>
    <n v="13.892471"/>
    <x v="3"/>
    <s v="ZTE"/>
  </r>
  <r>
    <x v="12"/>
    <s v="ANT-0080"/>
    <d v="2023-10-07T04:01:00"/>
    <m/>
    <n v="64"/>
    <s v="Non Résolu"/>
    <n v="0.24202000000000001"/>
    <n v="17.396256999999999"/>
    <x v="0"/>
    <s v="Huawei"/>
  </r>
  <r>
    <x v="16"/>
    <s v="ANT-0731"/>
    <d v="2023-10-02T07:30:00"/>
    <m/>
    <n v="90"/>
    <s v="Non Résolu"/>
    <n v="-12.333232000000001"/>
    <n v="25.229620000000001"/>
    <x v="2"/>
    <s v="Nokia"/>
  </r>
  <r>
    <x v="26"/>
    <s v="ANT-0293"/>
    <d v="2023-10-20T02:29:00"/>
    <m/>
    <n v="72"/>
    <s v="Non Résolu"/>
    <n v="-5.7035130000000001"/>
    <n v="14.331479"/>
    <x v="2"/>
    <s v="Nokia"/>
  </r>
  <r>
    <x v="19"/>
    <s v="ANT-0287"/>
    <d v="2023-10-01T12:21:00"/>
    <m/>
    <n v="24"/>
    <s v="En Cours"/>
    <n v="-11.622688999999999"/>
    <n v="18.483874"/>
    <x v="2"/>
    <s v="ZTE"/>
  </r>
  <r>
    <x v="14"/>
    <s v="ANT-0902"/>
    <d v="2023-10-22T21:51:00"/>
    <m/>
    <n v="60"/>
    <s v="Non Résolu"/>
    <n v="-10.414493"/>
    <n v="12.333356999999999"/>
    <x v="3"/>
    <s v="Ericsson"/>
  </r>
  <r>
    <x v="8"/>
    <s v="ANT-0611"/>
    <d v="2023-10-13T23:10:00"/>
    <m/>
    <n v="27"/>
    <s v="En Cours"/>
    <n v="0.79124300000000003"/>
    <n v="25.273389000000002"/>
    <x v="0"/>
    <s v="Nokia"/>
  </r>
  <r>
    <x v="0"/>
    <s v="ANT-0719"/>
    <d v="2023-10-27T14:58:00"/>
    <m/>
    <n v="98"/>
    <s v="En Cours"/>
    <n v="-7.9987219999999999"/>
    <n v="12.779335"/>
    <x v="2"/>
    <s v="Nokia"/>
  </r>
  <r>
    <x v="14"/>
    <s v="ANT-0902"/>
    <d v="2023-10-05T19:34:00"/>
    <m/>
    <n v="71"/>
    <s v="En Cours"/>
    <n v="-10.414493"/>
    <n v="12.333356999999999"/>
    <x v="3"/>
    <s v="Ericsson"/>
  </r>
  <r>
    <x v="11"/>
    <s v="ANT-0283"/>
    <d v="2023-10-01T12:37:00"/>
    <m/>
    <n v="88"/>
    <s v="En Cours"/>
    <n v="-1.6097570000000001"/>
    <n v="30.661662"/>
    <x v="0"/>
    <s v="Ericsson"/>
  </r>
  <r>
    <x v="2"/>
    <s v="ANT-0570"/>
    <d v="2023-10-19T21:01:00"/>
    <m/>
    <n v="39"/>
    <s v="Résolu"/>
    <s v="Non trouvé"/>
    <s v="Non trouvé"/>
    <x v="1"/>
    <s v="Non trouvé"/>
  </r>
  <r>
    <x v="1"/>
    <s v="ANT-0011"/>
    <d v="2023-10-03T20:27:00"/>
    <m/>
    <n v="83"/>
    <s v="Résolu"/>
    <n v="-1.607639"/>
    <n v="17.003636"/>
    <x v="0"/>
    <s v="Ericsson"/>
  </r>
  <r>
    <x v="20"/>
    <s v="ANT-0530"/>
    <d v="2023-10-05T14:11:00"/>
    <m/>
    <n v="108"/>
    <s v="Non Résolu"/>
    <n v="-8.5675749999999997"/>
    <n v="26.994581"/>
    <x v="3"/>
    <s v="Nokia"/>
  </r>
  <r>
    <x v="2"/>
    <s v="ANT-0971"/>
    <d v="2023-10-02T08:24:00"/>
    <m/>
    <n v="73"/>
    <s v="Résolu"/>
    <s v="Non trouvé"/>
    <s v="Non trouvé"/>
    <x v="1"/>
    <s v="Non trouvé"/>
  </r>
  <r>
    <x v="2"/>
    <s v="ANT-0196"/>
    <d v="2023-10-11T06:29:00"/>
    <m/>
    <n v="104"/>
    <s v="En Cours"/>
    <s v="Non trouvé"/>
    <s v="Non trouvé"/>
    <x v="1"/>
    <s v="Non trouvé"/>
  </r>
  <r>
    <x v="22"/>
    <s v="ANT-0088"/>
    <d v="2023-10-11T10:48:00"/>
    <m/>
    <n v="66"/>
    <s v="Résolu"/>
    <n v="-9.7803979999999999"/>
    <n v="17.686595000000001"/>
    <x v="0"/>
    <s v="Ericsson"/>
  </r>
  <r>
    <x v="23"/>
    <s v="ANT-0248"/>
    <d v="2023-10-29T12:17:00"/>
    <m/>
    <n v="64"/>
    <s v="Non Résolu"/>
    <n v="-4.4351269999999996"/>
    <n v="24.825467"/>
    <x v="0"/>
    <s v="Huawei"/>
  </r>
  <r>
    <x v="24"/>
    <s v="ANT-0738"/>
    <d v="2023-10-25T13:16:00"/>
    <m/>
    <n v="60"/>
    <s v="Non Résolu"/>
    <n v="-10.439686999999999"/>
    <n v="20.714210000000001"/>
    <x v="0"/>
    <s v="ZTE"/>
  </r>
  <r>
    <x v="19"/>
    <s v="ANT-0417"/>
    <d v="2023-10-27T02:30:00"/>
    <m/>
    <n v="110"/>
    <s v="Non Résolu"/>
    <n v="-2.3677800000000002"/>
    <n v="18.790323999999998"/>
    <x v="2"/>
    <s v="Huawei"/>
  </r>
  <r>
    <x v="2"/>
    <s v="ANT-0501"/>
    <d v="2023-10-01T23:34:00"/>
    <m/>
    <n v="98"/>
    <s v="Résolu"/>
    <s v="Non trouvé"/>
    <s v="Non trouvé"/>
    <x v="1"/>
    <s v="Non trouvé"/>
  </r>
  <r>
    <x v="7"/>
    <s v="ANT-0569"/>
    <d v="2023-10-02T11:14:00"/>
    <m/>
    <n v="80"/>
    <s v="Résolu"/>
    <n v="-3.3890790000000002"/>
    <n v="18.374571"/>
    <x v="2"/>
    <s v="ZTE"/>
  </r>
  <r>
    <x v="2"/>
    <s v="ANT-0777"/>
    <d v="2023-10-21T02:49:00"/>
    <m/>
    <n v="39"/>
    <s v="Résolu"/>
    <s v="Non trouvé"/>
    <s v="Non trouvé"/>
    <x v="1"/>
    <s v="Non trouvé"/>
  </r>
  <r>
    <x v="2"/>
    <s v="ANT-0247"/>
    <d v="2023-10-31T20:02:00"/>
    <m/>
    <n v="46"/>
    <s v="Non Résolu"/>
    <s v="Non trouvé"/>
    <s v="Non trouvé"/>
    <x v="1"/>
    <s v="Non trouvé"/>
  </r>
  <r>
    <x v="25"/>
    <s v="ANT-0708"/>
    <d v="2023-10-25T00:15:00"/>
    <m/>
    <n v="114"/>
    <s v="En Cours"/>
    <n v="-9.7712979999999998"/>
    <n v="19.827895999999999"/>
    <x v="3"/>
    <s v="ZTE"/>
  </r>
  <r>
    <x v="14"/>
    <s v="ANT-0488"/>
    <d v="2023-10-07T00:39:00"/>
    <m/>
    <n v="36"/>
    <s v="En Cours"/>
    <n v="-3.111418"/>
    <n v="14.144854"/>
    <x v="0"/>
    <s v="ZTE"/>
  </r>
  <r>
    <x v="0"/>
    <s v="ANT-0662"/>
    <d v="2023-10-05T07:08:00"/>
    <m/>
    <n v="111"/>
    <s v="Non Résolu"/>
    <n v="-1.342476"/>
    <n v="15.986086"/>
    <x v="0"/>
    <s v="Ericsson"/>
  </r>
  <r>
    <x v="2"/>
    <s v="ANT-0729"/>
    <d v="2023-10-16T21:07:00"/>
    <m/>
    <n v="16"/>
    <s v="Non Résolu"/>
    <s v="Non trouvé"/>
    <s v="Non trouvé"/>
    <x v="1"/>
    <s v="Non trouvé"/>
  </r>
  <r>
    <x v="23"/>
    <s v="ANT-0503"/>
    <d v="2023-10-19T06:29:00"/>
    <m/>
    <n v="40"/>
    <s v="Non Résolu"/>
    <n v="-1.8045979999999999"/>
    <n v="12.511096999999999"/>
    <x v="3"/>
    <s v="Huawei"/>
  </r>
  <r>
    <x v="2"/>
    <s v="ANT-0459"/>
    <d v="2023-10-23T08:49:00"/>
    <m/>
    <n v="117"/>
    <s v="Non Résolu"/>
    <s v="Non trouvé"/>
    <s v="Non trouvé"/>
    <x v="1"/>
    <s v="Non trouvé"/>
  </r>
  <r>
    <x v="15"/>
    <s v="ANT-0812"/>
    <d v="2023-10-12T05:38:00"/>
    <m/>
    <n v="62"/>
    <s v="En Cours"/>
    <n v="-2.3102109999999998"/>
    <n v="12.362488000000001"/>
    <x v="2"/>
    <s v="Nokia"/>
  </r>
  <r>
    <x v="2"/>
    <s v="ANT-0018"/>
    <d v="2023-10-20T23:45:00"/>
    <m/>
    <n v="36"/>
    <s v="Résolu"/>
    <s v="Non trouvé"/>
    <s v="Non trouvé"/>
    <x v="1"/>
    <s v="Non trouvé"/>
  </r>
  <r>
    <x v="5"/>
    <s v="ANT-0096"/>
    <d v="2023-10-04T05:19:00"/>
    <m/>
    <n v="101"/>
    <s v="Résolu"/>
    <n v="3.0603760000000002"/>
    <n v="19.708034000000001"/>
    <x v="3"/>
    <s v="ZTE"/>
  </r>
  <r>
    <x v="18"/>
    <s v="ANT-0302"/>
    <d v="2023-10-04T18:01:00"/>
    <m/>
    <n v="64"/>
    <s v="En Cours"/>
    <n v="-4.6818410000000004"/>
    <n v="17.541618"/>
    <x v="0"/>
    <s v="Ericsson"/>
  </r>
  <r>
    <x v="2"/>
    <s v="ANT-0227"/>
    <d v="2023-10-30T09:36:00"/>
    <m/>
    <n v="77"/>
    <s v="Résolu"/>
    <s v="Non trouvé"/>
    <s v="Non trouvé"/>
    <x v="1"/>
    <s v="Non trouvé"/>
  </r>
  <r>
    <x v="21"/>
    <s v="ANT-0415"/>
    <d v="2023-10-22T12:25:00"/>
    <m/>
    <n v="83"/>
    <s v="En Cours"/>
    <n v="-2.9651529999999999"/>
    <n v="29.79908"/>
    <x v="0"/>
    <s v="Ericsson"/>
  </r>
  <r>
    <x v="2"/>
    <s v="ANT-0709"/>
    <d v="2023-10-31T22:12:00"/>
    <m/>
    <n v="90"/>
    <s v="Résolu"/>
    <s v="Non trouvé"/>
    <s v="Non trouvé"/>
    <x v="1"/>
    <s v="Non trouvé"/>
  </r>
  <r>
    <x v="18"/>
    <s v="ANT-0250"/>
    <d v="2023-10-03T18:44:00"/>
    <m/>
    <n v="53"/>
    <s v="En Cours"/>
    <n v="-2.3743210000000001"/>
    <n v="22.399491000000001"/>
    <x v="2"/>
    <s v="Ericsson"/>
  </r>
  <r>
    <x v="2"/>
    <s v="ANT-0314"/>
    <d v="2023-10-27T20:15:00"/>
    <m/>
    <n v="48"/>
    <s v="Résolu"/>
    <s v="Non trouvé"/>
    <s v="Non trouvé"/>
    <x v="1"/>
    <s v="Non trouvé"/>
  </r>
  <r>
    <x v="19"/>
    <s v="ANT-0680"/>
    <d v="2023-10-04T22:49:00"/>
    <m/>
    <n v="8"/>
    <s v="Non Résolu"/>
    <n v="-0.79406600000000005"/>
    <n v="12.534793000000001"/>
    <x v="3"/>
    <s v="Huawei"/>
  </r>
  <r>
    <x v="17"/>
    <s v="ANT-0596"/>
    <d v="2023-10-10T21:38:00"/>
    <m/>
    <n v="68"/>
    <s v="Non Résolu"/>
    <n v="-8.3241560000000003"/>
    <n v="19.543866000000001"/>
    <x v="0"/>
    <s v="ZTE"/>
  </r>
  <r>
    <x v="2"/>
    <s v="ANT-0378"/>
    <d v="2023-10-26T03:50:00"/>
    <m/>
    <n v="113"/>
    <s v="Résolu"/>
    <s v="Non trouvé"/>
    <s v="Non trouvé"/>
    <x v="1"/>
    <s v="Non trouvé"/>
  </r>
  <r>
    <x v="2"/>
    <s v="ANT-0485"/>
    <d v="2023-10-19T01:22:00"/>
    <m/>
    <n v="46"/>
    <s v="En Cours"/>
    <s v="Non trouvé"/>
    <s v="Non trouvé"/>
    <x v="1"/>
    <s v="Non trouvé"/>
  </r>
  <r>
    <x v="2"/>
    <s v="ANT-0567"/>
    <d v="2023-10-18T13:42:00"/>
    <m/>
    <n v="28"/>
    <s v="Résolu"/>
    <s v="Non trouvé"/>
    <s v="Non trouvé"/>
    <x v="1"/>
    <s v="Non trouvé"/>
  </r>
  <r>
    <x v="2"/>
    <s v="ANT-0544"/>
    <d v="2023-10-12T02:32:00"/>
    <m/>
    <n v="67"/>
    <s v="Résolu"/>
    <s v="Non trouvé"/>
    <s v="Non trouvé"/>
    <x v="1"/>
    <s v="Non trouvé"/>
  </r>
  <r>
    <x v="11"/>
    <s v="ANT-0353"/>
    <d v="2023-10-21T10:00:00"/>
    <m/>
    <n v="32"/>
    <s v="Non Résolu"/>
    <n v="-11.991020000000001"/>
    <n v="22.514747"/>
    <x v="2"/>
    <s v="ZTE"/>
  </r>
  <r>
    <x v="5"/>
    <s v="ANT-0436"/>
    <d v="2023-10-28T13:52:00"/>
    <m/>
    <n v="50"/>
    <s v="En Cours"/>
    <n v="-4.5603610000000003"/>
    <n v="24.113918999999999"/>
    <x v="2"/>
    <s v="ZTE"/>
  </r>
  <r>
    <x v="2"/>
    <s v="ANT-0764"/>
    <d v="2023-10-16T03:27:00"/>
    <m/>
    <n v="107"/>
    <s v="Non Résolu"/>
    <s v="Non trouvé"/>
    <s v="Non trouvé"/>
    <x v="1"/>
    <s v="Non trouvé"/>
  </r>
  <r>
    <x v="15"/>
    <s v="ANT-0564"/>
    <d v="2023-10-31T11:40:00"/>
    <m/>
    <n v="38"/>
    <s v="Résolu"/>
    <n v="-12.336202"/>
    <n v="13.693683999999999"/>
    <x v="2"/>
    <s v="Huawei"/>
  </r>
  <r>
    <x v="4"/>
    <s v="ANT-0339"/>
    <d v="2023-10-29T14:45:00"/>
    <m/>
    <n v="48"/>
    <s v="Non Résolu"/>
    <n v="-3.6945459999999999"/>
    <n v="16.809108999999999"/>
    <x v="2"/>
    <s v="ZTE"/>
  </r>
  <r>
    <x v="2"/>
    <s v="ANT-0259"/>
    <d v="2023-10-16T14:21:00"/>
    <m/>
    <n v="7"/>
    <s v="En Cours"/>
    <s v="Non trouvé"/>
    <s v="Non trouvé"/>
    <x v="1"/>
    <s v="Non trouvé"/>
  </r>
  <r>
    <x v="10"/>
    <s v="ANT-0332"/>
    <d v="2023-10-06T01:16:00"/>
    <m/>
    <n v="102"/>
    <s v="Non Résolu"/>
    <n v="-4.9789079999999997"/>
    <n v="28.506295000000001"/>
    <x v="0"/>
    <s v="Huawei"/>
  </r>
  <r>
    <x v="2"/>
    <s v="ANT-0119"/>
    <d v="2023-10-31T15:07:00"/>
    <m/>
    <n v="91"/>
    <s v="Résolu"/>
    <s v="Non trouvé"/>
    <s v="Non trouvé"/>
    <x v="1"/>
    <s v="Non trouvé"/>
  </r>
  <r>
    <x v="26"/>
    <s v="ANT-0994"/>
    <d v="2023-10-27T02:25:00"/>
    <m/>
    <n v="110"/>
    <s v="Non Résolu"/>
    <n v="-2.2681789999999999"/>
    <n v="25.699068"/>
    <x v="3"/>
    <s v="ZTE"/>
  </r>
  <r>
    <x v="2"/>
    <s v="ANT-0792"/>
    <d v="2023-10-16T02:36:00"/>
    <m/>
    <n v="39"/>
    <s v="En Cours"/>
    <s v="Non trouvé"/>
    <s v="Non trouvé"/>
    <x v="1"/>
    <s v="Non trouvé"/>
  </r>
  <r>
    <x v="11"/>
    <s v="ANT-0414"/>
    <d v="2023-10-21T21:03:00"/>
    <m/>
    <n v="78"/>
    <s v="Résolu"/>
    <n v="-7.5418399999999997"/>
    <n v="16.931206"/>
    <x v="3"/>
    <s v="Nokia"/>
  </r>
  <r>
    <x v="2"/>
    <s v="ANT-0886"/>
    <d v="2023-10-05T04:51:00"/>
    <m/>
    <n v="10"/>
    <s v="Résolu"/>
    <s v="Non trouvé"/>
    <s v="Non trouvé"/>
    <x v="1"/>
    <s v="Non trouvé"/>
  </r>
  <r>
    <x v="14"/>
    <s v="ANT-0527"/>
    <d v="2023-10-19T09:05:00"/>
    <m/>
    <n v="102"/>
    <s v="Résolu"/>
    <n v="-4.4451280000000004"/>
    <n v="16.536944999999999"/>
    <x v="0"/>
    <s v="Ericsson"/>
  </r>
  <r>
    <x v="22"/>
    <s v="ANT-0845"/>
    <d v="2023-10-08T03:35:00"/>
    <m/>
    <n v="101"/>
    <s v="En Cours"/>
    <n v="-10.872631999999999"/>
    <n v="12.773279"/>
    <x v="3"/>
    <s v="ZTE"/>
  </r>
  <r>
    <x v="1"/>
    <s v="ANT-0002"/>
    <d v="2023-10-25T13:38:00"/>
    <m/>
    <n v="27"/>
    <s v="Résolu"/>
    <n v="-10.442425"/>
    <n v="23.243632000000002"/>
    <x v="0"/>
    <s v="Nokia"/>
  </r>
  <r>
    <x v="19"/>
    <s v="ANT-0674"/>
    <d v="2023-10-20T19:14:00"/>
    <m/>
    <n v="65"/>
    <s v="Non Résolu"/>
    <n v="0.52897499999999997"/>
    <n v="13.849651"/>
    <x v="3"/>
    <s v="ZTE"/>
  </r>
  <r>
    <x v="2"/>
    <s v="ANT-0891"/>
    <d v="2023-10-25T16:24:00"/>
    <m/>
    <n v="71"/>
    <s v="Résolu"/>
    <s v="Non trouvé"/>
    <s v="Non trouvé"/>
    <x v="1"/>
    <s v="Non trouvé"/>
  </r>
  <r>
    <x v="2"/>
    <s v="ANT-0556"/>
    <d v="2023-10-15T14:19:00"/>
    <m/>
    <n v="88"/>
    <s v="En Cours"/>
    <s v="Non trouvé"/>
    <s v="Non trouvé"/>
    <x v="1"/>
    <s v="Non trouvé"/>
  </r>
  <r>
    <x v="2"/>
    <s v="ANT-0474"/>
    <d v="2023-10-28T18:27:00"/>
    <m/>
    <n v="61"/>
    <s v="Non Résolu"/>
    <s v="Non trouvé"/>
    <s v="Non trouvé"/>
    <x v="1"/>
    <s v="Non trouvé"/>
  </r>
  <r>
    <x v="22"/>
    <s v="ANT-0424"/>
    <d v="2023-10-10T18:39:00"/>
    <m/>
    <n v="40"/>
    <s v="En Cours"/>
    <n v="-9.5243310000000001"/>
    <n v="30.541212000000002"/>
    <x v="3"/>
    <s v="Ericsson"/>
  </r>
  <r>
    <x v="1"/>
    <s v="ANT-0056"/>
    <d v="2023-10-02T19:47:00"/>
    <m/>
    <n v="28"/>
    <s v="Non Résolu"/>
    <n v="-9.3652280000000001"/>
    <n v="18.674116000000001"/>
    <x v="0"/>
    <s v="Huawei"/>
  </r>
  <r>
    <x v="2"/>
    <s v="ANT-0193"/>
    <d v="2023-10-04T06:40:00"/>
    <m/>
    <n v="79"/>
    <s v="Non Résolu"/>
    <s v="Non trouvé"/>
    <s v="Non trouvé"/>
    <x v="1"/>
    <s v="Non trouvé"/>
  </r>
  <r>
    <x v="18"/>
    <s v="ANT-0531"/>
    <d v="2023-10-07T08:42:00"/>
    <m/>
    <n v="60"/>
    <s v="En Cours"/>
    <n v="-4.2645619999999997"/>
    <n v="18.960726000000001"/>
    <x v="0"/>
    <s v="Huawei"/>
  </r>
  <r>
    <x v="6"/>
    <s v="ANT-0371"/>
    <d v="2023-10-03T05:15:00"/>
    <m/>
    <n v="86"/>
    <s v="En Cours"/>
    <n v="-12.112682"/>
    <n v="19.972052000000001"/>
    <x v="0"/>
    <s v="Huawei"/>
  </r>
  <r>
    <x v="2"/>
    <s v="ANT-0638"/>
    <d v="2023-10-06T17:04:00"/>
    <m/>
    <n v="109"/>
    <s v="En Cours"/>
    <s v="Non trouvé"/>
    <s v="Non trouvé"/>
    <x v="1"/>
    <s v="Non trouvé"/>
  </r>
  <r>
    <x v="4"/>
    <s v="ANT-0775"/>
    <d v="2023-10-06T00:26:00"/>
    <m/>
    <n v="67"/>
    <s v="En Cours"/>
    <n v="1.5278670000000001"/>
    <n v="13.899388999999999"/>
    <x v="3"/>
    <s v="Huawei"/>
  </r>
  <r>
    <x v="6"/>
    <s v="ANT-0511"/>
    <d v="2023-10-15T22:38:00"/>
    <m/>
    <n v="16"/>
    <s v="Résolu"/>
    <n v="1.210869"/>
    <n v="25.598741"/>
    <x v="0"/>
    <s v="Ericsson"/>
  </r>
  <r>
    <x v="26"/>
    <s v="ANT-0641"/>
    <d v="2023-10-16T09:02:00"/>
    <m/>
    <n v="65"/>
    <s v="En Cours"/>
    <n v="-2.2371569999999998"/>
    <n v="25.926188"/>
    <x v="3"/>
    <s v="Nokia"/>
  </r>
  <r>
    <x v="2"/>
    <s v="ANT-0453"/>
    <d v="2023-10-08T09:45:00"/>
    <m/>
    <n v="49"/>
    <s v="Non Résolu"/>
    <s v="Non trouvé"/>
    <s v="Non trouvé"/>
    <x v="1"/>
    <s v="Non trouvé"/>
  </r>
  <r>
    <x v="2"/>
    <s v="ANT-0779"/>
    <d v="2023-10-10T22:55:00"/>
    <m/>
    <n v="57"/>
    <s v="Résolu"/>
    <s v="Non trouvé"/>
    <s v="Non trouvé"/>
    <x v="1"/>
    <s v="Non trouvé"/>
  </r>
  <r>
    <x v="2"/>
    <s v="ANT-0053"/>
    <d v="2023-10-15T02:43:00"/>
    <m/>
    <n v="47"/>
    <s v="En Cours"/>
    <s v="Non trouvé"/>
    <s v="Non trouvé"/>
    <x v="1"/>
    <s v="Non trouvé"/>
  </r>
  <r>
    <x v="24"/>
    <s v="ANT-0209"/>
    <d v="2023-10-08T08:50:00"/>
    <m/>
    <n v="46"/>
    <s v="Résolu"/>
    <n v="-10.481026999999999"/>
    <n v="18.160464000000001"/>
    <x v="2"/>
    <s v="Huawei"/>
  </r>
  <r>
    <x v="2"/>
    <s v="ANT-0274"/>
    <d v="2023-10-26T20:37:00"/>
    <m/>
    <n v="90"/>
    <s v="Non Résolu"/>
    <s v="Non trouvé"/>
    <s v="Non trouvé"/>
    <x v="1"/>
    <s v="Non trouvé"/>
  </r>
  <r>
    <x v="15"/>
    <s v="ANT-0563"/>
    <d v="2023-10-22T06:27:00"/>
    <m/>
    <n v="18"/>
    <s v="Non Résolu"/>
    <n v="-1.8555980000000001"/>
    <n v="30.421918000000002"/>
    <x v="3"/>
    <s v="ZTE"/>
  </r>
  <r>
    <x v="2"/>
    <s v="ANT-0135"/>
    <d v="2023-10-04T17:14:00"/>
    <m/>
    <n v="114"/>
    <s v="Non Résolu"/>
    <s v="Non trouvé"/>
    <s v="Non trouvé"/>
    <x v="1"/>
    <s v="Non trouvé"/>
  </r>
  <r>
    <x v="3"/>
    <s v="ANT-0950"/>
    <d v="2023-10-21T04:58:00"/>
    <m/>
    <n v="25"/>
    <s v="Résolu"/>
    <n v="3.3289240000000002"/>
    <n v="24.412261000000001"/>
    <x v="2"/>
    <s v="Nokia"/>
  </r>
  <r>
    <x v="10"/>
    <s v="ANT-0295"/>
    <d v="2023-10-09T04:04:00"/>
    <m/>
    <n v="47"/>
    <s v="Résolu"/>
    <n v="-4.351254"/>
    <n v="30.097408999999999"/>
    <x v="2"/>
    <s v="Nokia"/>
  </r>
  <r>
    <x v="2"/>
    <s v="ANT-0449"/>
    <d v="2023-10-02T05:50:00"/>
    <m/>
    <n v="57"/>
    <s v="En Cours"/>
    <s v="Non trouvé"/>
    <s v="Non trouvé"/>
    <x v="1"/>
    <s v="Non trouvé"/>
  </r>
  <r>
    <x v="14"/>
    <s v="ANT-0902"/>
    <d v="2023-10-10T19:47:00"/>
    <m/>
    <n v="93"/>
    <s v="En Cours"/>
    <n v="-10.414493"/>
    <n v="12.333356999999999"/>
    <x v="3"/>
    <s v="Ericsson"/>
  </r>
  <r>
    <x v="3"/>
    <s v="ANT-0716"/>
    <d v="2023-10-27T18:58:00"/>
    <m/>
    <n v="68"/>
    <s v="En Cours"/>
    <n v="-0.37665700000000002"/>
    <n v="25.154807999999999"/>
    <x v="3"/>
    <s v="Nokia"/>
  </r>
  <r>
    <x v="2"/>
    <s v="ANT-0497"/>
    <d v="2023-10-10T14:07:00"/>
    <m/>
    <n v="41"/>
    <s v="Non Résolu"/>
    <s v="Non trouvé"/>
    <s v="Non trouvé"/>
    <x v="1"/>
    <s v="Non trouvé"/>
  </r>
  <r>
    <x v="2"/>
    <s v="ANT-0125"/>
    <d v="2023-10-15T22:19:00"/>
    <m/>
    <n v="89"/>
    <s v="En Cours"/>
    <s v="Non trouvé"/>
    <s v="Non trouvé"/>
    <x v="1"/>
    <s v="Non trouvé"/>
  </r>
  <r>
    <x v="2"/>
    <s v="ANT-0030"/>
    <d v="2023-10-23T12:17:00"/>
    <m/>
    <n v="56"/>
    <s v="Résolu"/>
    <s v="Non trouvé"/>
    <s v="Non trouvé"/>
    <x v="1"/>
    <s v="Non trouvé"/>
  </r>
  <r>
    <x v="16"/>
    <s v="ANT-0997"/>
    <d v="2023-10-17T17:31:00"/>
    <m/>
    <n v="109"/>
    <s v="En Cours"/>
    <n v="0.639208"/>
    <n v="20.701739"/>
    <x v="0"/>
    <s v="Huawei"/>
  </r>
  <r>
    <x v="2"/>
    <s v="ANT-0646"/>
    <d v="2023-10-15T02:38:00"/>
    <m/>
    <n v="102"/>
    <s v="Non Résolu"/>
    <s v="Non trouvé"/>
    <s v="Non trouvé"/>
    <x v="1"/>
    <s v="Non trouvé"/>
  </r>
  <r>
    <x v="7"/>
    <s v="ANT-0624"/>
    <d v="2023-10-02T13:47:00"/>
    <m/>
    <n v="75"/>
    <s v="En Cours"/>
    <n v="0.172153"/>
    <n v="21.091376"/>
    <x v="3"/>
    <s v="Ericsson"/>
  </r>
  <r>
    <x v="2"/>
    <s v="ANT-0819"/>
    <d v="2023-10-11T19:16:00"/>
    <m/>
    <n v="9"/>
    <s v="Non Résolu"/>
    <s v="Non trouvé"/>
    <s v="Non trouvé"/>
    <x v="1"/>
    <s v="Non trouvé"/>
  </r>
  <r>
    <x v="2"/>
    <s v="ANT-0246"/>
    <d v="2023-10-01T02:14:00"/>
    <m/>
    <n v="63"/>
    <s v="Non Résolu"/>
    <s v="Non trouvé"/>
    <s v="Non trouvé"/>
    <x v="1"/>
    <s v="Non trouvé"/>
  </r>
  <r>
    <x v="2"/>
    <s v="ANT-0727"/>
    <d v="2023-10-31T21:53:00"/>
    <m/>
    <n v="16"/>
    <s v="Non Résolu"/>
    <s v="Non trouvé"/>
    <s v="Non trouvé"/>
    <x v="1"/>
    <s v="Non trouvé"/>
  </r>
  <r>
    <x v="2"/>
    <s v="ANT-0163"/>
    <d v="2023-10-28T18:37:00"/>
    <m/>
    <n v="45"/>
    <s v="En Cours"/>
    <s v="Non trouvé"/>
    <s v="Non trouvé"/>
    <x v="1"/>
    <s v="Non trouvé"/>
  </r>
  <r>
    <x v="2"/>
    <s v="ANT-0739"/>
    <d v="2023-10-13T14:59:00"/>
    <m/>
    <n v="113"/>
    <s v="En Cours"/>
    <s v="Non trouvé"/>
    <s v="Non trouvé"/>
    <x v="1"/>
    <s v="Non trouvé"/>
  </r>
  <r>
    <x v="17"/>
    <s v="ANT-0786"/>
    <d v="2023-10-11T06:44:00"/>
    <m/>
    <n v="43"/>
    <s v="Non Résolu"/>
    <n v="-12.342053999999999"/>
    <n v="18.756862000000002"/>
    <x v="3"/>
    <s v="Ericsson"/>
  </r>
  <r>
    <x v="2"/>
    <s v="ANT-0698"/>
    <d v="2023-10-08T13:02:00"/>
    <m/>
    <n v="54"/>
    <s v="Résolu"/>
    <s v="Non trouvé"/>
    <s v="Non trouvé"/>
    <x v="1"/>
    <s v="Non trouvé"/>
  </r>
  <r>
    <x v="2"/>
    <s v="ANT-0859"/>
    <d v="2023-10-11T23:30:00"/>
    <m/>
    <n v="114"/>
    <s v="En Cours"/>
    <s v="Non trouvé"/>
    <s v="Non trouvé"/>
    <x v="1"/>
    <s v="Non trouvé"/>
  </r>
  <r>
    <x v="2"/>
    <s v="ANT-0141"/>
    <d v="2023-10-23T12:24:00"/>
    <m/>
    <n v="66"/>
    <s v="Résolu"/>
    <s v="Non trouvé"/>
    <s v="Non trouvé"/>
    <x v="1"/>
    <s v="Non trouvé"/>
  </r>
  <r>
    <x v="2"/>
    <s v="ANT-0644"/>
    <d v="2023-10-22T20:09:00"/>
    <m/>
    <n v="18"/>
    <s v="Résolu"/>
    <s v="Non trouvé"/>
    <s v="Non trouvé"/>
    <x v="1"/>
    <s v="Non trouvé"/>
  </r>
  <r>
    <x v="2"/>
    <s v="ANT-0100"/>
    <d v="2023-10-16T01:08:00"/>
    <m/>
    <n v="35"/>
    <s v="Résolu"/>
    <s v="Non trouvé"/>
    <s v="Non trouvé"/>
    <x v="1"/>
    <s v="Non trouvé"/>
  </r>
  <r>
    <x v="17"/>
    <s v="ANT-0926"/>
    <d v="2023-10-17T18:21:00"/>
    <m/>
    <n v="53"/>
    <s v="Non Résolu"/>
    <n v="-10.914952"/>
    <n v="26.409648000000001"/>
    <x v="0"/>
    <s v="Huawei"/>
  </r>
  <r>
    <x v="2"/>
    <s v="ANT-0643"/>
    <d v="2023-10-28T03:55:00"/>
    <m/>
    <n v="78"/>
    <s v="Non Résolu"/>
    <s v="Non trouvé"/>
    <s v="Non trouvé"/>
    <x v="1"/>
    <s v="Non trouvé"/>
  </r>
  <r>
    <x v="0"/>
    <s v="ANT-0662"/>
    <d v="2023-10-28T14:06:00"/>
    <m/>
    <n v="50"/>
    <s v="Non Résolu"/>
    <n v="-1.342476"/>
    <n v="15.986086"/>
    <x v="0"/>
    <s v="Ericsson"/>
  </r>
  <r>
    <x v="7"/>
    <s v="ANT-0041"/>
    <d v="2023-10-17T14:00:00"/>
    <m/>
    <n v="78"/>
    <s v="En Cours"/>
    <n v="0.16841400000000001"/>
    <n v="30.029876999999999"/>
    <x v="2"/>
    <s v="Huawei"/>
  </r>
  <r>
    <x v="2"/>
    <s v="ANT-0317"/>
    <d v="2023-10-24T04:26:00"/>
    <m/>
    <n v="42"/>
    <s v="Non Résolu"/>
    <s v="Non trouvé"/>
    <s v="Non trouvé"/>
    <x v="1"/>
    <s v="Non trouvé"/>
  </r>
  <r>
    <x v="2"/>
    <s v="ANT-0808"/>
    <d v="2023-10-28T20:09:00"/>
    <m/>
    <n v="94"/>
    <s v="En Cours"/>
    <s v="Non trouvé"/>
    <s v="Non trouvé"/>
    <x v="1"/>
    <s v="Non trouvé"/>
  </r>
  <r>
    <x v="2"/>
    <s v="ANT-0452"/>
    <d v="2023-10-03T15:50:00"/>
    <m/>
    <n v="42"/>
    <s v="Résolu"/>
    <s v="Non trouvé"/>
    <s v="Non trouvé"/>
    <x v="1"/>
    <s v="Non trouvé"/>
  </r>
  <r>
    <x v="6"/>
    <s v="ANT-0035"/>
    <d v="2023-10-09T10:39:00"/>
    <m/>
    <n v="7"/>
    <s v="En Cours"/>
    <n v="-6.3324319999999998"/>
    <n v="24.887858000000001"/>
    <x v="0"/>
    <s v="ZTE"/>
  </r>
  <r>
    <x v="2"/>
    <s v="ANT-0594"/>
    <d v="2023-10-23T12:41:00"/>
    <m/>
    <n v="111"/>
    <s v="Résolu"/>
    <s v="Non trouvé"/>
    <s v="Non trouvé"/>
    <x v="1"/>
    <s v="Non trouvé"/>
  </r>
  <r>
    <x v="2"/>
    <s v="ANT-0374"/>
    <d v="2023-10-03T10:54:00"/>
    <m/>
    <n v="89"/>
    <s v="En Cours"/>
    <s v="Non trouvé"/>
    <s v="Non trouvé"/>
    <x v="1"/>
    <s v="Non trouvé"/>
  </r>
  <r>
    <x v="16"/>
    <s v="ANT-0750"/>
    <d v="2023-10-22T17:24:00"/>
    <m/>
    <n v="55"/>
    <s v="Non Résolu"/>
    <n v="-1.3976519999999999"/>
    <n v="14.098819000000001"/>
    <x v="3"/>
    <s v="Ericsson"/>
  </r>
  <r>
    <x v="2"/>
    <s v="ANT-0135"/>
    <d v="2023-10-31T10:40:00"/>
    <m/>
    <n v="40"/>
    <s v="Résolu"/>
    <s v="Non trouvé"/>
    <s v="Non trouvé"/>
    <x v="1"/>
    <s v="Non trouvé"/>
  </r>
  <r>
    <x v="8"/>
    <s v="ANT-0093"/>
    <d v="2023-10-23T15:55:00"/>
    <m/>
    <n v="6"/>
    <s v="En Cours"/>
    <n v="2.975352"/>
    <n v="22.535886000000001"/>
    <x v="0"/>
    <s v="Huawei"/>
  </r>
  <r>
    <x v="2"/>
    <s v="ANT-0932"/>
    <d v="2023-10-18T01:39:00"/>
    <m/>
    <n v="77"/>
    <s v="En Cours"/>
    <s v="Non trouvé"/>
    <s v="Non trouvé"/>
    <x v="1"/>
    <s v="Non trouvé"/>
  </r>
  <r>
    <x v="2"/>
    <s v="ANT-0303"/>
    <d v="2023-10-03T07:40:00"/>
    <m/>
    <n v="115"/>
    <s v="Non Résolu"/>
    <s v="Non trouvé"/>
    <s v="Non trouvé"/>
    <x v="1"/>
    <s v="Non trouvé"/>
  </r>
  <r>
    <x v="2"/>
    <s v="ANT-0335"/>
    <d v="2023-10-22T09:14:00"/>
    <m/>
    <n v="92"/>
    <s v="Non Résolu"/>
    <s v="Non trouvé"/>
    <s v="Non trouvé"/>
    <x v="1"/>
    <s v="Non trouvé"/>
  </r>
  <r>
    <x v="2"/>
    <s v="ANT-0766"/>
    <d v="2023-10-24T02:27:00"/>
    <m/>
    <n v="104"/>
    <s v="Non Résolu"/>
    <s v="Non trouvé"/>
    <s v="Non trouvé"/>
    <x v="1"/>
    <s v="Non trouvé"/>
  </r>
  <r>
    <x v="2"/>
    <s v="ANT-0426"/>
    <d v="2023-10-04T20:45:00"/>
    <m/>
    <n v="100"/>
    <s v="En Cours"/>
    <s v="Non trouvé"/>
    <s v="Non trouvé"/>
    <x v="1"/>
    <s v="Non trouvé"/>
  </r>
  <r>
    <x v="5"/>
    <s v="ANT-0180"/>
    <d v="2023-10-28T03:28:00"/>
    <m/>
    <n v="11"/>
    <s v="Non Résolu"/>
    <n v="2.4425979999999998"/>
    <n v="24.924308"/>
    <x v="2"/>
    <s v="Ericsson"/>
  </r>
  <r>
    <x v="22"/>
    <s v="ANT-0206"/>
    <d v="2023-10-06T22:19:00"/>
    <m/>
    <n v="82"/>
    <s v="En Cours"/>
    <n v="4.0157999999999996"/>
    <n v="21.430246"/>
    <x v="2"/>
    <s v="Nokia"/>
  </r>
  <r>
    <x v="21"/>
    <s v="ANT-0136"/>
    <d v="2023-10-29T00:02:00"/>
    <m/>
    <n v="100"/>
    <s v="Non Résolu"/>
    <n v="-9.3900009999999998"/>
    <n v="30.001517"/>
    <x v="3"/>
    <s v="Nokia"/>
  </r>
  <r>
    <x v="2"/>
    <s v="ANT-0806"/>
    <d v="2023-10-11T01:18:00"/>
    <m/>
    <n v="68"/>
    <s v="En Cours"/>
    <s v="Non trouvé"/>
    <s v="Non trouvé"/>
    <x v="1"/>
    <s v="Non trouvé"/>
  </r>
  <r>
    <x v="15"/>
    <s v="ANT-0553"/>
    <d v="2023-10-12T11:27:00"/>
    <m/>
    <n v="111"/>
    <s v="Résolu"/>
    <n v="4.6287159999999998"/>
    <n v="19.407077999999998"/>
    <x v="0"/>
    <s v="Ericsson"/>
  </r>
  <r>
    <x v="2"/>
    <s v="ANT-0898"/>
    <d v="2023-10-05T07:33:00"/>
    <m/>
    <n v="120"/>
    <s v="Non Résolu"/>
    <s v="Non trouvé"/>
    <s v="Non trouvé"/>
    <x v="1"/>
    <s v="Non trouvé"/>
  </r>
  <r>
    <x v="9"/>
    <s v="ANT-0995"/>
    <d v="2023-10-14T18:43:00"/>
    <m/>
    <n v="120"/>
    <s v="Résolu"/>
    <n v="-7.5969509999999998"/>
    <n v="22.153986"/>
    <x v="3"/>
    <s v="Ericsson"/>
  </r>
  <r>
    <x v="1"/>
    <s v="ANT-0375"/>
    <d v="2023-10-26T05:10:00"/>
    <m/>
    <n v="41"/>
    <s v="En Cours"/>
    <n v="-4.9552579999999997"/>
    <n v="22.008103999999999"/>
    <x v="0"/>
    <s v="Huawei"/>
  </r>
  <r>
    <x v="2"/>
    <s v="ANT-0544"/>
    <d v="2023-10-06T02:39:00"/>
    <m/>
    <n v="104"/>
    <s v="Résolu"/>
    <s v="Non trouvé"/>
    <s v="Non trouvé"/>
    <x v="1"/>
    <s v="Non trouvé"/>
  </r>
  <r>
    <x v="24"/>
    <s v="ANT-0514"/>
    <d v="2023-10-28T12:39:00"/>
    <m/>
    <n v="107"/>
    <s v="Non Résolu"/>
    <n v="-1.50664"/>
    <n v="27.795642000000001"/>
    <x v="2"/>
    <s v="ZTE"/>
  </r>
  <r>
    <x v="10"/>
    <s v="ANT-0936"/>
    <d v="2023-10-22T07:31:00"/>
    <m/>
    <n v="34"/>
    <s v="Non Résolu"/>
    <n v="-10.165072"/>
    <n v="29.428024000000001"/>
    <x v="2"/>
    <s v="Huawei"/>
  </r>
  <r>
    <x v="2"/>
    <s v="ANT-0280"/>
    <d v="2023-10-30T18:09:00"/>
    <m/>
    <n v="82"/>
    <s v="En Cours"/>
    <s v="Non trouvé"/>
    <s v="Non trouvé"/>
    <x v="1"/>
    <s v="Non trouvé"/>
  </r>
  <r>
    <x v="2"/>
    <s v="ANT-0851"/>
    <d v="2023-10-08T14:40:00"/>
    <m/>
    <n v="107"/>
    <s v="Non Résolu"/>
    <s v="Non trouvé"/>
    <s v="Non trouvé"/>
    <x v="1"/>
    <s v="Non trouvé"/>
  </r>
  <r>
    <x v="2"/>
    <s v="ANT-0169"/>
    <d v="2023-10-09T14:16:00"/>
    <m/>
    <n v="50"/>
    <s v="Résolu"/>
    <s v="Non trouvé"/>
    <s v="Non trouvé"/>
    <x v="1"/>
    <s v="Non trouvé"/>
  </r>
  <r>
    <x v="11"/>
    <s v="ANT-0264"/>
    <d v="2023-10-22T00:57:00"/>
    <m/>
    <n v="33"/>
    <s v="Non Résolu"/>
    <n v="0.48965500000000001"/>
    <n v="26.176860000000001"/>
    <x v="0"/>
    <s v="Huawei"/>
  </r>
  <r>
    <x v="10"/>
    <s v="ANT-0936"/>
    <d v="2023-10-26T14:57:00"/>
    <m/>
    <n v="86"/>
    <s v="Résolu"/>
    <n v="-10.165072"/>
    <n v="29.428024000000001"/>
    <x v="2"/>
    <s v="Huawei"/>
  </r>
  <r>
    <x v="22"/>
    <s v="ANT-0845"/>
    <d v="2023-10-10T21:34:00"/>
    <m/>
    <n v="29"/>
    <s v="Non Résolu"/>
    <n v="-10.872631999999999"/>
    <n v="12.773279"/>
    <x v="3"/>
    <s v="ZTE"/>
  </r>
  <r>
    <x v="2"/>
    <s v="ANT-0967"/>
    <d v="2023-10-06T02:28:00"/>
    <m/>
    <n v="84"/>
    <s v="En Cours"/>
    <s v="Non trouvé"/>
    <s v="Non trouvé"/>
    <x v="1"/>
    <s v="Non trouvé"/>
  </r>
  <r>
    <x v="8"/>
    <s v="ANT-0494"/>
    <d v="2023-10-31T11:37:00"/>
    <m/>
    <n v="37"/>
    <s v="Non Résolu"/>
    <n v="-12.564277000000001"/>
    <n v="28.480798"/>
    <x v="2"/>
    <s v="ZTE"/>
  </r>
  <r>
    <x v="25"/>
    <s v="ANT-0991"/>
    <d v="2023-10-10T20:27:00"/>
    <m/>
    <n v="91"/>
    <s v="En Cours"/>
    <n v="-12.431227"/>
    <n v="18.414290999999999"/>
    <x v="2"/>
    <s v="Huawei"/>
  </r>
  <r>
    <x v="15"/>
    <s v="ANT-0826"/>
    <d v="2023-10-23T08:29:00"/>
    <m/>
    <n v="101"/>
    <s v="Non Résolu"/>
    <n v="-10.846306999999999"/>
    <n v="19.201827999999999"/>
    <x v="0"/>
    <s v="Ericsson"/>
  </r>
  <r>
    <x v="2"/>
    <s v="ANT-0111"/>
    <d v="2023-10-08T17:08:00"/>
    <m/>
    <n v="99"/>
    <s v="Non Résolu"/>
    <s v="Non trouvé"/>
    <s v="Non trouvé"/>
    <x v="1"/>
    <s v="Non trouvé"/>
  </r>
  <r>
    <x v="23"/>
    <s v="ANT-0503"/>
    <d v="2023-10-13T14:23:00"/>
    <m/>
    <n v="58"/>
    <s v="Non Résolu"/>
    <n v="-1.8045979999999999"/>
    <n v="12.511096999999999"/>
    <x v="3"/>
    <s v="Huawei"/>
  </r>
  <r>
    <x v="2"/>
    <s v="ANT-0730"/>
    <d v="2023-10-22T23:44:00"/>
    <m/>
    <n v="72"/>
    <s v="Non Résolu"/>
    <s v="Non trouvé"/>
    <s v="Non trouvé"/>
    <x v="1"/>
    <s v="Non trouvé"/>
  </r>
  <r>
    <x v="2"/>
    <s v="ANT-0932"/>
    <d v="2023-10-31T17:26:00"/>
    <m/>
    <n v="19"/>
    <s v="Non Résolu"/>
    <s v="Non trouvé"/>
    <s v="Non trouvé"/>
    <x v="1"/>
    <s v="Non trouvé"/>
  </r>
  <r>
    <x v="2"/>
    <s v="ANT-0455"/>
    <d v="2023-10-19T23:46:00"/>
    <m/>
    <n v="100"/>
    <s v="Résolu"/>
    <s v="Non trouvé"/>
    <s v="Non trouvé"/>
    <x v="1"/>
    <s v="Non trouvé"/>
  </r>
  <r>
    <x v="2"/>
    <s v="ANT-0076"/>
    <d v="2023-10-05T13:41:00"/>
    <m/>
    <n v="13"/>
    <s v="En Cours"/>
    <s v="Non trouvé"/>
    <s v="Non trouvé"/>
    <x v="1"/>
    <s v="Non trouvé"/>
  </r>
  <r>
    <x v="7"/>
    <s v="ANT-0921"/>
    <d v="2023-10-04T15:39:00"/>
    <m/>
    <n v="65"/>
    <s v="En Cours"/>
    <n v="2.016505"/>
    <n v="14.294164"/>
    <x v="2"/>
    <s v="Huawei"/>
  </r>
  <r>
    <x v="2"/>
    <s v="ANT-0083"/>
    <d v="2023-10-14T08:02:00"/>
    <m/>
    <n v="62"/>
    <s v="Résolu"/>
    <s v="Non trouvé"/>
    <s v="Non trouvé"/>
    <x v="1"/>
    <s v="Non trouvé"/>
  </r>
  <r>
    <x v="2"/>
    <s v="ANT-0330"/>
    <d v="2023-10-23T11:13:00"/>
    <m/>
    <n v="104"/>
    <s v="En Cours"/>
    <s v="Non trouvé"/>
    <s v="Non trouvé"/>
    <x v="1"/>
    <s v="Non trouvé"/>
  </r>
  <r>
    <x v="2"/>
    <s v="ANT-0623"/>
    <d v="2023-10-15T14:15:00"/>
    <m/>
    <n v="51"/>
    <s v="En Cours"/>
    <s v="Non trouvé"/>
    <s v="Non trouvé"/>
    <x v="1"/>
    <s v="Non trouvé"/>
  </r>
  <r>
    <x v="2"/>
    <s v="ANT-0152"/>
    <d v="2023-10-28T11:06:00"/>
    <m/>
    <n v="70"/>
    <s v="En Cours"/>
    <s v="Non trouvé"/>
    <s v="Non trouvé"/>
    <x v="1"/>
    <s v="Non trouvé"/>
  </r>
  <r>
    <x v="2"/>
    <s v="ANT-0068"/>
    <d v="2023-10-22T11:34:00"/>
    <m/>
    <n v="80"/>
    <s v="En Cours"/>
    <s v="Non trouvé"/>
    <s v="Non trouvé"/>
    <x v="1"/>
    <s v="Non trouvé"/>
  </r>
  <r>
    <x v="2"/>
    <s v="ANT-0130"/>
    <d v="2023-10-29T20:22:00"/>
    <m/>
    <n v="18"/>
    <s v="En Cours"/>
    <s v="Non trouvé"/>
    <s v="Non trouvé"/>
    <x v="1"/>
    <s v="Non trouvé"/>
  </r>
  <r>
    <x v="15"/>
    <s v="ANT-0282"/>
    <d v="2023-10-02T12:17:00"/>
    <m/>
    <n v="62"/>
    <s v="Non Résolu"/>
    <n v="-10.25074"/>
    <n v="26.099086"/>
    <x v="0"/>
    <s v="Huawei"/>
  </r>
  <r>
    <x v="2"/>
    <s v="ANT-0640"/>
    <d v="2023-10-07T03:54:00"/>
    <m/>
    <n v="69"/>
    <s v="Résolu"/>
    <s v="Non trouvé"/>
    <s v="Non trouvé"/>
    <x v="1"/>
    <s v="Non trouvé"/>
  </r>
  <r>
    <x v="0"/>
    <s v="ANT-0649"/>
    <d v="2023-10-27T14:05:00"/>
    <m/>
    <n v="33"/>
    <s v="En Cours"/>
    <n v="-7.7839049999999999"/>
    <n v="14.114281999999999"/>
    <x v="3"/>
    <s v="ZTE"/>
  </r>
  <r>
    <x v="19"/>
    <s v="ANT-0600"/>
    <d v="2023-10-22T06:41:00"/>
    <m/>
    <n v="83"/>
    <s v="En Cours"/>
    <n v="-12.292039000000001"/>
    <n v="27.538202999999999"/>
    <x v="3"/>
    <s v="Huawei"/>
  </r>
  <r>
    <x v="2"/>
    <s v="ANT-0562"/>
    <d v="2023-10-21T19:01:00"/>
    <m/>
    <n v="10"/>
    <s v="En Cours"/>
    <s v="Non trouvé"/>
    <s v="Non trouvé"/>
    <x v="1"/>
    <s v="Non trouvé"/>
  </r>
  <r>
    <x v="2"/>
    <s v="ANT-0730"/>
    <d v="2023-10-02T10:15:00"/>
    <m/>
    <n v="98"/>
    <s v="Non Résolu"/>
    <s v="Non trouvé"/>
    <s v="Non trouvé"/>
    <x v="1"/>
    <s v="Non trouvé"/>
  </r>
  <r>
    <x v="2"/>
    <s v="ANT-0333"/>
    <d v="2023-10-05T18:13:00"/>
    <m/>
    <n v="105"/>
    <s v="En Cours"/>
    <s v="Non trouvé"/>
    <s v="Non trouvé"/>
    <x v="1"/>
    <s v="Non trouvé"/>
  </r>
  <r>
    <x v="24"/>
    <s v="ANT-0391"/>
    <d v="2023-10-03T17:13:00"/>
    <m/>
    <n v="115"/>
    <s v="En Cours"/>
    <n v="-1.5936220000000001"/>
    <n v="14.928856"/>
    <x v="2"/>
    <s v="Ericsson"/>
  </r>
  <r>
    <x v="25"/>
    <s v="ANT-0612"/>
    <d v="2023-10-19T06:52:00"/>
    <m/>
    <n v="89"/>
    <s v="Résolu"/>
    <n v="-7.5129409999999996"/>
    <n v="18.701522000000001"/>
    <x v="0"/>
    <s v="Nokia"/>
  </r>
  <r>
    <x v="2"/>
    <s v="ANT-0544"/>
    <d v="2023-10-28T07:21:00"/>
    <m/>
    <n v="71"/>
    <s v="Non Résolu"/>
    <s v="Non trouvé"/>
    <s v="Non trouvé"/>
    <x v="1"/>
    <s v="Non trouvé"/>
  </r>
  <r>
    <x v="18"/>
    <s v="ANT-0302"/>
    <d v="2023-10-25T04:50:00"/>
    <m/>
    <n v="43"/>
    <s v="En Cours"/>
    <n v="-4.6818410000000004"/>
    <n v="17.541618"/>
    <x v="0"/>
    <s v="Ericsson"/>
  </r>
  <r>
    <x v="24"/>
    <s v="ANT-0465"/>
    <d v="2023-10-29T19:00:00"/>
    <m/>
    <n v="63"/>
    <s v="Résolu"/>
    <n v="-11.144149000000001"/>
    <n v="27.244658999999999"/>
    <x v="0"/>
    <s v="Nokia"/>
  </r>
  <r>
    <x v="2"/>
    <s v="ANT-0518"/>
    <d v="2023-10-09T04:08:00"/>
    <m/>
    <n v="87"/>
    <s v="Résolu"/>
    <s v="Non trouvé"/>
    <s v="Non trouvé"/>
    <x v="1"/>
    <s v="Non trouvé"/>
  </r>
  <r>
    <x v="15"/>
    <s v="ANT-0620"/>
    <d v="2023-10-18T08:51:00"/>
    <m/>
    <n v="8"/>
    <s v="Résolu"/>
    <n v="-4.1754939999999996"/>
    <n v="16.704664999999999"/>
    <x v="3"/>
    <s v="Ericsson"/>
  </r>
  <r>
    <x v="21"/>
    <s v="ANT-0441"/>
    <d v="2023-10-06T03:42:00"/>
    <m/>
    <n v="12"/>
    <s v="Résolu"/>
    <n v="-5.2526849999999996"/>
    <n v="12.374528"/>
    <x v="3"/>
    <s v="Nokia"/>
  </r>
  <r>
    <x v="2"/>
    <s v="ANT-0102"/>
    <d v="2023-10-28T00:08:00"/>
    <m/>
    <n v="66"/>
    <s v="En Cours"/>
    <s v="Non trouvé"/>
    <s v="Non trouvé"/>
    <x v="1"/>
    <s v="Non trouvé"/>
  </r>
  <r>
    <x v="21"/>
    <s v="ANT-0813"/>
    <d v="2023-10-01T11:50:00"/>
    <m/>
    <n v="113"/>
    <s v="Résolu"/>
    <n v="-1.5419050000000001"/>
    <n v="14.730632999999999"/>
    <x v="3"/>
    <s v="ZTE"/>
  </r>
  <r>
    <x v="0"/>
    <s v="ANT-0719"/>
    <d v="2023-10-26T07:37:00"/>
    <m/>
    <n v="56"/>
    <s v="Non Résolu"/>
    <n v="-7.9987219999999999"/>
    <n v="12.779335"/>
    <x v="2"/>
    <s v="Nokia"/>
  </r>
  <r>
    <x v="2"/>
    <s v="ANT-0118"/>
    <d v="2023-10-11T00:11:00"/>
    <m/>
    <n v="59"/>
    <s v="Non Résolu"/>
    <s v="Non trouvé"/>
    <s v="Non trouvé"/>
    <x v="1"/>
    <s v="Non trouvé"/>
  </r>
  <r>
    <x v="2"/>
    <s v="ANT-0874"/>
    <d v="2023-10-09T01:08:00"/>
    <m/>
    <n v="92"/>
    <s v="En Cours"/>
    <s v="Non trouvé"/>
    <s v="Non trouvé"/>
    <x v="1"/>
    <s v="Non trouvé"/>
  </r>
  <r>
    <x v="2"/>
    <s v="ANT-0727"/>
    <d v="2023-10-22T03:26:00"/>
    <m/>
    <n v="43"/>
    <s v="Résolu"/>
    <s v="Non trouvé"/>
    <s v="Non trouvé"/>
    <x v="1"/>
    <s v="Non trouvé"/>
  </r>
  <r>
    <x v="2"/>
    <s v="ANT-0656"/>
    <d v="2023-10-12T21:48:00"/>
    <m/>
    <n v="32"/>
    <s v="Non Résolu"/>
    <s v="Non trouvé"/>
    <s v="Non trouvé"/>
    <x v="1"/>
    <s v="Non trouvé"/>
  </r>
  <r>
    <x v="2"/>
    <s v="ANT-0428"/>
    <d v="2023-10-14T23:03:00"/>
    <m/>
    <n v="103"/>
    <s v="Non Résolu"/>
    <s v="Non trouvé"/>
    <s v="Non trouvé"/>
    <x v="1"/>
    <s v="Non trouvé"/>
  </r>
  <r>
    <x v="2"/>
    <s v="ANT-0118"/>
    <d v="2023-10-10T11:06:00"/>
    <m/>
    <n v="102"/>
    <s v="En Cours"/>
    <s v="Non trouvé"/>
    <s v="Non trouvé"/>
    <x v="1"/>
    <s v="Non trouvé"/>
  </r>
  <r>
    <x v="21"/>
    <s v="ANT-0415"/>
    <d v="2023-10-19T16:13:00"/>
    <m/>
    <n v="37"/>
    <s v="En Cours"/>
    <n v="-2.9651529999999999"/>
    <n v="29.79908"/>
    <x v="0"/>
    <s v="Ericsson"/>
  </r>
  <r>
    <x v="2"/>
    <s v="ANT-0022"/>
    <d v="2023-10-05T21:30:00"/>
    <m/>
    <n v="42"/>
    <s v="Non Résolu"/>
    <s v="Non trouvé"/>
    <s v="Non trouvé"/>
    <x v="1"/>
    <s v="Non trouvé"/>
  </r>
  <r>
    <x v="8"/>
    <s v="ANT-0990"/>
    <d v="2023-10-08T03:22:00"/>
    <m/>
    <n v="46"/>
    <s v="Non Résolu"/>
    <n v="-12.112399999999999"/>
    <n v="15.872226"/>
    <x v="0"/>
    <s v="Nokia"/>
  </r>
  <r>
    <x v="2"/>
    <s v="ANT-0333"/>
    <d v="2023-10-28T17:23:00"/>
    <m/>
    <n v="20"/>
    <s v="Résolu"/>
    <s v="Non trouvé"/>
    <s v="Non trouvé"/>
    <x v="1"/>
    <s v="Non trouvé"/>
  </r>
  <r>
    <x v="2"/>
    <s v="ANT-0176"/>
    <d v="2023-10-04T08:36:00"/>
    <m/>
    <n v="5"/>
    <s v="Résolu"/>
    <s v="Non trouvé"/>
    <s v="Non trouvé"/>
    <x v="1"/>
    <s v="Non trouvé"/>
  </r>
  <r>
    <x v="12"/>
    <s v="ANT-0821"/>
    <d v="2023-10-08T13:54:00"/>
    <m/>
    <n v="68"/>
    <s v="Résolu"/>
    <n v="-3.7720639999999999"/>
    <n v="16.006277999999998"/>
    <x v="2"/>
    <s v="ZTE"/>
  </r>
  <r>
    <x v="2"/>
    <s v="ANT-0971"/>
    <d v="2023-10-18T19:39:00"/>
    <m/>
    <n v="100"/>
    <s v="Résolu"/>
    <s v="Non trouvé"/>
    <s v="Non trouvé"/>
    <x v="1"/>
    <s v="Non trouvé"/>
  </r>
  <r>
    <x v="2"/>
    <s v="ANT-0633"/>
    <d v="2023-10-22T20:35:00"/>
    <m/>
    <n v="60"/>
    <s v="En Cours"/>
    <s v="Non trouvé"/>
    <s v="Non trouvé"/>
    <x v="1"/>
    <s v="Non trouvé"/>
  </r>
  <r>
    <x v="21"/>
    <s v="ANT-0472"/>
    <d v="2023-10-01T19:59:00"/>
    <m/>
    <n v="27"/>
    <s v="Résolu"/>
    <n v="1.2419519999999999"/>
    <n v="25.261382999999999"/>
    <x v="0"/>
    <s v="Huawei"/>
  </r>
  <r>
    <x v="21"/>
    <s v="ANT-0852"/>
    <d v="2023-10-22T22:17:00"/>
    <m/>
    <n v="21"/>
    <s v="Résolu"/>
    <n v="4.2493650000000001"/>
    <n v="28.355039999999999"/>
    <x v="3"/>
    <s v="ZTE"/>
  </r>
  <r>
    <x v="2"/>
    <s v="ANT-0707"/>
    <d v="2023-10-01T05:17:00"/>
    <m/>
    <n v="53"/>
    <s v="Non Résolu"/>
    <s v="Non trouvé"/>
    <s v="Non trouvé"/>
    <x v="1"/>
    <s v="Non trouvé"/>
  </r>
  <r>
    <x v="0"/>
    <s v="ANT-0942"/>
    <d v="2023-10-23T09:58:00"/>
    <m/>
    <n v="73"/>
    <s v="Résolu"/>
    <n v="-4.8128659999999996"/>
    <n v="18.559304999999998"/>
    <x v="2"/>
    <s v="ZTE"/>
  </r>
  <r>
    <x v="6"/>
    <s v="ANT-0371"/>
    <d v="2023-10-11T11:00:00"/>
    <m/>
    <n v="95"/>
    <s v="Non Résolu"/>
    <n v="-12.112682"/>
    <n v="19.972052000000001"/>
    <x v="0"/>
    <s v="Huawei"/>
  </r>
  <r>
    <x v="9"/>
    <s v="ANT-0091"/>
    <d v="2023-10-06T04:36:00"/>
    <m/>
    <n v="34"/>
    <s v="Résolu"/>
    <n v="-4.7886769999999999"/>
    <n v="23.600221999999999"/>
    <x v="3"/>
    <s v="ZTE"/>
  </r>
  <r>
    <x v="2"/>
    <s v="ANT-0448"/>
    <d v="2023-10-22T12:04:00"/>
    <m/>
    <n v="69"/>
    <s v="Résolu"/>
    <s v="Non trouvé"/>
    <s v="Non trouvé"/>
    <x v="1"/>
    <s v="Non trouvé"/>
  </r>
  <r>
    <x v="23"/>
    <s v="ANT-0865"/>
    <d v="2023-10-05T23:40:00"/>
    <m/>
    <n v="76"/>
    <s v="Non Résolu"/>
    <n v="-4.869434"/>
    <n v="22.326522000000001"/>
    <x v="2"/>
    <s v="Ericsson"/>
  </r>
  <r>
    <x v="2"/>
    <s v="ANT-0109"/>
    <d v="2023-10-01T02:47:00"/>
    <m/>
    <n v="111"/>
    <s v="En Cours"/>
    <s v="Non trouvé"/>
    <s v="Non trouvé"/>
    <x v="1"/>
    <s v="Non trouvé"/>
  </r>
  <r>
    <x v="18"/>
    <s v="ANT-0250"/>
    <d v="2023-10-17T06:24:00"/>
    <m/>
    <n v="90"/>
    <s v="En Cours"/>
    <n v="-2.3743210000000001"/>
    <n v="22.399491000000001"/>
    <x v="2"/>
    <s v="Ericsson"/>
  </r>
  <r>
    <x v="2"/>
    <s v="ANT-0447"/>
    <d v="2023-10-14T14:21:00"/>
    <m/>
    <n v="108"/>
    <s v="Non Résolu"/>
    <s v="Non trouvé"/>
    <s v="Non trouvé"/>
    <x v="1"/>
    <s v="Non trouvé"/>
  </r>
  <r>
    <x v="6"/>
    <s v="ANT-0604"/>
    <d v="2023-10-06T11:19:00"/>
    <m/>
    <n v="50"/>
    <s v="Non Résolu"/>
    <n v="2.628638"/>
    <n v="28.420582"/>
    <x v="0"/>
    <s v="Huawei"/>
  </r>
  <r>
    <x v="19"/>
    <s v="ANT-0411"/>
    <d v="2023-10-24T10:49:00"/>
    <m/>
    <n v="14"/>
    <s v="En Cours"/>
    <n v="-2.571777"/>
    <n v="12.120642"/>
    <x v="3"/>
    <s v="Huawei"/>
  </r>
  <r>
    <x v="2"/>
    <s v="ANT-0537"/>
    <d v="2023-10-31T18:38:00"/>
    <m/>
    <n v="55"/>
    <s v="Non Résolu"/>
    <s v="Non trouvé"/>
    <s v="Non trouvé"/>
    <x v="1"/>
    <s v="Non trouvé"/>
  </r>
  <r>
    <x v="19"/>
    <s v="ANT-0081"/>
    <d v="2023-10-03T01:09:00"/>
    <m/>
    <n v="115"/>
    <s v="Non Résolu"/>
    <n v="-10.577049000000001"/>
    <n v="23.721854"/>
    <x v="0"/>
    <s v="ZTE"/>
  </r>
  <r>
    <x v="2"/>
    <s v="ANT-0406"/>
    <d v="2023-10-06T19:03:00"/>
    <m/>
    <n v="99"/>
    <s v="Non Résolu"/>
    <s v="Non trouvé"/>
    <s v="Non trouvé"/>
    <x v="1"/>
    <s v="Non trouvé"/>
  </r>
  <r>
    <x v="2"/>
    <s v="ANT-0318"/>
    <d v="2023-10-15T21:27:00"/>
    <m/>
    <n v="60"/>
    <s v="Non Résolu"/>
    <s v="Non trouvé"/>
    <s v="Non trouvé"/>
    <x v="1"/>
    <s v="Non trouvé"/>
  </r>
  <r>
    <x v="2"/>
    <s v="ANT-0764"/>
    <d v="2023-10-16T19:28:00"/>
    <m/>
    <n v="7"/>
    <s v="En Cours"/>
    <s v="Non trouvé"/>
    <s v="Non trouvé"/>
    <x v="1"/>
    <s v="Non trouvé"/>
  </r>
  <r>
    <x v="21"/>
    <s v="ANT-0348"/>
    <d v="2023-10-14T08:13:00"/>
    <m/>
    <n v="63"/>
    <s v="Non Résolu"/>
    <n v="0.31740800000000002"/>
    <n v="27.197666999999999"/>
    <x v="2"/>
    <s v="Nokia"/>
  </r>
  <r>
    <x v="2"/>
    <s v="ANT-0227"/>
    <d v="2023-10-25T16:07:00"/>
    <m/>
    <n v="14"/>
    <s v="En Cours"/>
    <s v="Non trouvé"/>
    <s v="Non trouvé"/>
    <x v="1"/>
    <s v="Non trouvé"/>
  </r>
  <r>
    <x v="2"/>
    <s v="ANT-0342"/>
    <d v="2023-10-12T13:07:00"/>
    <m/>
    <n v="115"/>
    <s v="Résolu"/>
    <s v="Non trouvé"/>
    <s v="Non trouvé"/>
    <x v="1"/>
    <s v="Non trouvé"/>
  </r>
  <r>
    <x v="2"/>
    <s v="ANT-0798"/>
    <d v="2023-10-10T21:43:00"/>
    <m/>
    <n v="45"/>
    <s v="En Cours"/>
    <s v="Non trouvé"/>
    <s v="Non trouvé"/>
    <x v="1"/>
    <s v="Non trouvé"/>
  </r>
  <r>
    <x v="2"/>
    <s v="ANT-0173"/>
    <d v="2023-10-19T15:33:00"/>
    <m/>
    <n v="78"/>
    <s v="Résolu"/>
    <s v="Non trouvé"/>
    <s v="Non trouvé"/>
    <x v="1"/>
    <s v="Non trouvé"/>
  </r>
  <r>
    <x v="18"/>
    <s v="ANT-0079"/>
    <d v="2023-10-22T09:02:00"/>
    <m/>
    <n v="59"/>
    <s v="En Cours"/>
    <n v="-8.4824669999999998"/>
    <n v="21.897777999999999"/>
    <x v="2"/>
    <s v="Ericsson"/>
  </r>
  <r>
    <x v="7"/>
    <s v="ANT-0523"/>
    <d v="2023-10-08T12:38:00"/>
    <m/>
    <n v="78"/>
    <s v="En Cours"/>
    <n v="-9.4229749999999992"/>
    <n v="29.375005999999999"/>
    <x v="3"/>
    <s v="Ericsson"/>
  </r>
  <r>
    <x v="0"/>
    <s v="ANT-0649"/>
    <d v="2023-10-02T00:13:00"/>
    <m/>
    <n v="56"/>
    <s v="Non Résolu"/>
    <n v="-7.7839049999999999"/>
    <n v="14.114281999999999"/>
    <x v="3"/>
    <s v="ZTE"/>
  </r>
  <r>
    <x v="7"/>
    <s v="ANT-0989"/>
    <d v="2023-10-02T01:23:00"/>
    <m/>
    <n v="103"/>
    <s v="Résolu"/>
    <n v="-11.594525000000001"/>
    <n v="29.744895"/>
    <x v="3"/>
    <s v="ZTE"/>
  </r>
  <r>
    <x v="13"/>
    <s v="ANT-0829"/>
    <d v="2023-10-27T09:04:00"/>
    <m/>
    <n v="74"/>
    <s v="En Cours"/>
    <n v="4.6809229999999999"/>
    <n v="28.934242000000001"/>
    <x v="2"/>
    <s v="Nokia"/>
  </r>
  <r>
    <x v="12"/>
    <s v="ANT-0804"/>
    <d v="2023-10-21T02:39:00"/>
    <m/>
    <n v="111"/>
    <s v="En Cours"/>
    <n v="-4.1250960000000001"/>
    <n v="27.799897999999999"/>
    <x v="3"/>
    <s v="Nokia"/>
  </r>
  <r>
    <x v="8"/>
    <s v="ANT-0481"/>
    <d v="2023-10-20T16:24:00"/>
    <m/>
    <n v="99"/>
    <s v="Non Résolu"/>
    <n v="-9.5840350000000001"/>
    <n v="15.966024000000001"/>
    <x v="2"/>
    <s v="Nokia"/>
  </r>
  <r>
    <x v="17"/>
    <s v="ANT-0926"/>
    <d v="2023-10-15T18:35:00"/>
    <m/>
    <n v="118"/>
    <s v="Résolu"/>
    <n v="-10.914952"/>
    <n v="26.409648000000001"/>
    <x v="0"/>
    <s v="Huawei"/>
  </r>
  <r>
    <x v="12"/>
    <s v="ANT-0856"/>
    <d v="2023-10-31T23:57:00"/>
    <m/>
    <n v="72"/>
    <s v="En Cours"/>
    <n v="-1.9120569999999999"/>
    <n v="15.236072999999999"/>
    <x v="2"/>
    <s v="Huawei"/>
  </r>
  <r>
    <x v="2"/>
    <s v="ANT-0199"/>
    <d v="2023-10-02T14:58:00"/>
    <m/>
    <n v="9"/>
    <s v="Résolu"/>
    <s v="Non trouvé"/>
    <s v="Non trouvé"/>
    <x v="1"/>
    <s v="Non trouvé"/>
  </r>
  <r>
    <x v="2"/>
    <s v="ANT-0377"/>
    <d v="2023-10-26T18:41:00"/>
    <m/>
    <n v="89"/>
    <s v="Résolu"/>
    <s v="Non trouvé"/>
    <s v="Non trouvé"/>
    <x v="1"/>
    <s v="Non trouvé"/>
  </r>
  <r>
    <x v="6"/>
    <s v="ANT-0695"/>
    <d v="2023-10-07T10:38:00"/>
    <m/>
    <n v="48"/>
    <s v="En Cours"/>
    <n v="0.16327700000000001"/>
    <n v="14.871577"/>
    <x v="0"/>
    <s v="Huawei"/>
  </r>
  <r>
    <x v="15"/>
    <s v="ANT-0970"/>
    <d v="2023-10-16T16:09:00"/>
    <m/>
    <n v="117"/>
    <s v="En Cours"/>
    <n v="-11.866133"/>
    <n v="27.068932"/>
    <x v="3"/>
    <s v="Huawei"/>
  </r>
  <r>
    <x v="2"/>
    <s v="ANT-0585"/>
    <d v="2023-10-31T01:28:00"/>
    <m/>
    <n v="103"/>
    <s v="Résolu"/>
    <s v="Non trouvé"/>
    <s v="Non trouvé"/>
    <x v="1"/>
    <s v="Non trouvé"/>
  </r>
  <r>
    <x v="2"/>
    <s v="ANT-0452"/>
    <d v="2023-10-04T10:45:00"/>
    <m/>
    <n v="84"/>
    <s v="En Cours"/>
    <s v="Non trouvé"/>
    <s v="Non trouvé"/>
    <x v="1"/>
    <s v="Non trouvé"/>
  </r>
  <r>
    <x v="2"/>
    <s v="ANT-0473"/>
    <d v="2023-10-03T16:41:00"/>
    <m/>
    <n v="21"/>
    <s v="Résolu"/>
    <s v="Non trouvé"/>
    <s v="Non trouvé"/>
    <x v="1"/>
    <s v="Non trouvé"/>
  </r>
  <r>
    <x v="10"/>
    <s v="ANT-0788"/>
    <d v="2023-10-06T01:15:00"/>
    <m/>
    <n v="81"/>
    <s v="En Cours"/>
    <n v="1.5802860000000001"/>
    <n v="20.99053"/>
    <x v="0"/>
    <s v="ZTE"/>
  </r>
  <r>
    <x v="2"/>
    <s v="ANT-0289"/>
    <d v="2023-10-23T14:28:00"/>
    <m/>
    <n v="53"/>
    <s v="Non Résolu"/>
    <s v="Non trouvé"/>
    <s v="Non trouvé"/>
    <x v="1"/>
    <s v="Non trouvé"/>
  </r>
  <r>
    <x v="23"/>
    <s v="ANT-0797"/>
    <d v="2023-10-17T16:39:00"/>
    <m/>
    <n v="24"/>
    <s v="En Cours"/>
    <n v="-12.100756000000001"/>
    <n v="21.938649999999999"/>
    <x v="0"/>
    <s v="Huawei"/>
  </r>
  <r>
    <x v="23"/>
    <s v="ANT-0392"/>
    <d v="2023-10-06T11:23:00"/>
    <m/>
    <n v="25"/>
    <s v="Résolu"/>
    <n v="-1.013558"/>
    <n v="17.346937"/>
    <x v="2"/>
    <s v="Huawei"/>
  </r>
  <r>
    <x v="22"/>
    <s v="ANT-0515"/>
    <d v="2023-10-30T09:24:00"/>
    <m/>
    <n v="28"/>
    <s v="En Cours"/>
    <n v="-10.967288"/>
    <n v="17.617781000000001"/>
    <x v="0"/>
    <s v="Ericsson"/>
  </r>
  <r>
    <x v="2"/>
    <s v="ANT-0541"/>
    <d v="2023-10-14T10:43:00"/>
    <m/>
    <n v="111"/>
    <s v="Résolu"/>
    <s v="Non trouvé"/>
    <s v="Non trouvé"/>
    <x v="1"/>
    <s v="Non trouvé"/>
  </r>
  <r>
    <x v="2"/>
    <s v="ANT-0429"/>
    <d v="2023-10-20T01:50:00"/>
    <m/>
    <n v="93"/>
    <s v="En Cours"/>
    <s v="Non trouvé"/>
    <s v="Non trouvé"/>
    <x v="1"/>
    <s v="Non trouvé"/>
  </r>
  <r>
    <x v="8"/>
    <s v="ANT-0990"/>
    <d v="2023-10-21T20:21:00"/>
    <m/>
    <n v="103"/>
    <s v="Résolu"/>
    <n v="-12.112399999999999"/>
    <n v="15.872226"/>
    <x v="0"/>
    <s v="Nokia"/>
  </r>
  <r>
    <x v="17"/>
    <s v="ANT-0166"/>
    <d v="2023-10-03T10:06:00"/>
    <m/>
    <n v="84"/>
    <s v="Résolu"/>
    <n v="-10.56448"/>
    <n v="19.792876"/>
    <x v="2"/>
    <s v="Ericsson"/>
  </r>
  <r>
    <x v="13"/>
    <s v="ANT-0837"/>
    <d v="2023-10-18T21:24:00"/>
    <m/>
    <n v="108"/>
    <s v="En Cours"/>
    <n v="-5.3762689999999997"/>
    <n v="28.189575999999999"/>
    <x v="2"/>
    <s v="Huawei"/>
  </r>
  <r>
    <x v="9"/>
    <s v="ANT-0205"/>
    <d v="2023-10-10T08:46:00"/>
    <m/>
    <n v="120"/>
    <s v="Résolu"/>
    <n v="-1.4110389999999999"/>
    <n v="21.261644"/>
    <x v="0"/>
    <s v="ZTE"/>
  </r>
  <r>
    <x v="12"/>
    <s v="ANT-0821"/>
    <d v="2023-10-28T21:58:00"/>
    <m/>
    <n v="26"/>
    <s v="Non Résolu"/>
    <n v="-3.7720639999999999"/>
    <n v="16.006277999999998"/>
    <x v="2"/>
    <s v="ZTE"/>
  </r>
  <r>
    <x v="15"/>
    <s v="ANT-0620"/>
    <d v="2023-10-20T04:21:00"/>
    <m/>
    <n v="97"/>
    <s v="Non Résolu"/>
    <n v="-4.1754939999999996"/>
    <n v="16.704664999999999"/>
    <x v="3"/>
    <s v="Ericsson"/>
  </r>
  <r>
    <x v="24"/>
    <s v="ANT-0142"/>
    <d v="2023-10-03T18:42:00"/>
    <m/>
    <n v="61"/>
    <s v="En Cours"/>
    <n v="-12.229338"/>
    <n v="29.587834999999998"/>
    <x v="0"/>
    <s v="Nokia"/>
  </r>
  <r>
    <x v="15"/>
    <s v="ANT-0894"/>
    <d v="2023-10-05T11:19:00"/>
    <m/>
    <n v="10"/>
    <s v="Résolu"/>
    <n v="4.9455159999999996"/>
    <n v="23.647746000000001"/>
    <x v="2"/>
    <s v="Huawei"/>
  </r>
  <r>
    <x v="21"/>
    <s v="ANT-0257"/>
    <d v="2023-10-31T20:44:00"/>
    <m/>
    <n v="57"/>
    <s v="Résolu"/>
    <n v="-4.1694589999999998"/>
    <n v="23.376487000000001"/>
    <x v="3"/>
    <s v="Nokia"/>
  </r>
  <r>
    <x v="13"/>
    <s v="ANT-0054"/>
    <d v="2023-10-22T12:08:00"/>
    <m/>
    <n v="51"/>
    <s v="Résolu"/>
    <n v="-1.231033"/>
    <n v="28.851388"/>
    <x v="3"/>
    <s v="Ericsson"/>
  </r>
  <r>
    <x v="2"/>
    <s v="ANT-0657"/>
    <d v="2023-10-20T22:05:00"/>
    <m/>
    <n v="91"/>
    <s v="En Cours"/>
    <s v="Non trouvé"/>
    <s v="Non trouvé"/>
    <x v="1"/>
    <s v="Non trouvé"/>
  </r>
  <r>
    <x v="2"/>
    <s v="ANT-0493"/>
    <d v="2023-10-10T17:24:00"/>
    <m/>
    <n v="97"/>
    <s v="En Cours"/>
    <s v="Non trouvé"/>
    <s v="Non trouvé"/>
    <x v="1"/>
    <s v="Non trouvé"/>
  </r>
  <r>
    <x v="2"/>
    <s v="ANT-0896"/>
    <d v="2023-10-21T10:52:00"/>
    <m/>
    <n v="35"/>
    <s v="Non Résolu"/>
    <s v="Non trouvé"/>
    <s v="Non trouvé"/>
    <x v="1"/>
    <s v="Non trouvé"/>
  </r>
  <r>
    <x v="4"/>
    <s v="ANT-0381"/>
    <d v="2023-10-05T21:44:00"/>
    <m/>
    <n v="61"/>
    <s v="Résolu"/>
    <n v="4.497306"/>
    <n v="12.857251"/>
    <x v="2"/>
    <s v="Ericsson"/>
  </r>
  <r>
    <x v="2"/>
    <s v="ANT-0568"/>
    <d v="2023-10-27T23:43:00"/>
    <m/>
    <n v="83"/>
    <s v="Non Résolu"/>
    <s v="Non trouvé"/>
    <s v="Non trouvé"/>
    <x v="1"/>
    <s v="Non trouvé"/>
  </r>
  <r>
    <x v="6"/>
    <s v="ANT-0957"/>
    <d v="2023-10-30T16:05:00"/>
    <m/>
    <n v="41"/>
    <s v="En Cours"/>
    <n v="-7.1785899999999998"/>
    <n v="24.4404"/>
    <x v="0"/>
    <s v="Nokia"/>
  </r>
  <r>
    <x v="4"/>
    <s v="ANT-0106"/>
    <d v="2023-10-21T21:27:00"/>
    <m/>
    <n v="101"/>
    <s v="En Cours"/>
    <n v="-2.2876210000000001"/>
    <n v="27.582545"/>
    <x v="0"/>
    <s v="Huawei"/>
  </r>
  <r>
    <x v="2"/>
    <s v="ANT-0729"/>
    <d v="2023-10-17T11:01:00"/>
    <m/>
    <n v="100"/>
    <s v="Non Résolu"/>
    <s v="Non trouvé"/>
    <s v="Non trouvé"/>
    <x v="1"/>
    <s v="Non trouvé"/>
  </r>
  <r>
    <x v="2"/>
    <s v="ANT-0867"/>
    <d v="2023-10-12T09:11:00"/>
    <m/>
    <n v="105"/>
    <s v="Résolu"/>
    <s v="Non trouvé"/>
    <s v="Non trouvé"/>
    <x v="1"/>
    <s v="Non trouvé"/>
  </r>
  <r>
    <x v="13"/>
    <s v="ANT-0529"/>
    <d v="2023-10-31T06:21:00"/>
    <m/>
    <n v="62"/>
    <s v="Résolu"/>
    <n v="3.6344850000000002"/>
    <n v="12.158348999999999"/>
    <x v="2"/>
    <s v="Ericsson"/>
  </r>
  <r>
    <x v="16"/>
    <s v="ANT-0872"/>
    <d v="2023-10-31T15:12:00"/>
    <m/>
    <n v="34"/>
    <s v="Résolu"/>
    <n v="2.486888"/>
    <n v="23.798074"/>
    <x v="2"/>
    <s v="ZTE"/>
  </r>
  <r>
    <x v="2"/>
    <s v="ANT-0128"/>
    <d v="2023-10-08T04:09:00"/>
    <m/>
    <n v="73"/>
    <s v="En Cours"/>
    <s v="Non trouvé"/>
    <s v="Non trouvé"/>
    <x v="1"/>
    <s v="Non trouvé"/>
  </r>
  <r>
    <x v="4"/>
    <s v="ANT-0292"/>
    <d v="2023-10-03T09:54:00"/>
    <m/>
    <n v="35"/>
    <s v="Résolu"/>
    <n v="-6.4197189999999997"/>
    <n v="22.287264"/>
    <x v="3"/>
    <s v="Ericsson"/>
  </r>
  <r>
    <x v="21"/>
    <s v="ANT-0086"/>
    <d v="2023-10-26T03:32:00"/>
    <m/>
    <n v="44"/>
    <s v="Résolu"/>
    <n v="4.2904629999999999"/>
    <n v="26.354195000000001"/>
    <x v="3"/>
    <s v="Ericsson"/>
  </r>
  <r>
    <x v="2"/>
    <s v="ANT-0455"/>
    <d v="2023-10-08T09:07:00"/>
    <m/>
    <n v="118"/>
    <s v="En Cours"/>
    <s v="Non trouvé"/>
    <s v="Non trouvé"/>
    <x v="1"/>
    <s v="Non trouvé"/>
  </r>
  <r>
    <x v="2"/>
    <s v="ANT-0360"/>
    <d v="2023-10-02T07:26:00"/>
    <m/>
    <n v="56"/>
    <s v="En Cours"/>
    <s v="Non trouvé"/>
    <s v="Non trouvé"/>
    <x v="1"/>
    <s v="Non trouvé"/>
  </r>
  <r>
    <x v="20"/>
    <s v="ANT-0458"/>
    <d v="2023-10-21T19:29:00"/>
    <m/>
    <n v="100"/>
    <s v="En Cours"/>
    <n v="-0.98830399999999996"/>
    <n v="28.099966999999999"/>
    <x v="3"/>
    <s v="Huawei"/>
  </r>
  <r>
    <x v="15"/>
    <s v="ANT-0044"/>
    <d v="2023-10-03T03:53:00"/>
    <m/>
    <n v="61"/>
    <s v="Non Résolu"/>
    <n v="-6.5529849999999996"/>
    <n v="21.990606"/>
    <x v="3"/>
    <s v="Huawei"/>
  </r>
  <r>
    <x v="21"/>
    <s v="ANT-0745"/>
    <d v="2023-10-29T15:38:00"/>
    <m/>
    <n v="119"/>
    <s v="Résolu"/>
    <n v="2.453036"/>
    <n v="20.555484"/>
    <x v="2"/>
    <s v="Ericsson"/>
  </r>
  <r>
    <x v="2"/>
    <s v="ANT-0891"/>
    <d v="2023-10-18T00:40:00"/>
    <m/>
    <n v="54"/>
    <s v="Non Résolu"/>
    <s v="Non trouvé"/>
    <s v="Non trouvé"/>
    <x v="1"/>
    <s v="Non trouvé"/>
  </r>
  <r>
    <x v="12"/>
    <s v="ANT-0934"/>
    <d v="2023-10-17T18:15:00"/>
    <m/>
    <n v="48"/>
    <s v="Résolu"/>
    <n v="-11.002602"/>
    <n v="23.918247999999998"/>
    <x v="2"/>
    <s v="ZTE"/>
  </r>
  <r>
    <x v="11"/>
    <s v="ANT-0362"/>
    <d v="2023-10-23T04:18:00"/>
    <m/>
    <n v="28"/>
    <s v="Non Résolu"/>
    <n v="-0.90854400000000002"/>
    <n v="17.154896999999998"/>
    <x v="3"/>
    <s v="Huawei"/>
  </r>
  <r>
    <x v="25"/>
    <s v="ANT-0630"/>
    <d v="2023-10-14T00:39:00"/>
    <m/>
    <n v="68"/>
    <s v="En Cours"/>
    <n v="-8.1210620000000002"/>
    <n v="21.094390000000001"/>
    <x v="2"/>
    <s v="ZTE"/>
  </r>
  <r>
    <x v="22"/>
    <s v="ANT-0446"/>
    <d v="2023-10-12T07:36:00"/>
    <m/>
    <n v="93"/>
    <s v="En Cours"/>
    <n v="1.286548"/>
    <n v="29.823702999999998"/>
    <x v="0"/>
    <s v="ZTE"/>
  </r>
  <r>
    <x v="15"/>
    <s v="ANT-0282"/>
    <d v="2023-10-14T05:42:00"/>
    <m/>
    <n v="68"/>
    <s v="En Cours"/>
    <n v="-10.25074"/>
    <n v="26.099086"/>
    <x v="0"/>
    <s v="Huawei"/>
  </r>
  <r>
    <x v="2"/>
    <s v="ANT-0655"/>
    <d v="2023-10-22T02:33:00"/>
    <m/>
    <n v="52"/>
    <s v="En Cours"/>
    <s v="Non trouvé"/>
    <s v="Non trouvé"/>
    <x v="1"/>
    <s v="Non trouvé"/>
  </r>
  <r>
    <x v="10"/>
    <s v="ANT-0811"/>
    <d v="2023-10-12T02:33:00"/>
    <m/>
    <n v="107"/>
    <s v="Résolu"/>
    <n v="-5.125"/>
    <n v="23.513119"/>
    <x v="2"/>
    <s v="Huawei"/>
  </r>
  <r>
    <x v="2"/>
    <s v="ANT-0971"/>
    <d v="2023-10-18T16:50:00"/>
    <m/>
    <n v="71"/>
    <s v="Non Résolu"/>
    <s v="Non trouvé"/>
    <s v="Non trouvé"/>
    <x v="1"/>
    <s v="Non trouvé"/>
  </r>
  <r>
    <x v="12"/>
    <s v="ANT-0059"/>
    <d v="2023-10-17T17:01:00"/>
    <m/>
    <n v="39"/>
    <s v="Résolu"/>
    <n v="-0.34051900000000002"/>
    <n v="17.079799000000001"/>
    <x v="2"/>
    <s v="Ericsson"/>
  </r>
  <r>
    <x v="2"/>
    <s v="ANT-0077"/>
    <d v="2023-10-13T15:02:00"/>
    <m/>
    <n v="107"/>
    <s v="Non Résolu"/>
    <s v="Non trouvé"/>
    <s v="Non trouvé"/>
    <x v="1"/>
    <s v="Non trouvé"/>
  </r>
  <r>
    <x v="2"/>
    <s v="ANT-0688"/>
    <d v="2023-10-21T12:23:00"/>
    <m/>
    <n v="15"/>
    <s v="En Cours"/>
    <s v="Non trouvé"/>
    <s v="Non trouvé"/>
    <x v="1"/>
    <s v="Non trouvé"/>
  </r>
  <r>
    <x v="15"/>
    <s v="ANT-0653"/>
    <d v="2023-10-09T23:01:00"/>
    <m/>
    <n v="98"/>
    <s v="En Cours"/>
    <n v="0.82868600000000003"/>
    <n v="26.958843999999999"/>
    <x v="2"/>
    <s v="ZTE"/>
  </r>
  <r>
    <x v="17"/>
    <s v="ANT-0416"/>
    <d v="2023-10-12T02:22:00"/>
    <m/>
    <n v="59"/>
    <s v="En Cours"/>
    <n v="-11.387295999999999"/>
    <n v="19.384257999999999"/>
    <x v="3"/>
    <s v="Huawei"/>
  </r>
  <r>
    <x v="25"/>
    <s v="ANT-0373"/>
    <d v="2023-10-08T23:42:00"/>
    <m/>
    <n v="15"/>
    <s v="Non Résolu"/>
    <n v="-9.0798120000000004"/>
    <n v="14.945484"/>
    <x v="2"/>
    <s v="Ericsson"/>
  </r>
  <r>
    <x v="5"/>
    <s v="ANT-0526"/>
    <d v="2023-10-21T03:49:00"/>
    <m/>
    <n v="60"/>
    <s v="En Cours"/>
    <n v="-9.4133639999999996"/>
    <n v="15.682482"/>
    <x v="0"/>
    <s v="Huawei"/>
  </r>
  <r>
    <x v="12"/>
    <s v="ANT-0821"/>
    <d v="2023-10-19T23:48:00"/>
    <m/>
    <n v="82"/>
    <s v="Résolu"/>
    <n v="-3.7720639999999999"/>
    <n v="16.006277999999998"/>
    <x v="2"/>
    <s v="ZTE"/>
  </r>
  <r>
    <x v="24"/>
    <s v="ANT-0768"/>
    <d v="2023-10-11T04:02:00"/>
    <m/>
    <n v="110"/>
    <s v="Résolu"/>
    <n v="-9.9565739999999998"/>
    <n v="21.017202000000001"/>
    <x v="0"/>
    <s v="Huawei"/>
  </r>
  <r>
    <x v="23"/>
    <s v="ANT-0696"/>
    <d v="2023-10-12T17:21:00"/>
    <m/>
    <n v="28"/>
    <s v="Résolu"/>
    <n v="-6.9624990000000002"/>
    <n v="20.759834999999999"/>
    <x v="0"/>
    <s v="Huawei"/>
  </r>
  <r>
    <x v="11"/>
    <s v="ANT-0164"/>
    <d v="2023-10-27T20:11:00"/>
    <m/>
    <n v="74"/>
    <s v="Non Résolu"/>
    <n v="-11.389362"/>
    <n v="22.240174"/>
    <x v="2"/>
    <s v="ZTE"/>
  </r>
  <r>
    <x v="2"/>
    <s v="ANT-0976"/>
    <d v="2023-10-27T21:29:00"/>
    <m/>
    <n v="42"/>
    <s v="Résolu"/>
    <s v="Non trouvé"/>
    <s v="Non trouvé"/>
    <x v="1"/>
    <s v="Non trouvé"/>
  </r>
  <r>
    <x v="26"/>
    <s v="ANT-0032"/>
    <d v="2023-10-23T15:40:00"/>
    <m/>
    <n v="46"/>
    <s v="En Cours"/>
    <n v="-11.266565999999999"/>
    <n v="26.245055000000001"/>
    <x v="3"/>
    <s v="Ericsson"/>
  </r>
  <r>
    <x v="10"/>
    <s v="ANT-0147"/>
    <d v="2023-10-06T04:04:00"/>
    <m/>
    <n v="18"/>
    <s v="Non Résolu"/>
    <n v="4.8689660000000003"/>
    <n v="25.112373000000002"/>
    <x v="3"/>
    <s v="Huawei"/>
  </r>
  <r>
    <x v="3"/>
    <s v="ANT-0870"/>
    <d v="2023-10-23T14:02:00"/>
    <m/>
    <n v="15"/>
    <s v="En Cours"/>
    <n v="-9.1215879999999991"/>
    <n v="16.457916999999998"/>
    <x v="0"/>
    <s v="Nokia"/>
  </r>
  <r>
    <x v="2"/>
    <s v="ANT-0623"/>
    <d v="2023-10-10T06:02:00"/>
    <m/>
    <n v="46"/>
    <s v="Non Résolu"/>
    <s v="Non trouvé"/>
    <s v="Non trouvé"/>
    <x v="1"/>
    <s v="Non trouvé"/>
  </r>
  <r>
    <x v="6"/>
    <s v="ANT-0695"/>
    <d v="2023-10-26T06:56:00"/>
    <m/>
    <n v="89"/>
    <s v="Résolu"/>
    <n v="0.16327700000000001"/>
    <n v="14.871577"/>
    <x v="0"/>
    <s v="Huawei"/>
  </r>
  <r>
    <x v="2"/>
    <s v="ANT-0801"/>
    <d v="2023-10-02T10:59:00"/>
    <m/>
    <n v="42"/>
    <s v="En Cours"/>
    <s v="Non trouvé"/>
    <s v="Non trouvé"/>
    <x v="1"/>
    <s v="Non trouvé"/>
  </r>
  <r>
    <x v="2"/>
    <s v="ANT-0449"/>
    <d v="2023-10-10T16:25:00"/>
    <m/>
    <n v="44"/>
    <s v="En Cours"/>
    <s v="Non trouvé"/>
    <s v="Non trouvé"/>
    <x v="1"/>
    <s v="Non trouvé"/>
  </r>
  <r>
    <x v="2"/>
    <s v="ANT-0036"/>
    <d v="2023-10-27T17:30:00"/>
    <m/>
    <n v="62"/>
    <s v="Non Résolu"/>
    <s v="Non trouvé"/>
    <s v="Non trouvé"/>
    <x v="1"/>
    <s v="Non trouvé"/>
  </r>
  <r>
    <x v="2"/>
    <s v="ANT-0130"/>
    <d v="2023-10-09T01:48:00"/>
    <m/>
    <n v="82"/>
    <s v="En Cours"/>
    <s v="Non trouvé"/>
    <s v="Non trouvé"/>
    <x v="1"/>
    <s v="Non trouvé"/>
  </r>
  <r>
    <x v="2"/>
    <s v="ANT-0069"/>
    <d v="2023-10-21T06:18:00"/>
    <m/>
    <n v="96"/>
    <s v="Résolu"/>
    <s v="Non trouvé"/>
    <s v="Non trouvé"/>
    <x v="1"/>
    <s v="Non trouvé"/>
  </r>
  <r>
    <x v="2"/>
    <s v="ANT-0242"/>
    <d v="2023-10-12T01:55:00"/>
    <m/>
    <n v="59"/>
    <s v="Non Résolu"/>
    <s v="Non trouvé"/>
    <s v="Non trouvé"/>
    <x v="1"/>
    <s v="Non trouvé"/>
  </r>
  <r>
    <x v="2"/>
    <s v="ANT-0798"/>
    <d v="2023-10-21T10:17:00"/>
    <m/>
    <n v="26"/>
    <s v="En Cours"/>
    <s v="Non trouvé"/>
    <s v="Non trouvé"/>
    <x v="1"/>
    <s v="Non trouvé"/>
  </r>
  <r>
    <x v="2"/>
    <s v="ANT-0661"/>
    <d v="2023-10-04T11:27:00"/>
    <m/>
    <n v="93"/>
    <s v="Non Résolu"/>
    <s v="Non trouvé"/>
    <s v="Non trouvé"/>
    <x v="1"/>
    <s v="Non trouvé"/>
  </r>
  <r>
    <x v="2"/>
    <s v="ANT-0126"/>
    <d v="2023-10-03T21:54:00"/>
    <m/>
    <n v="68"/>
    <s v="En Cours"/>
    <s v="Non trouvé"/>
    <s v="Non trouvé"/>
    <x v="1"/>
    <s v="Non trouvé"/>
  </r>
  <r>
    <x v="2"/>
    <s v="ANT-0274"/>
    <d v="2023-10-11T21:22:00"/>
    <m/>
    <n v="118"/>
    <s v="Résolu"/>
    <s v="Non trouvé"/>
    <s v="Non trouvé"/>
    <x v="1"/>
    <s v="Non trouvé"/>
  </r>
  <r>
    <x v="2"/>
    <s v="ANT-0461"/>
    <d v="2023-10-23T02:35:00"/>
    <m/>
    <n v="85"/>
    <s v="Résolu"/>
    <s v="Non trouvé"/>
    <s v="Non trouvé"/>
    <x v="1"/>
    <s v="Non trouvé"/>
  </r>
  <r>
    <x v="2"/>
    <s v="ANT-0254"/>
    <d v="2023-10-18T09:57:00"/>
    <m/>
    <n v="74"/>
    <s v="En Cours"/>
    <s v="Non trouvé"/>
    <s v="Non trouvé"/>
    <x v="1"/>
    <s v="Non trouvé"/>
  </r>
  <r>
    <x v="2"/>
    <s v="ANT-0145"/>
    <d v="2023-10-10T05:45:00"/>
    <m/>
    <n v="42"/>
    <s v="En Cours"/>
    <s v="Non trouvé"/>
    <s v="Non trouvé"/>
    <x v="1"/>
    <s v="Non trouvé"/>
  </r>
  <r>
    <x v="2"/>
    <s v="ANT-0100"/>
    <d v="2023-10-23T22:40:00"/>
    <m/>
    <n v="87"/>
    <s v="Non Résolu"/>
    <s v="Non trouvé"/>
    <s v="Non trouvé"/>
    <x v="1"/>
    <s v="Non trouvé"/>
  </r>
  <r>
    <x v="2"/>
    <s v="ANT-0052"/>
    <d v="2023-10-06T11:32:00"/>
    <m/>
    <n v="43"/>
    <s v="Non Résolu"/>
    <s v="Non trouvé"/>
    <s v="Non trouvé"/>
    <x v="1"/>
    <s v="Non trouvé"/>
  </r>
  <r>
    <x v="16"/>
    <s v="ANT-0298"/>
    <d v="2023-10-08T03:12:00"/>
    <m/>
    <n v="66"/>
    <s v="Non Résolu"/>
    <n v="-5.4073029999999997"/>
    <n v="29.762294000000001"/>
    <x v="3"/>
    <s v="Ericsson"/>
  </r>
  <r>
    <x v="2"/>
    <s v="ANT-0969"/>
    <d v="2023-10-26T04:15:00"/>
    <m/>
    <n v="36"/>
    <s v="En Cours"/>
    <s v="Non trouvé"/>
    <s v="Non trouvé"/>
    <x v="1"/>
    <s v="Non trouvé"/>
  </r>
  <r>
    <x v="17"/>
    <s v="ANT-0394"/>
    <d v="2023-10-26T15:01:00"/>
    <m/>
    <n v="108"/>
    <s v="En Cours"/>
    <n v="-10.611184"/>
    <n v="23.022268"/>
    <x v="2"/>
    <s v="ZTE"/>
  </r>
  <r>
    <x v="2"/>
    <s v="ANT-0885"/>
    <d v="2023-10-12T17:36:00"/>
    <m/>
    <n v="108"/>
    <s v="Non Résolu"/>
    <s v="Non trouvé"/>
    <s v="Non trouvé"/>
    <x v="1"/>
    <s v="Non trouvé"/>
  </r>
  <r>
    <x v="5"/>
    <s v="ANT-0631"/>
    <d v="2023-10-12T14:51:00"/>
    <m/>
    <n v="92"/>
    <s v="Résolu"/>
    <n v="-0.85624699999999998"/>
    <n v="28.624870000000001"/>
    <x v="3"/>
    <s v="Ericsson"/>
  </r>
  <r>
    <x v="2"/>
    <s v="ANT-0429"/>
    <d v="2023-10-18T04:39:00"/>
    <m/>
    <n v="56"/>
    <s v="Résolu"/>
    <s v="Non trouvé"/>
    <s v="Non trouvé"/>
    <x v="1"/>
    <s v="Non trouvé"/>
  </r>
  <r>
    <x v="9"/>
    <s v="ANT-0255"/>
    <d v="2023-10-29T02:04:00"/>
    <m/>
    <n v="43"/>
    <s v="En Cours"/>
    <n v="-6.4883290000000002"/>
    <n v="25.103404000000001"/>
    <x v="2"/>
    <s v="ZTE"/>
  </r>
  <r>
    <x v="18"/>
    <s v="ANT-0986"/>
    <d v="2023-10-10T12:45:00"/>
    <m/>
    <n v="63"/>
    <s v="Résolu"/>
    <n v="1.727095"/>
    <n v="22.099651999999999"/>
    <x v="0"/>
    <s v="Huawei"/>
  </r>
  <r>
    <x v="2"/>
    <s v="ANT-0887"/>
    <d v="2023-10-24T15:33:00"/>
    <m/>
    <n v="14"/>
    <s v="En Cours"/>
    <s v="Non trouvé"/>
    <s v="Non trouvé"/>
    <x v="1"/>
    <s v="Non trouvé"/>
  </r>
  <r>
    <x v="2"/>
    <s v="ANT-0924"/>
    <d v="2023-10-14T13:52:00"/>
    <m/>
    <n v="93"/>
    <s v="Non Résolu"/>
    <s v="Non trouvé"/>
    <s v="Non trouvé"/>
    <x v="1"/>
    <s v="Non trouvé"/>
  </r>
  <r>
    <x v="11"/>
    <s v="ANT-0164"/>
    <d v="2023-10-19T02:08:00"/>
    <m/>
    <n v="12"/>
    <s v="En Cours"/>
    <n v="-11.389362"/>
    <n v="22.240174"/>
    <x v="2"/>
    <s v="ZTE"/>
  </r>
  <r>
    <x v="2"/>
    <s v="ANT-0834"/>
    <d v="2023-10-11T20:04:00"/>
    <m/>
    <n v="25"/>
    <s v="En Cours"/>
    <s v="Non trouvé"/>
    <s v="Non trouvé"/>
    <x v="1"/>
    <s v="Non trouvé"/>
  </r>
  <r>
    <x v="2"/>
    <s v="ANT-0336"/>
    <d v="2023-10-15T14:43:00"/>
    <m/>
    <n v="61"/>
    <s v="En Cours"/>
    <s v="Non trouvé"/>
    <s v="Non trouvé"/>
    <x v="1"/>
    <s v="Non trouvé"/>
  </r>
  <r>
    <x v="6"/>
    <s v="ANT-0957"/>
    <d v="2023-10-17T11:08:00"/>
    <m/>
    <n v="58"/>
    <s v="Résolu"/>
    <n v="-7.1785899999999998"/>
    <n v="24.4404"/>
    <x v="0"/>
    <s v="Nokia"/>
  </r>
  <r>
    <x v="16"/>
    <s v="ANT-0592"/>
    <d v="2023-10-29T17:40:00"/>
    <m/>
    <n v="66"/>
    <s v="En Cours"/>
    <n v="-4.4831099999999999"/>
    <n v="25.406548000000001"/>
    <x v="2"/>
    <s v="Nokia"/>
  </r>
  <r>
    <x v="2"/>
    <s v="ANT-0739"/>
    <d v="2023-10-19T05:49:00"/>
    <m/>
    <n v="64"/>
    <s v="Résolu"/>
    <s v="Non trouvé"/>
    <s v="Non trouvé"/>
    <x v="1"/>
    <s v="Non trouvé"/>
  </r>
  <r>
    <x v="2"/>
    <s v="ANT-0321"/>
    <d v="2023-10-31T04:27:00"/>
    <m/>
    <n v="31"/>
    <s v="Non Résolu"/>
    <s v="Non trouvé"/>
    <s v="Non trouvé"/>
    <x v="1"/>
    <s v="Non trouvé"/>
  </r>
  <r>
    <x v="17"/>
    <s v="ANT-0195"/>
    <d v="2023-10-17T01:53:00"/>
    <m/>
    <n v="48"/>
    <s v="Non Résolu"/>
    <n v="-8.0864899999999995"/>
    <n v="14.555277"/>
    <x v="3"/>
    <s v="Ericsson"/>
  </r>
  <r>
    <x v="2"/>
    <s v="ANT-0782"/>
    <d v="2023-10-04T16:09:00"/>
    <m/>
    <n v="82"/>
    <s v="Résolu"/>
    <s v="Non trouvé"/>
    <s v="Non trouvé"/>
    <x v="1"/>
    <s v="Non trouvé"/>
  </r>
  <r>
    <x v="11"/>
    <s v="ANT-0164"/>
    <d v="2023-10-10T05:10:00"/>
    <m/>
    <n v="23"/>
    <s v="En Cours"/>
    <n v="-11.389362"/>
    <n v="22.240174"/>
    <x v="2"/>
    <s v="ZTE"/>
  </r>
  <r>
    <x v="6"/>
    <s v="ANT-0511"/>
    <d v="2023-10-11T22:14:00"/>
    <m/>
    <n v="45"/>
    <s v="Non Résolu"/>
    <n v="1.210869"/>
    <n v="25.598741"/>
    <x v="0"/>
    <s v="Ericsson"/>
  </r>
  <r>
    <x v="2"/>
    <s v="ANT-0528"/>
    <d v="2023-10-12T16:57:00"/>
    <m/>
    <n v="115"/>
    <s v="En Cours"/>
    <s v="Non trouvé"/>
    <s v="Non trouvé"/>
    <x v="1"/>
    <s v="Non trouvé"/>
  </r>
  <r>
    <x v="2"/>
    <s v="ANT-0479"/>
    <d v="2023-10-10T02:16:00"/>
    <m/>
    <n v="96"/>
    <s v="Résolu"/>
    <s v="Non trouvé"/>
    <s v="Non trouvé"/>
    <x v="1"/>
    <s v="Non trouvé"/>
  </r>
  <r>
    <x v="6"/>
    <s v="ANT-0511"/>
    <d v="2023-10-07T20:35:00"/>
    <m/>
    <n v="45"/>
    <s v="En Cours"/>
    <n v="1.210869"/>
    <n v="25.598741"/>
    <x v="0"/>
    <s v="Ericsson"/>
  </r>
  <r>
    <x v="2"/>
    <s v="ANT-0901"/>
    <d v="2023-10-09T04:40:00"/>
    <m/>
    <n v="98"/>
    <s v="Non Résolu"/>
    <s v="Non trouvé"/>
    <s v="Non trouvé"/>
    <x v="1"/>
    <s v="Non trouvé"/>
  </r>
  <r>
    <x v="2"/>
    <s v="ANT-0316"/>
    <d v="2023-10-10T19:34:00"/>
    <m/>
    <n v="115"/>
    <s v="En Cours"/>
    <s v="Non trouvé"/>
    <s v="Non trouvé"/>
    <x v="1"/>
    <s v="Non trouvé"/>
  </r>
  <r>
    <x v="2"/>
    <s v="ANT-0510"/>
    <d v="2023-10-03T16:41:00"/>
    <m/>
    <n v="49"/>
    <s v="Non Résolu"/>
    <s v="Non trouvé"/>
    <s v="Non trouvé"/>
    <x v="1"/>
    <s v="Non trouvé"/>
  </r>
  <r>
    <x v="2"/>
    <s v="ANT-0024"/>
    <d v="2023-10-06T18:37:00"/>
    <m/>
    <n v="56"/>
    <s v="En Cours"/>
    <s v="Non trouvé"/>
    <s v="Non trouvé"/>
    <x v="1"/>
    <s v="Non trouvé"/>
  </r>
  <r>
    <x v="8"/>
    <s v="ANT-0093"/>
    <d v="2023-10-05T05:42:00"/>
    <m/>
    <n v="21"/>
    <s v="Non Résolu"/>
    <n v="2.975352"/>
    <n v="22.535886000000001"/>
    <x v="0"/>
    <s v="Huawei"/>
  </r>
  <r>
    <x v="2"/>
    <s v="ANT-0968"/>
    <d v="2023-10-20T23:57:00"/>
    <m/>
    <n v="102"/>
    <s v="Non Résolu"/>
    <s v="Non trouvé"/>
    <s v="Non trouvé"/>
    <x v="1"/>
    <s v="Non trouvé"/>
  </r>
  <r>
    <x v="2"/>
    <s v="ANT-0403"/>
    <d v="2023-10-20T10:53:00"/>
    <m/>
    <n v="52"/>
    <s v="Non Résolu"/>
    <s v="Non trouvé"/>
    <s v="Non trouvé"/>
    <x v="1"/>
    <s v="Non trouvé"/>
  </r>
  <r>
    <x v="2"/>
    <s v="ANT-0518"/>
    <d v="2023-10-30T18:02:00"/>
    <m/>
    <n v="70"/>
    <s v="Résolu"/>
    <s v="Non trouvé"/>
    <s v="Non trouvé"/>
    <x v="1"/>
    <s v="Non trouvé"/>
  </r>
  <r>
    <x v="2"/>
    <s v="ANT-0469"/>
    <d v="2023-10-27T00:05:00"/>
    <m/>
    <n v="76"/>
    <s v="Résolu"/>
    <s v="Non trouvé"/>
    <s v="Non trouvé"/>
    <x v="1"/>
    <s v="Non trouvé"/>
  </r>
  <r>
    <x v="8"/>
    <s v="ANT-0990"/>
    <d v="2023-10-02T20:49:00"/>
    <m/>
    <n v="18"/>
    <s v="Résolu"/>
    <n v="-12.112399999999999"/>
    <n v="15.872226"/>
    <x v="0"/>
    <s v="Nokia"/>
  </r>
  <r>
    <x v="2"/>
    <s v="ANT-0247"/>
    <d v="2023-10-19T08:41:00"/>
    <m/>
    <n v="45"/>
    <s v="En Cours"/>
    <s v="Non trouvé"/>
    <s v="Non trouvé"/>
    <x v="1"/>
    <s v="Non trouvé"/>
  </r>
  <r>
    <x v="2"/>
    <s v="ANT-0221"/>
    <d v="2023-10-07T18:26:00"/>
    <m/>
    <n v="35"/>
    <s v="En Cours"/>
    <s v="Non trouvé"/>
    <s v="Non trouvé"/>
    <x v="1"/>
    <s v="Non trouvé"/>
  </r>
  <r>
    <x v="2"/>
    <s v="ANT-0598"/>
    <d v="2023-10-20T20:01:00"/>
    <m/>
    <n v="64"/>
    <s v="En Cours"/>
    <s v="Non trouvé"/>
    <s v="Non trouvé"/>
    <x v="1"/>
    <s v="Non trouvé"/>
  </r>
  <r>
    <x v="2"/>
    <s v="ANT-0052"/>
    <d v="2023-10-02T01:02:00"/>
    <m/>
    <n v="45"/>
    <s v="Non Résolu"/>
    <s v="Non trouvé"/>
    <s v="Non trouvé"/>
    <x v="1"/>
    <s v="Non trouvé"/>
  </r>
  <r>
    <x v="2"/>
    <s v="ANT-0686"/>
    <d v="2023-10-05T22:21:00"/>
    <m/>
    <n v="66"/>
    <s v="Résolu"/>
    <s v="Non trouvé"/>
    <s v="Non trouvé"/>
    <x v="1"/>
    <s v="Non trouvé"/>
  </r>
  <r>
    <x v="2"/>
    <s v="ANT-0927"/>
    <d v="2023-10-26T15:33:00"/>
    <m/>
    <n v="49"/>
    <s v="Résolu"/>
    <s v="Non trouvé"/>
    <s v="Non trouvé"/>
    <x v="1"/>
    <s v="Non trouvé"/>
  </r>
  <r>
    <x v="2"/>
    <s v="ANT-0544"/>
    <d v="2023-10-15T04:38:00"/>
    <m/>
    <n v="76"/>
    <s v="En Cours"/>
    <s v="Non trouvé"/>
    <s v="Non trouvé"/>
    <x v="1"/>
    <s v="Non trouvé"/>
  </r>
  <r>
    <x v="22"/>
    <s v="ANT-0232"/>
    <d v="2023-10-29T16:08:00"/>
    <m/>
    <n v="106"/>
    <s v="Résolu"/>
    <n v="2.0392079999999999"/>
    <n v="19.090841999999999"/>
    <x v="0"/>
    <s v="Nokia"/>
  </r>
  <r>
    <x v="2"/>
    <s v="ANT-0654"/>
    <d v="2023-10-11T19:20:00"/>
    <m/>
    <n v="97"/>
    <s v="Résolu"/>
    <s v="Non trouvé"/>
    <s v="Non trouvé"/>
    <x v="1"/>
    <s v="Non trouvé"/>
  </r>
  <r>
    <x v="15"/>
    <s v="ANT-0239"/>
    <d v="2023-10-06T12:39:00"/>
    <m/>
    <n v="40"/>
    <s v="En Cours"/>
    <n v="-5.42171"/>
    <n v="24.202960999999998"/>
    <x v="2"/>
    <s v="Ericsson"/>
  </r>
  <r>
    <x v="13"/>
    <s v="ANT-0054"/>
    <d v="2023-10-24T09:37:00"/>
    <m/>
    <n v="41"/>
    <s v="En Cours"/>
    <n v="-1.231033"/>
    <n v="28.851388"/>
    <x v="3"/>
    <s v="Ericsson"/>
  </r>
  <r>
    <x v="3"/>
    <s v="ANT-0103"/>
    <d v="2023-10-11T16:53:00"/>
    <m/>
    <n v="20"/>
    <s v="Résolu"/>
    <n v="-0.79459900000000006"/>
    <n v="26.775570999999999"/>
    <x v="2"/>
    <s v="Huawei"/>
  </r>
  <r>
    <x v="22"/>
    <s v="ANT-0424"/>
    <d v="2023-10-17T17:31:00"/>
    <m/>
    <n v="78"/>
    <s v="Non Résolu"/>
    <n v="-9.5243310000000001"/>
    <n v="30.541212000000002"/>
    <x v="3"/>
    <s v="Ericsson"/>
  </r>
  <r>
    <x v="4"/>
    <s v="ANT-0339"/>
    <d v="2023-10-23T18:19:00"/>
    <m/>
    <n v="91"/>
    <s v="En Cours"/>
    <n v="-3.6945459999999999"/>
    <n v="16.809108999999999"/>
    <x v="2"/>
    <s v="ZTE"/>
  </r>
  <r>
    <x v="14"/>
    <s v="ANT-0735"/>
    <d v="2023-10-16T00:23:00"/>
    <m/>
    <n v="74"/>
    <s v="Résolu"/>
    <n v="-5.8352820000000003"/>
    <n v="26.603978000000001"/>
    <x v="0"/>
    <s v="Huawei"/>
  </r>
  <r>
    <x v="26"/>
    <s v="ANT-0484"/>
    <d v="2023-10-11T21:07:00"/>
    <m/>
    <n v="53"/>
    <s v="Résolu"/>
    <n v="-7.8770429999999996"/>
    <n v="16.357762999999998"/>
    <x v="0"/>
    <s v="Ericsson"/>
  </r>
  <r>
    <x v="3"/>
    <s v="ANT-0103"/>
    <d v="2023-10-14T18:19:00"/>
    <m/>
    <n v="119"/>
    <s v="En Cours"/>
    <n v="-0.79459900000000006"/>
    <n v="26.775570999999999"/>
    <x v="2"/>
    <s v="Huawei"/>
  </r>
  <r>
    <x v="2"/>
    <s v="ANT-0698"/>
    <d v="2023-10-26T23:55:00"/>
    <m/>
    <n v="55"/>
    <s v="Non Résolu"/>
    <s v="Non trouvé"/>
    <s v="Non trouvé"/>
    <x v="1"/>
    <s v="Non trouvé"/>
  </r>
  <r>
    <x v="7"/>
    <s v="ANT-0790"/>
    <d v="2023-10-23T20:01:00"/>
    <m/>
    <n v="109"/>
    <s v="Non Résolu"/>
    <n v="-2.9417719999999998"/>
    <n v="18.587305000000001"/>
    <x v="2"/>
    <s v="Ericsson"/>
  </r>
  <r>
    <x v="2"/>
    <s v="ANT-0141"/>
    <d v="2023-10-20T15:16:00"/>
    <m/>
    <n v="49"/>
    <s v="Résolu"/>
    <s v="Non trouvé"/>
    <s v="Non trouvé"/>
    <x v="1"/>
    <s v="Non trouvé"/>
  </r>
  <r>
    <x v="4"/>
    <s v="ANT-0006"/>
    <d v="2023-10-31T20:50:00"/>
    <m/>
    <n v="103"/>
    <s v="En Cours"/>
    <n v="-2.8532869999999999"/>
    <n v="22.117896000000002"/>
    <x v="2"/>
    <s v="Huawei"/>
  </r>
  <r>
    <x v="3"/>
    <s v="ANT-0988"/>
    <d v="2023-10-25T18:36:00"/>
    <m/>
    <n v="107"/>
    <s v="En Cours"/>
    <n v="-5.7200150000000001"/>
    <n v="25.022109"/>
    <x v="2"/>
    <s v="ZTE"/>
  </r>
  <r>
    <x v="15"/>
    <s v="ANT-0564"/>
    <d v="2023-10-08T23:03:00"/>
    <m/>
    <n v="23"/>
    <s v="En Cours"/>
    <n v="-12.336202"/>
    <n v="13.693683999999999"/>
    <x v="2"/>
    <s v="Huawei"/>
  </r>
  <r>
    <x v="20"/>
    <s v="ANT-0952"/>
    <d v="2023-10-19T15:10:00"/>
    <m/>
    <n v="42"/>
    <s v="Non Résolu"/>
    <n v="-0.77432100000000004"/>
    <n v="18.628658999999999"/>
    <x v="0"/>
    <s v="Huawei"/>
  </r>
  <r>
    <x v="16"/>
    <s v="ANT-0162"/>
    <d v="2023-10-17T20:46:00"/>
    <m/>
    <n v="10"/>
    <s v="Non Résolu"/>
    <n v="-1.648326"/>
    <n v="25.528901999999999"/>
    <x v="0"/>
    <s v="Huawei"/>
  </r>
  <r>
    <x v="19"/>
    <s v="ANT-0417"/>
    <d v="2023-10-20T12:09:00"/>
    <m/>
    <n v="41"/>
    <s v="Non Résolu"/>
    <n v="-2.3677800000000002"/>
    <n v="18.790323999999998"/>
    <x v="2"/>
    <s v="Huawei"/>
  </r>
  <r>
    <x v="2"/>
    <s v="ANT-0669"/>
    <d v="2023-10-27T21:15:00"/>
    <m/>
    <n v="96"/>
    <s v="En Cours"/>
    <s v="Non trouvé"/>
    <s v="Non trouvé"/>
    <x v="1"/>
    <s v="Non trouvé"/>
  </r>
  <r>
    <x v="2"/>
    <s v="ANT-0958"/>
    <d v="2023-10-02T18:44:00"/>
    <m/>
    <n v="15"/>
    <s v="Résolu"/>
    <s v="Non trouvé"/>
    <s v="Non trouvé"/>
    <x v="1"/>
    <s v="Non trouvé"/>
  </r>
  <r>
    <x v="14"/>
    <s v="ANT-0902"/>
    <d v="2023-10-04T06:01:00"/>
    <m/>
    <n v="49"/>
    <s v="Non Résolu"/>
    <n v="-10.414493"/>
    <n v="12.333356999999999"/>
    <x v="3"/>
    <s v="Ericsson"/>
  </r>
  <r>
    <x v="24"/>
    <s v="ANT-0900"/>
    <d v="2023-10-15T10:26:00"/>
    <m/>
    <n v="61"/>
    <s v="En Cours"/>
    <n v="-10.776204"/>
    <n v="24.672934000000001"/>
    <x v="0"/>
    <s v="Ericsson"/>
  </r>
  <r>
    <x v="14"/>
    <s v="ANT-0488"/>
    <d v="2023-10-05T13:44:00"/>
    <m/>
    <n v="88"/>
    <s v="En Cours"/>
    <n v="-3.111418"/>
    <n v="14.144854"/>
    <x v="0"/>
    <s v="ZTE"/>
  </r>
  <r>
    <x v="23"/>
    <s v="ANT-0489"/>
    <d v="2023-10-07T13:32:00"/>
    <m/>
    <n v="37"/>
    <s v="Résolu"/>
    <n v="0.20866199999999999"/>
    <n v="18.556439000000001"/>
    <x v="0"/>
    <s v="Nokia"/>
  </r>
  <r>
    <x v="2"/>
    <s v="ANT-0667"/>
    <d v="2023-10-25T19:58:00"/>
    <m/>
    <n v="100"/>
    <s v="Résolu"/>
    <s v="Non trouvé"/>
    <s v="Non trouvé"/>
    <x v="1"/>
    <s v="Non trouvé"/>
  </r>
  <r>
    <x v="9"/>
    <s v="ANT-0205"/>
    <d v="2023-10-16T23:46:00"/>
    <m/>
    <n v="66"/>
    <s v="En Cours"/>
    <n v="-1.4110389999999999"/>
    <n v="21.261644"/>
    <x v="0"/>
    <s v="ZTE"/>
  </r>
  <r>
    <x v="4"/>
    <s v="ANT-0775"/>
    <d v="2023-10-02T22:08:00"/>
    <m/>
    <n v="32"/>
    <s v="Résolu"/>
    <n v="1.5278670000000001"/>
    <n v="13.899388999999999"/>
    <x v="3"/>
    <s v="Huawei"/>
  </r>
  <r>
    <x v="3"/>
    <s v="ANT-0988"/>
    <d v="2023-10-17T06:35:00"/>
    <m/>
    <n v="30"/>
    <s v="Non Résolu"/>
    <n v="-5.7200150000000001"/>
    <n v="25.022109"/>
    <x v="2"/>
    <s v="ZTE"/>
  </r>
  <r>
    <x v="10"/>
    <s v="ANT-0295"/>
    <d v="2023-10-11T21:30:00"/>
    <m/>
    <n v="110"/>
    <s v="En Cours"/>
    <n v="-4.351254"/>
    <n v="30.097408999999999"/>
    <x v="2"/>
    <s v="Nokia"/>
  </r>
  <r>
    <x v="2"/>
    <s v="ANT-0329"/>
    <d v="2023-10-17T12:20:00"/>
    <m/>
    <n v="73"/>
    <s v="Non Résolu"/>
    <s v="Non trouvé"/>
    <s v="Non trouvé"/>
    <x v="1"/>
    <s v="Non trouvé"/>
  </r>
  <r>
    <x v="26"/>
    <s v="ANT-0293"/>
    <d v="2023-10-31T05:29:00"/>
    <m/>
    <n v="39"/>
    <s v="En Cours"/>
    <n v="-5.7035130000000001"/>
    <n v="14.331479"/>
    <x v="2"/>
    <s v="Nokia"/>
  </r>
  <r>
    <x v="0"/>
    <s v="ANT-0662"/>
    <d v="2023-10-30T17:21:00"/>
    <m/>
    <n v="76"/>
    <s v="Non Résolu"/>
    <n v="-1.342476"/>
    <n v="15.986086"/>
    <x v="0"/>
    <s v="Ericsson"/>
  </r>
  <r>
    <x v="2"/>
    <s v="ANT-0061"/>
    <d v="2023-10-18T11:43:00"/>
    <m/>
    <n v="94"/>
    <s v="Résolu"/>
    <s v="Non trouvé"/>
    <s v="Non trouvé"/>
    <x v="1"/>
    <s v="Non trouvé"/>
  </r>
  <r>
    <x v="2"/>
    <s v="ANT-0930"/>
    <d v="2023-10-25T23:43:00"/>
    <m/>
    <n v="39"/>
    <s v="Résolu"/>
    <s v="Non trouvé"/>
    <s v="Non trouvé"/>
    <x v="1"/>
    <s v="Non trouvé"/>
  </r>
  <r>
    <x v="10"/>
    <s v="ANT-0788"/>
    <d v="2023-10-21T22:16:00"/>
    <m/>
    <n v="22"/>
    <s v="Non Résolu"/>
    <n v="1.5802860000000001"/>
    <n v="20.99053"/>
    <x v="0"/>
    <s v="ZTE"/>
  </r>
  <r>
    <x v="2"/>
    <s v="ANT-0092"/>
    <d v="2023-10-20T15:12:00"/>
    <m/>
    <n v="18"/>
    <s v="En Cours"/>
    <s v="Non trouvé"/>
    <s v="Non trouvé"/>
    <x v="1"/>
    <s v="Non trouvé"/>
  </r>
  <r>
    <x v="8"/>
    <s v="ANT-0668"/>
    <d v="2023-10-31T07:17:00"/>
    <m/>
    <n v="83"/>
    <s v="En Cours"/>
    <n v="-9.8208710000000004"/>
    <n v="23.229807000000001"/>
    <x v="2"/>
    <s v="Nokia"/>
  </r>
  <r>
    <x v="6"/>
    <s v="ANT-0588"/>
    <d v="2023-10-18T09:14:00"/>
    <m/>
    <n v="99"/>
    <s v="Non Résolu"/>
    <n v="-4.8157019999999999"/>
    <n v="27.679798000000002"/>
    <x v="3"/>
    <s v="Ericsson"/>
  </r>
  <r>
    <x v="20"/>
    <s v="ANT-0238"/>
    <d v="2023-10-31T09:49:00"/>
    <m/>
    <n v="80"/>
    <s v="Non Résolu"/>
    <n v="0.62055499999999997"/>
    <n v="21.222035000000002"/>
    <x v="2"/>
    <s v="Nokia"/>
  </r>
  <r>
    <x v="2"/>
    <s v="ANT-0548"/>
    <d v="2023-10-10T22:13:00"/>
    <m/>
    <n v="35"/>
    <s v="Résolu"/>
    <s v="Non trouvé"/>
    <s v="Non trouvé"/>
    <x v="1"/>
    <s v="Non trouvé"/>
  </r>
  <r>
    <x v="2"/>
    <s v="ANT-0757"/>
    <d v="2023-10-23T22:31:00"/>
    <m/>
    <n v="36"/>
    <s v="Résolu"/>
    <s v="Non trouvé"/>
    <s v="Non trouvé"/>
    <x v="1"/>
    <s v="Non trouvé"/>
  </r>
  <r>
    <x v="23"/>
    <s v="ANT-0670"/>
    <d v="2023-10-03T12:42:00"/>
    <m/>
    <n v="109"/>
    <s v="Non Résolu"/>
    <n v="-7.1483749999999997"/>
    <n v="26.014271000000001"/>
    <x v="2"/>
    <s v="Huawei"/>
  </r>
  <r>
    <x v="15"/>
    <s v="ANT-0881"/>
    <d v="2023-10-04T05:08:00"/>
    <m/>
    <n v="5"/>
    <s v="Résolu"/>
    <n v="-6.5332999999999997"/>
    <n v="20.098018"/>
    <x v="0"/>
    <s v="Huawei"/>
  </r>
  <r>
    <x v="24"/>
    <s v="ANT-0357"/>
    <d v="2023-10-16T10:59:00"/>
    <m/>
    <n v="100"/>
    <s v="Résolu"/>
    <n v="-11.793894"/>
    <n v="20.433340999999999"/>
    <x v="2"/>
    <s v="Nokia"/>
  </r>
  <r>
    <x v="14"/>
    <s v="ANT-0122"/>
    <d v="2023-10-08T00:16:00"/>
    <m/>
    <n v="32"/>
    <s v="Résolu"/>
    <n v="1.897178"/>
    <n v="23.902604"/>
    <x v="3"/>
    <s v="Nokia"/>
  </r>
  <r>
    <x v="25"/>
    <s v="ANT-0183"/>
    <d v="2023-10-13T07:28:00"/>
    <m/>
    <n v="79"/>
    <s v="Résolu"/>
    <n v="4.8319039999999998"/>
    <n v="20.733468999999999"/>
    <x v="2"/>
    <s v="Ericsson"/>
  </r>
  <r>
    <x v="19"/>
    <s v="ANT-0551"/>
    <d v="2023-10-25T08:21:00"/>
    <m/>
    <n v="14"/>
    <s v="Résolu"/>
    <n v="-7.789663"/>
    <n v="26.529098000000001"/>
    <x v="2"/>
    <s v="Nokia"/>
  </r>
  <r>
    <x v="2"/>
    <s v="ANT-0403"/>
    <d v="2023-10-10T18:46:00"/>
    <m/>
    <n v="10"/>
    <s v="Non Résolu"/>
    <s v="Non trouvé"/>
    <s v="Non trouvé"/>
    <x v="1"/>
    <s v="Non trouvé"/>
  </r>
  <r>
    <x v="2"/>
    <s v="ANT-0542"/>
    <d v="2023-10-19T00:16:00"/>
    <m/>
    <n v="59"/>
    <s v="Résolu"/>
    <s v="Non trouvé"/>
    <s v="Non trouvé"/>
    <x v="1"/>
    <s v="Non trouvé"/>
  </r>
  <r>
    <x v="17"/>
    <s v="ANT-0131"/>
    <d v="2023-10-21T11:44:00"/>
    <m/>
    <n v="49"/>
    <s v="En Cours"/>
    <n v="-9.3652239999999995"/>
    <n v="22.593423999999999"/>
    <x v="2"/>
    <s v="Nokia"/>
  </r>
  <r>
    <x v="3"/>
    <s v="ANT-0746"/>
    <d v="2023-10-08T01:42:00"/>
    <m/>
    <n v="94"/>
    <s v="Non Résolu"/>
    <n v="-1.1284540000000001"/>
    <n v="23.000360000000001"/>
    <x v="2"/>
    <s v="Ericsson"/>
  </r>
  <r>
    <x v="19"/>
    <s v="ANT-0229"/>
    <d v="2023-10-04T14:19:00"/>
    <m/>
    <n v="13"/>
    <s v="Non Résolu"/>
    <n v="-1.9540519999999999"/>
    <n v="12.667945"/>
    <x v="0"/>
    <s v="Huawei"/>
  </r>
  <r>
    <x v="13"/>
    <s v="ANT-0855"/>
    <d v="2023-10-06T12:43:00"/>
    <m/>
    <n v="74"/>
    <s v="Non Résolu"/>
    <n v="-11.514188000000001"/>
    <n v="15.971181"/>
    <x v="2"/>
    <s v="Ericsson"/>
  </r>
  <r>
    <x v="2"/>
    <s v="ANT-0004"/>
    <d v="2023-10-17T22:49:00"/>
    <m/>
    <n v="12"/>
    <s v="Résolu"/>
    <s v="Non trouvé"/>
    <s v="Non trouvé"/>
    <x v="1"/>
    <s v="Non trouvé"/>
  </r>
  <r>
    <x v="4"/>
    <s v="ANT-0775"/>
    <d v="2023-10-10T22:07:00"/>
    <m/>
    <n v="119"/>
    <s v="Résolu"/>
    <n v="1.5278670000000001"/>
    <n v="13.899388999999999"/>
    <x v="3"/>
    <s v="Huawei"/>
  </r>
  <r>
    <x v="2"/>
    <s v="ANT-0024"/>
    <d v="2023-10-21T09:23:00"/>
    <m/>
    <n v="13"/>
    <s v="Non Résolu"/>
    <s v="Non trouvé"/>
    <s v="Non trouvé"/>
    <x v="1"/>
    <s v="Non trouvé"/>
  </r>
  <r>
    <x v="2"/>
    <s v="ANT-0306"/>
    <d v="2023-10-20T07:14:00"/>
    <m/>
    <n v="65"/>
    <s v="Résolu"/>
    <s v="Non trouvé"/>
    <s v="Non trouvé"/>
    <x v="1"/>
    <s v="Non trouvé"/>
  </r>
  <r>
    <x v="2"/>
    <s v="ANT-0475"/>
    <d v="2023-10-31T04:30:00"/>
    <m/>
    <n v="9"/>
    <s v="En Cours"/>
    <s v="Non trouvé"/>
    <s v="Non trouvé"/>
    <x v="1"/>
    <s v="Non trouvé"/>
  </r>
  <r>
    <x v="11"/>
    <s v="ANT-0690"/>
    <d v="2023-10-05T14:47:00"/>
    <m/>
    <n v="41"/>
    <s v="En Cours"/>
    <n v="1.3006180000000001"/>
    <n v="29.060970999999999"/>
    <x v="3"/>
    <s v="ZTE"/>
  </r>
  <r>
    <x v="8"/>
    <s v="ANT-0737"/>
    <d v="2023-10-20T11:26:00"/>
    <m/>
    <n v="57"/>
    <s v="Résolu"/>
    <n v="-2.8211520000000001"/>
    <n v="20.651419000000001"/>
    <x v="2"/>
    <s v="Ericsson"/>
  </r>
  <r>
    <x v="7"/>
    <s v="ANT-0558"/>
    <d v="2023-10-23T17:58:00"/>
    <m/>
    <n v="28"/>
    <s v="Non Résolu"/>
    <n v="-11.468578000000001"/>
    <n v="16.914501999999999"/>
    <x v="0"/>
    <s v="Ericsson"/>
  </r>
  <r>
    <x v="2"/>
    <s v="ANT-0435"/>
    <d v="2023-10-16T17:51:00"/>
    <m/>
    <n v="103"/>
    <s v="Résolu"/>
    <s v="Non trouvé"/>
    <s v="Non trouvé"/>
    <x v="1"/>
    <s v="Non trouvé"/>
  </r>
  <r>
    <x v="11"/>
    <s v="ANT-0545"/>
    <d v="2023-10-22T06:48:00"/>
    <m/>
    <n v="22"/>
    <s v="Résolu"/>
    <n v="-2.6665070000000002"/>
    <n v="18.623692999999999"/>
    <x v="3"/>
    <s v="ZTE"/>
  </r>
  <r>
    <x v="2"/>
    <s v="ANT-0389"/>
    <d v="2023-10-08T21:48:00"/>
    <m/>
    <n v="103"/>
    <s v="Résolu"/>
    <s v="Non trouvé"/>
    <s v="Non trouvé"/>
    <x v="1"/>
    <s v="Non trouvé"/>
  </r>
  <r>
    <x v="2"/>
    <s v="ANT-0844"/>
    <d v="2023-10-20T02:33:00"/>
    <m/>
    <n v="87"/>
    <s v="Non Résolu"/>
    <s v="Non trouvé"/>
    <s v="Non trouvé"/>
    <x v="1"/>
    <s v="Non trouvé"/>
  </r>
  <r>
    <x v="1"/>
    <s v="ANT-0236"/>
    <d v="2023-10-15T16:45:00"/>
    <m/>
    <n v="98"/>
    <s v="En Cours"/>
    <n v="-12.192204"/>
    <n v="28.468682000000001"/>
    <x v="3"/>
    <s v="ZTE"/>
  </r>
  <r>
    <x v="2"/>
    <s v="ANT-0254"/>
    <d v="2023-10-12T02:58:00"/>
    <m/>
    <n v="87"/>
    <s v="Résolu"/>
    <s v="Non trouvé"/>
    <s v="Non trouvé"/>
    <x v="1"/>
    <s v="Non trouvé"/>
  </r>
  <r>
    <x v="21"/>
    <s v="ANT-0472"/>
    <d v="2023-10-19T03:03:00"/>
    <m/>
    <n v="58"/>
    <s v="Non Résolu"/>
    <n v="1.2419519999999999"/>
    <n v="25.261382999999999"/>
    <x v="0"/>
    <s v="Huawei"/>
  </r>
  <r>
    <x v="2"/>
    <s v="ANT-0355"/>
    <d v="2023-10-27T17:57:00"/>
    <m/>
    <n v="52"/>
    <s v="Non Résolu"/>
    <s v="Non trouvé"/>
    <s v="Non trouvé"/>
    <x v="1"/>
    <s v="Non trouvé"/>
  </r>
  <r>
    <x v="21"/>
    <s v="ANT-0159"/>
    <d v="2023-10-17T06:36:00"/>
    <m/>
    <n v="119"/>
    <s v="En Cours"/>
    <n v="2.4414509999999998"/>
    <n v="30.167489"/>
    <x v="2"/>
    <s v="Nokia"/>
  </r>
  <r>
    <x v="11"/>
    <s v="ANT-0283"/>
    <d v="2023-10-18T04:10:00"/>
    <m/>
    <n v="53"/>
    <s v="Non Résolu"/>
    <n v="-1.6097570000000001"/>
    <n v="30.661662"/>
    <x v="0"/>
    <s v="Ericsson"/>
  </r>
  <r>
    <x v="0"/>
    <s v="ANT-0194"/>
    <d v="2023-10-11T16:28:00"/>
    <m/>
    <n v="62"/>
    <s v="Non Résolu"/>
    <n v="8.5490999999999998E-2"/>
    <n v="26.296129000000001"/>
    <x v="3"/>
    <s v="ZTE"/>
  </r>
  <r>
    <x v="2"/>
    <s v="ANT-0960"/>
    <d v="2023-10-04T21:13:00"/>
    <m/>
    <n v="116"/>
    <s v="Non Résolu"/>
    <s v="Non trouvé"/>
    <s v="Non trouvé"/>
    <x v="1"/>
    <s v="Non trouvé"/>
  </r>
  <r>
    <x v="2"/>
    <s v="ANT-0897"/>
    <d v="2023-10-23T18:31:00"/>
    <m/>
    <n v="53"/>
    <s v="En Cours"/>
    <s v="Non trouvé"/>
    <s v="Non trouvé"/>
    <x v="1"/>
    <s v="Non trouvé"/>
  </r>
  <r>
    <x v="2"/>
    <s v="ANT-0743"/>
    <d v="2023-10-03T16:28:00"/>
    <m/>
    <n v="53"/>
    <s v="Résolu"/>
    <s v="Non trouvé"/>
    <s v="Non trouvé"/>
    <x v="1"/>
    <s v="Non trouvé"/>
  </r>
  <r>
    <x v="2"/>
    <s v="ANT-0784"/>
    <d v="2023-10-26T01:29:00"/>
    <m/>
    <n v="15"/>
    <s v="En Cours"/>
    <s v="Non trouvé"/>
    <s v="Non trouvé"/>
    <x v="1"/>
    <s v="Non trouvé"/>
  </r>
  <r>
    <x v="2"/>
    <s v="ANT-0116"/>
    <d v="2023-10-05T16:26:00"/>
    <m/>
    <n v="92"/>
    <s v="Résolu"/>
    <s v="Non trouvé"/>
    <s v="Non trouvé"/>
    <x v="1"/>
    <s v="Non trouvé"/>
  </r>
  <r>
    <x v="2"/>
    <s v="ANT-0033"/>
    <d v="2023-10-15T18:03:00"/>
    <m/>
    <n v="89"/>
    <s v="Non Résolu"/>
    <s v="Non trouvé"/>
    <s v="Non trouvé"/>
    <x v="1"/>
    <s v="Non trouvé"/>
  </r>
  <r>
    <x v="25"/>
    <s v="ANT-0677"/>
    <d v="2023-10-26T09:46:00"/>
    <m/>
    <n v="74"/>
    <s v="Résolu"/>
    <n v="-4.6957509999999996"/>
    <n v="14.233525999999999"/>
    <x v="0"/>
    <s v="Nokia"/>
  </r>
  <r>
    <x v="20"/>
    <s v="ANT-0430"/>
    <d v="2023-10-01T12:16:00"/>
    <m/>
    <n v="22"/>
    <s v="En Cours"/>
    <n v="-10.939712999999999"/>
    <n v="18.276230999999999"/>
    <x v="0"/>
    <s v="ZTE"/>
  </r>
  <r>
    <x v="5"/>
    <s v="ANT-0007"/>
    <d v="2023-10-22T13:35:00"/>
    <m/>
    <n v="87"/>
    <s v="Non Résolu"/>
    <n v="4.7777349999999998"/>
    <n v="16.392204"/>
    <x v="2"/>
    <s v="ZTE"/>
  </r>
  <r>
    <x v="11"/>
    <s v="ANT-0545"/>
    <d v="2023-10-16T01:22:00"/>
    <m/>
    <n v="99"/>
    <s v="Non Résolu"/>
    <n v="-2.6665070000000002"/>
    <n v="18.623692999999999"/>
    <x v="3"/>
    <s v="ZTE"/>
  </r>
  <r>
    <x v="24"/>
    <s v="ANT-0565"/>
    <d v="2023-10-31T20:42:00"/>
    <m/>
    <n v="67"/>
    <s v="Résolu"/>
    <n v="-2.099631"/>
    <n v="13.974640000000001"/>
    <x v="3"/>
    <s v="Nokia"/>
  </r>
  <r>
    <x v="2"/>
    <s v="ANT-0422"/>
    <d v="2023-10-13T16:20:00"/>
    <m/>
    <n v="63"/>
    <s v="Résolu"/>
    <s v="Non trouvé"/>
    <s v="Non trouvé"/>
    <x v="1"/>
    <s v="Non trouvé"/>
  </r>
  <r>
    <x v="2"/>
    <s v="ANT-0013"/>
    <d v="2023-10-23T13:26:00"/>
    <m/>
    <n v="26"/>
    <s v="En Cours"/>
    <s v="Non trouvé"/>
    <s v="Non trouvé"/>
    <x v="1"/>
    <s v="Non trouvé"/>
  </r>
  <r>
    <x v="2"/>
    <s v="ANT-0018"/>
    <d v="2023-10-05T09:24:00"/>
    <m/>
    <n v="98"/>
    <s v="En Cours"/>
    <s v="Non trouvé"/>
    <s v="Non trouvé"/>
    <x v="1"/>
    <s v="Non trouvé"/>
  </r>
  <r>
    <x v="7"/>
    <s v="ANT-0543"/>
    <d v="2023-10-06T17:30:00"/>
    <m/>
    <n v="106"/>
    <s v="En Cours"/>
    <n v="-4.4958720000000003"/>
    <n v="18.514112000000001"/>
    <x v="0"/>
    <s v="Nokia"/>
  </r>
  <r>
    <x v="2"/>
    <s v="ANT-0740"/>
    <d v="2023-10-08T07:19:00"/>
    <m/>
    <n v="50"/>
    <s v="Non Résolu"/>
    <s v="Non trouvé"/>
    <s v="Non trouvé"/>
    <x v="1"/>
    <s v="Non trouvé"/>
  </r>
  <r>
    <x v="15"/>
    <s v="ANT-0282"/>
    <d v="2023-10-28T22:09:00"/>
    <m/>
    <n v="26"/>
    <s v="En Cours"/>
    <n v="-10.25074"/>
    <n v="26.099086"/>
    <x v="0"/>
    <s v="Huawei"/>
  </r>
  <r>
    <x v="1"/>
    <s v="ANT-0549"/>
    <d v="2023-10-26T14:58:00"/>
    <m/>
    <n v="22"/>
    <s v="Résolu"/>
    <n v="-0.47411900000000001"/>
    <n v="27.184329000000002"/>
    <x v="2"/>
    <s v="ZTE"/>
  </r>
  <r>
    <x v="16"/>
    <s v="ANT-0294"/>
    <d v="2023-10-02T17:26:00"/>
    <m/>
    <n v="97"/>
    <s v="Non Résolu"/>
    <n v="-4.3639070000000002"/>
    <n v="16.283307000000001"/>
    <x v="2"/>
    <s v="Huawei"/>
  </r>
  <r>
    <x v="2"/>
    <s v="ANT-0018"/>
    <d v="2023-10-31T13:35:00"/>
    <m/>
    <n v="74"/>
    <s v="Résolu"/>
    <s v="Non trouvé"/>
    <s v="Non trouvé"/>
    <x v="1"/>
    <s v="Non trouvé"/>
  </r>
  <r>
    <x v="22"/>
    <s v="ANT-0515"/>
    <d v="2023-10-17T04:24:00"/>
    <m/>
    <n v="67"/>
    <s v="Non Résolu"/>
    <n v="-10.967288"/>
    <n v="17.617781000000001"/>
    <x v="0"/>
    <s v="Ericsson"/>
  </r>
  <r>
    <x v="4"/>
    <s v="ANT-0833"/>
    <d v="2023-10-08T08:13:00"/>
    <m/>
    <n v="28"/>
    <s v="Résolu"/>
    <n v="0.40267799999999998"/>
    <n v="16.000858000000001"/>
    <x v="3"/>
    <s v="Nokia"/>
  </r>
  <r>
    <x v="13"/>
    <s v="ANT-0715"/>
    <d v="2023-10-11T20:05:00"/>
    <m/>
    <n v="118"/>
    <s v="Résolu"/>
    <n v="-11.407966"/>
    <n v="28.378274000000001"/>
    <x v="0"/>
    <s v="ZTE"/>
  </r>
  <r>
    <x v="23"/>
    <s v="ANT-0691"/>
    <d v="2023-10-30T14:54:00"/>
    <m/>
    <n v="74"/>
    <s v="En Cours"/>
    <n v="-12.488033"/>
    <n v="16.139648000000001"/>
    <x v="0"/>
    <s v="Huawei"/>
  </r>
  <r>
    <x v="21"/>
    <s v="ANT-0441"/>
    <d v="2023-10-12T02:34:00"/>
    <m/>
    <n v="87"/>
    <s v="En Cours"/>
    <n v="-5.2526849999999996"/>
    <n v="12.374528"/>
    <x v="3"/>
    <s v="Nokia"/>
  </r>
  <r>
    <x v="15"/>
    <s v="ANT-0826"/>
    <d v="2023-10-24T06:03:00"/>
    <m/>
    <n v="12"/>
    <s v="Non Résolu"/>
    <n v="-10.846306999999999"/>
    <n v="19.201827999999999"/>
    <x v="0"/>
    <s v="Ericsson"/>
  </r>
  <r>
    <x v="2"/>
    <s v="ANT-0963"/>
    <d v="2023-10-09T12:43:00"/>
    <m/>
    <n v="72"/>
    <s v="En Cours"/>
    <s v="Non trouvé"/>
    <s v="Non trouvé"/>
    <x v="1"/>
    <s v="Non trouvé"/>
  </r>
  <r>
    <x v="2"/>
    <s v="ANT-0932"/>
    <d v="2023-10-20T19:02:00"/>
    <m/>
    <n v="9"/>
    <s v="Non Résolu"/>
    <s v="Non trouvé"/>
    <s v="Non trouvé"/>
    <x v="1"/>
    <s v="Non trouvé"/>
  </r>
  <r>
    <x v="20"/>
    <s v="ANT-0184"/>
    <d v="2023-10-28T02:12:00"/>
    <m/>
    <n v="112"/>
    <s v="Résolu"/>
    <n v="-10.161428000000001"/>
    <n v="19.362325999999999"/>
    <x v="3"/>
    <s v="Nokia"/>
  </r>
  <r>
    <x v="24"/>
    <s v="ANT-0110"/>
    <d v="2023-10-26T18:46:00"/>
    <m/>
    <n v="113"/>
    <s v="Non Résolu"/>
    <n v="-7.9425049999999997"/>
    <n v="24.111059000000001"/>
    <x v="3"/>
    <s v="ZTE"/>
  </r>
  <r>
    <x v="24"/>
    <s v="ANT-0941"/>
    <d v="2023-10-22T17:13:00"/>
    <m/>
    <n v="14"/>
    <s v="Résolu"/>
    <n v="-2.4662510000000002"/>
    <n v="18.007998000000001"/>
    <x v="2"/>
    <s v="Ericsson"/>
  </r>
  <r>
    <x v="8"/>
    <s v="ANT-0099"/>
    <d v="2023-10-16T06:55:00"/>
    <m/>
    <n v="109"/>
    <s v="Résolu"/>
    <n v="-11.157245"/>
    <n v="21.262627999999999"/>
    <x v="2"/>
    <s v="ZTE"/>
  </r>
  <r>
    <x v="2"/>
    <s v="ANT-0537"/>
    <d v="2023-10-30T10:19:00"/>
    <m/>
    <n v="90"/>
    <s v="Résolu"/>
    <s v="Non trouvé"/>
    <s v="Non trouvé"/>
    <x v="1"/>
    <s v="Non trouvé"/>
  </r>
  <r>
    <x v="0"/>
    <s v="ANT-0153"/>
    <d v="2023-10-31T00:13:00"/>
    <m/>
    <n v="11"/>
    <s v="Non Résolu"/>
    <n v="0.94539899999999999"/>
    <n v="14.401821999999999"/>
    <x v="2"/>
    <s v="Nokia"/>
  </r>
  <r>
    <x v="2"/>
    <s v="ANT-0247"/>
    <d v="2023-10-30T06:47:00"/>
    <m/>
    <n v="102"/>
    <s v="Non Résolu"/>
    <s v="Non trouvé"/>
    <s v="Non trouvé"/>
    <x v="1"/>
    <s v="Non trouvé"/>
  </r>
  <r>
    <x v="2"/>
    <s v="ANT-0197"/>
    <d v="2023-10-04T23:48:00"/>
    <m/>
    <n v="5"/>
    <s v="En Cours"/>
    <s v="Non trouvé"/>
    <s v="Non trouvé"/>
    <x v="1"/>
    <s v="Non trouvé"/>
  </r>
  <r>
    <x v="2"/>
    <s v="ANT-0635"/>
    <d v="2023-10-16T07:44:00"/>
    <m/>
    <n v="57"/>
    <s v="En Cours"/>
    <s v="Non trouvé"/>
    <s v="Non trouvé"/>
    <x v="1"/>
    <s v="Non trouvé"/>
  </r>
  <r>
    <x v="2"/>
    <s v="ANT-0540"/>
    <d v="2023-10-20T22:13:00"/>
    <m/>
    <n v="22"/>
    <s v="Résolu"/>
    <s v="Non trouvé"/>
    <s v="Non trouvé"/>
    <x v="1"/>
    <s v="Non trouvé"/>
  </r>
  <r>
    <x v="2"/>
    <s v="ANT-0259"/>
    <d v="2023-10-13T07:35:00"/>
    <m/>
    <n v="112"/>
    <s v="Résolu"/>
    <s v="Non trouvé"/>
    <s v="Non trouvé"/>
    <x v="1"/>
    <s v="Non trouvé"/>
  </r>
  <r>
    <x v="15"/>
    <s v="ANT-0835"/>
    <d v="2023-10-11T09:24:00"/>
    <m/>
    <n v="85"/>
    <s v="Non Résolu"/>
    <n v="1.017161"/>
    <n v="16.519689"/>
    <x v="3"/>
    <s v="Nokia"/>
  </r>
  <r>
    <x v="20"/>
    <s v="ANT-0363"/>
    <d v="2023-10-15T17:41:00"/>
    <m/>
    <n v="34"/>
    <s v="En Cours"/>
    <n v="5.3608999999999997E-2"/>
    <n v="28.346852999999999"/>
    <x v="3"/>
    <s v="ZTE"/>
  </r>
  <r>
    <x v="2"/>
    <s v="ANT-0274"/>
    <d v="2023-10-12T09:16:00"/>
    <m/>
    <n v="13"/>
    <s v="Non Résolu"/>
    <s v="Non trouvé"/>
    <s v="Non trouvé"/>
    <x v="1"/>
    <s v="Non trouvé"/>
  </r>
  <r>
    <x v="2"/>
    <s v="ANT-0815"/>
    <d v="2023-10-12T16:56:00"/>
    <m/>
    <n v="95"/>
    <s v="Non Résolu"/>
    <s v="Non trouvé"/>
    <s v="Non trouvé"/>
    <x v="1"/>
    <s v="Non trouvé"/>
  </r>
  <r>
    <x v="18"/>
    <s v="ANT-0407"/>
    <d v="2023-10-16T14:06:00"/>
    <m/>
    <n v="24"/>
    <s v="Non Résolu"/>
    <n v="2.5458379999999998"/>
    <n v="13.308655"/>
    <x v="2"/>
    <s v="ZTE"/>
  </r>
  <r>
    <x v="19"/>
    <s v="ANT-0081"/>
    <d v="2023-10-26T23:30:00"/>
    <m/>
    <n v="6"/>
    <s v="Résolu"/>
    <n v="-10.577049000000001"/>
    <n v="23.721854"/>
    <x v="0"/>
    <s v="ZTE"/>
  </r>
  <r>
    <x v="2"/>
    <s v="ANT-0383"/>
    <d v="2023-10-25T10:58:00"/>
    <m/>
    <n v="32"/>
    <s v="Résolu"/>
    <s v="Non trouvé"/>
    <s v="Non trouvé"/>
    <x v="1"/>
    <s v="Non trouvé"/>
  </r>
  <r>
    <x v="2"/>
    <s v="ANT-0983"/>
    <d v="2023-10-07T11:20:00"/>
    <m/>
    <n v="69"/>
    <s v="En Cours"/>
    <s v="Non trouvé"/>
    <s v="Non trouvé"/>
    <x v="1"/>
    <s v="Non trouvé"/>
  </r>
  <r>
    <x v="17"/>
    <s v="ANT-0416"/>
    <d v="2023-10-14T01:36:00"/>
    <m/>
    <n v="63"/>
    <s v="Résolu"/>
    <n v="-11.387295999999999"/>
    <n v="19.384257999999999"/>
    <x v="3"/>
    <s v="Huawei"/>
  </r>
  <r>
    <x v="2"/>
    <s v="ANT-0471"/>
    <d v="2023-10-28T07:47:00"/>
    <m/>
    <n v="52"/>
    <s v="Résolu"/>
    <s v="Non trouvé"/>
    <s v="Non trouvé"/>
    <x v="1"/>
    <s v="Non trouvé"/>
  </r>
  <r>
    <x v="18"/>
    <s v="ANT-0579"/>
    <d v="2023-10-05T00:16:00"/>
    <m/>
    <n v="12"/>
    <s v="Non Résolu"/>
    <n v="-1.6488929999999999"/>
    <n v="27.284617000000001"/>
    <x v="2"/>
    <s v="Nokia"/>
  </r>
  <r>
    <x v="18"/>
    <s v="ANT-0250"/>
    <d v="2023-10-18T18:37:00"/>
    <m/>
    <n v="84"/>
    <s v="Résolu"/>
    <n v="-2.3743210000000001"/>
    <n v="22.399491000000001"/>
    <x v="2"/>
    <s v="Ericsson"/>
  </r>
  <r>
    <x v="17"/>
    <s v="ANT-0714"/>
    <d v="2023-10-24T13:18:00"/>
    <m/>
    <n v="86"/>
    <s v="Non Résolu"/>
    <n v="-12.050063"/>
    <n v="26.636987999999999"/>
    <x v="3"/>
    <s v="Nokia"/>
  </r>
  <r>
    <x v="22"/>
    <s v="ANT-0232"/>
    <d v="2023-10-05T06:21:00"/>
    <m/>
    <n v="90"/>
    <s v="En Cours"/>
    <n v="2.0392079999999999"/>
    <n v="19.090841999999999"/>
    <x v="0"/>
    <s v="Nokia"/>
  </r>
  <r>
    <x v="2"/>
    <s v="ANT-0308"/>
    <d v="2023-10-08T12:36:00"/>
    <m/>
    <n v="83"/>
    <s v="Résolu"/>
    <s v="Non trouvé"/>
    <s v="Non trouvé"/>
    <x v="1"/>
    <s v="Non trouvé"/>
  </r>
  <r>
    <x v="3"/>
    <s v="ANT-0701"/>
    <d v="2023-10-27T07:31:00"/>
    <m/>
    <n v="66"/>
    <s v="En Cours"/>
    <n v="-12.839263000000001"/>
    <n v="12.355677"/>
    <x v="3"/>
    <s v="Huawei"/>
  </r>
  <r>
    <x v="2"/>
    <s v="ANT-0848"/>
    <d v="2023-10-18T20:43:00"/>
    <m/>
    <n v="89"/>
    <s v="Résolu"/>
    <s v="Non trouvé"/>
    <s v="Non trouvé"/>
    <x v="1"/>
    <s v="Non trouvé"/>
  </r>
  <r>
    <x v="22"/>
    <s v="ANT-0869"/>
    <d v="2023-10-11T08:48:00"/>
    <m/>
    <n v="67"/>
    <s v="Non Résolu"/>
    <n v="-8.0301989999999996"/>
    <n v="24.122495000000001"/>
    <x v="2"/>
    <s v="ZTE"/>
  </r>
  <r>
    <x v="2"/>
    <s v="ANT-0083"/>
    <d v="2023-10-27T15:46:00"/>
    <m/>
    <n v="7"/>
    <s v="Résolu"/>
    <s v="Non trouvé"/>
    <s v="Non trouvé"/>
    <x v="1"/>
    <s v="Non trouvé"/>
  </r>
  <r>
    <x v="2"/>
    <s v="ANT-0334"/>
    <d v="2023-10-25T23:08:00"/>
    <m/>
    <n v="83"/>
    <s v="Non Résolu"/>
    <s v="Non trouvé"/>
    <s v="Non trouvé"/>
    <x v="1"/>
    <s v="Non trouvé"/>
  </r>
  <r>
    <x v="25"/>
    <s v="ANT-0386"/>
    <d v="2023-10-26T22:46:00"/>
    <m/>
    <n v="30"/>
    <s v="Résolu"/>
    <n v="-10.653247"/>
    <n v="14.685601"/>
    <x v="0"/>
    <s v="Ericsson"/>
  </r>
  <r>
    <x v="5"/>
    <s v="ANT-0288"/>
    <d v="2023-10-03T16:47:00"/>
    <m/>
    <n v="63"/>
    <s v="Non Résolu"/>
    <n v="1.400674"/>
    <n v="13.503126999999999"/>
    <x v="2"/>
    <s v="ZTE"/>
  </r>
  <r>
    <x v="13"/>
    <s v="ANT-0837"/>
    <d v="2023-10-12T01:06:00"/>
    <m/>
    <n v="18"/>
    <s v="En Cours"/>
    <n v="-5.3762689999999997"/>
    <n v="28.189575999999999"/>
    <x v="2"/>
    <s v="Huawei"/>
  </r>
  <r>
    <x v="2"/>
    <s v="ANT-0805"/>
    <d v="2023-10-14T07:53:00"/>
    <m/>
    <n v="22"/>
    <s v="En Cours"/>
    <s v="Non trouvé"/>
    <s v="Non trouvé"/>
    <x v="1"/>
    <s v="Non trouvé"/>
  </r>
  <r>
    <x v="2"/>
    <s v="ANT-0403"/>
    <d v="2023-10-03T10:38:00"/>
    <m/>
    <n v="43"/>
    <s v="Résolu"/>
    <s v="Non trouvé"/>
    <s v="Non trouvé"/>
    <x v="1"/>
    <s v="Non trouvé"/>
  </r>
  <r>
    <x v="2"/>
    <s v="ANT-0374"/>
    <d v="2023-10-25T19:38:00"/>
    <m/>
    <n v="5"/>
    <s v="En Cours"/>
    <s v="Non trouvé"/>
    <s v="Non trouvé"/>
    <x v="1"/>
    <s v="Non trouvé"/>
  </r>
  <r>
    <x v="18"/>
    <s v="ANT-0117"/>
    <d v="2023-10-13T10:01:00"/>
    <m/>
    <n v="55"/>
    <s v="Non Résolu"/>
    <n v="1.938083"/>
    <n v="28.25281"/>
    <x v="0"/>
    <s v="Nokia"/>
  </r>
  <r>
    <x v="2"/>
    <s v="ANT-0955"/>
    <d v="2023-10-21T08:50:00"/>
    <m/>
    <n v="47"/>
    <s v="En Cours"/>
    <s v="Non trouvé"/>
    <s v="Non trouvé"/>
    <x v="1"/>
    <s v="Non trouvé"/>
  </r>
  <r>
    <x v="3"/>
    <s v="ANT-0578"/>
    <d v="2023-10-15T15:14:00"/>
    <m/>
    <n v="112"/>
    <s v="Non Résolu"/>
    <n v="-6.1490739999999997"/>
    <n v="23.304411000000002"/>
    <x v="2"/>
    <s v="ZTE"/>
  </r>
  <r>
    <x v="9"/>
    <s v="ANT-0205"/>
    <d v="2023-10-12T17:24:00"/>
    <m/>
    <n v="84"/>
    <s v="En Cours"/>
    <n v="-1.4110389999999999"/>
    <n v="21.261644"/>
    <x v="0"/>
    <s v="ZTE"/>
  </r>
  <r>
    <x v="0"/>
    <s v="ANT-0607"/>
    <d v="2023-10-14T05:43:00"/>
    <m/>
    <n v="53"/>
    <s v="Non Résolu"/>
    <n v="-8.4985189999999999"/>
    <n v="12.929456999999999"/>
    <x v="0"/>
    <s v="Ericsson"/>
  </r>
  <r>
    <x v="2"/>
    <s v="ANT-0559"/>
    <d v="2023-10-19T21:24:00"/>
    <m/>
    <n v="107"/>
    <s v="Non Résolu"/>
    <s v="Non trouvé"/>
    <s v="Non trouvé"/>
    <x v="1"/>
    <s v="Non trouvé"/>
  </r>
  <r>
    <x v="23"/>
    <s v="ANT-0185"/>
    <d v="2023-10-03T19:18:00"/>
    <m/>
    <n v="115"/>
    <s v="Non Résolu"/>
    <n v="1.2391989999999999"/>
    <n v="15.386718999999999"/>
    <x v="2"/>
    <s v="ZTE"/>
  </r>
  <r>
    <x v="2"/>
    <s v="ANT-0699"/>
    <d v="2023-10-26T07:45:00"/>
    <m/>
    <n v="47"/>
    <s v="En Cours"/>
    <s v="Non trouvé"/>
    <s v="Non trouvé"/>
    <x v="1"/>
    <s v="Non trouvé"/>
  </r>
  <r>
    <x v="2"/>
    <s v="ANT-0787"/>
    <d v="2023-10-03T02:17:00"/>
    <m/>
    <n v="61"/>
    <s v="Non Résolu"/>
    <s v="Non trouvé"/>
    <s v="Non trouvé"/>
    <x v="1"/>
    <s v="Non trouvé"/>
  </r>
  <r>
    <x v="15"/>
    <s v="ANT-0564"/>
    <d v="2023-10-05T12:45:00"/>
    <m/>
    <n v="47"/>
    <s v="Résolu"/>
    <n v="-12.336202"/>
    <n v="13.693683999999999"/>
    <x v="2"/>
    <s v="Huawei"/>
  </r>
  <r>
    <x v="2"/>
    <s v="ANT-0028"/>
    <d v="2023-10-26T20:09:00"/>
    <m/>
    <n v="60"/>
    <s v="En Cours"/>
    <s v="Non trouvé"/>
    <s v="Non trouvé"/>
    <x v="1"/>
    <s v="Non trouvé"/>
  </r>
  <r>
    <x v="2"/>
    <s v="ANT-0976"/>
    <d v="2023-10-24T12:20:00"/>
    <m/>
    <n v="109"/>
    <s v="Non Résolu"/>
    <s v="Non trouvé"/>
    <s v="Non trouvé"/>
    <x v="1"/>
    <s v="Non trouvé"/>
  </r>
  <r>
    <x v="21"/>
    <s v="ANT-0745"/>
    <d v="2023-10-12T03:05:00"/>
    <m/>
    <n v="110"/>
    <s v="Non Résolu"/>
    <n v="2.453036"/>
    <n v="20.555484"/>
    <x v="2"/>
    <s v="Ericsson"/>
  </r>
  <r>
    <x v="2"/>
    <s v="ANT-0473"/>
    <d v="2023-10-01T09:28:00"/>
    <m/>
    <n v="115"/>
    <s v="Non Résolu"/>
    <s v="Non trouvé"/>
    <s v="Non trouvé"/>
    <x v="1"/>
    <s v="Non trouvé"/>
  </r>
  <r>
    <x v="12"/>
    <s v="ANT-0966"/>
    <d v="2023-10-12T08:06:00"/>
    <m/>
    <n v="88"/>
    <s v="Non Résolu"/>
    <n v="-12.364127999999999"/>
    <n v="19.576150999999999"/>
    <x v="3"/>
    <s v="Nokia"/>
  </r>
  <r>
    <x v="2"/>
    <s v="ANT-0726"/>
    <d v="2023-10-05T02:11:00"/>
    <m/>
    <n v="81"/>
    <s v="Résolu"/>
    <s v="Non trouvé"/>
    <s v="Non trouvé"/>
    <x v="1"/>
    <s v="Non trouvé"/>
  </r>
  <r>
    <x v="2"/>
    <s v="ANT-0215"/>
    <d v="2023-10-14T14:35:00"/>
    <m/>
    <n v="22"/>
    <s v="Résolu"/>
    <s v="Non trouvé"/>
    <s v="Non trouvé"/>
    <x v="1"/>
    <s v="Non trouvé"/>
  </r>
  <r>
    <x v="2"/>
    <s v="ANT-0449"/>
    <d v="2023-10-18T16:26:00"/>
    <m/>
    <n v="43"/>
    <s v="Résolu"/>
    <s v="Non trouvé"/>
    <s v="Non trouvé"/>
    <x v="1"/>
    <s v="Non trouvé"/>
  </r>
  <r>
    <x v="2"/>
    <s v="ANT-0817"/>
    <d v="2023-10-04T00:05:00"/>
    <m/>
    <n v="46"/>
    <s v="Non Résolu"/>
    <s v="Non trouvé"/>
    <s v="Non trouvé"/>
    <x v="1"/>
    <s v="Non trouvé"/>
  </r>
  <r>
    <x v="2"/>
    <s v="ANT-0299"/>
    <d v="2023-10-12T17:05:00"/>
    <m/>
    <n v="82"/>
    <s v="Non Résolu"/>
    <s v="Non trouvé"/>
    <s v="Non trouvé"/>
    <x v="1"/>
    <s v="Non trouvé"/>
  </r>
  <r>
    <x v="21"/>
    <s v="ANT-0852"/>
    <d v="2023-10-20T19:50:00"/>
    <m/>
    <n v="93"/>
    <s v="En Cours"/>
    <n v="4.2493650000000001"/>
    <n v="28.355039999999999"/>
    <x v="3"/>
    <s v="ZTE"/>
  </r>
  <r>
    <x v="2"/>
    <s v="ANT-0710"/>
    <d v="2023-10-11T12:00:00"/>
    <m/>
    <n v="30"/>
    <s v="Résolu"/>
    <s v="Non trouvé"/>
    <s v="Non trouvé"/>
    <x v="1"/>
    <s v="Non trouvé"/>
  </r>
  <r>
    <x v="12"/>
    <s v="ANT-0071"/>
    <d v="2023-10-10T13:24:00"/>
    <m/>
    <n v="66"/>
    <s v="Non Résolu"/>
    <n v="-12.595355"/>
    <n v="17.897442000000002"/>
    <x v="0"/>
    <s v="Huawei"/>
  </r>
  <r>
    <x v="5"/>
    <s v="ANT-0839"/>
    <d v="2023-10-25T02:46:00"/>
    <m/>
    <n v="45"/>
    <s v="Non Résolu"/>
    <n v="-11.265995"/>
    <n v="28.935514999999999"/>
    <x v="0"/>
    <s v="Ericsson"/>
  </r>
  <r>
    <x v="22"/>
    <s v="ANT-0869"/>
    <d v="2023-10-29T17:57:00"/>
    <m/>
    <n v="27"/>
    <s v="Résolu"/>
    <n v="-8.0301989999999996"/>
    <n v="24.122495000000001"/>
    <x v="2"/>
    <s v="ZTE"/>
  </r>
  <r>
    <x v="2"/>
    <s v="ANT-0815"/>
    <d v="2023-10-08T18:33:00"/>
    <m/>
    <n v="55"/>
    <s v="Non Résolu"/>
    <s v="Non trouvé"/>
    <s v="Non trouvé"/>
    <x v="1"/>
    <s v="Non trouvé"/>
  </r>
  <r>
    <x v="2"/>
    <s v="ANT-0815"/>
    <d v="2023-10-06T21:24:00"/>
    <m/>
    <n v="45"/>
    <s v="Non Résolu"/>
    <s v="Non trouvé"/>
    <s v="Non trouvé"/>
    <x v="1"/>
    <s v="Non trouvé"/>
  </r>
  <r>
    <x v="17"/>
    <s v="ANT-0419"/>
    <d v="2023-10-06T04:17:00"/>
    <m/>
    <n v="42"/>
    <s v="Non Résolu"/>
    <n v="3.611561"/>
    <n v="17.725974999999998"/>
    <x v="3"/>
    <s v="ZTE"/>
  </r>
  <r>
    <x v="11"/>
    <s v="ANT-0690"/>
    <d v="2023-10-10T08:31:00"/>
    <m/>
    <n v="99"/>
    <s v="Non Résolu"/>
    <n v="1.3006180000000001"/>
    <n v="29.060970999999999"/>
    <x v="3"/>
    <s v="ZTE"/>
  </r>
  <r>
    <x v="2"/>
    <s v="ANT-0512"/>
    <d v="2023-10-05T02:10:00"/>
    <m/>
    <n v="93"/>
    <s v="En Cours"/>
    <s v="Non trouvé"/>
    <s v="Non trouvé"/>
    <x v="1"/>
    <s v="Non trouvé"/>
  </r>
  <r>
    <x v="18"/>
    <s v="ANT-0143"/>
    <d v="2023-10-14T08:26:00"/>
    <m/>
    <n v="86"/>
    <s v="En Cours"/>
    <n v="4.8228650000000002"/>
    <n v="30.555627000000001"/>
    <x v="0"/>
    <s v="Huawei"/>
  </r>
  <r>
    <x v="0"/>
    <s v="ANT-0649"/>
    <d v="2023-10-10T15:50:00"/>
    <m/>
    <n v="67"/>
    <s v="En Cours"/>
    <n v="-7.7839049999999999"/>
    <n v="14.114281999999999"/>
    <x v="3"/>
    <s v="ZTE"/>
  </r>
  <r>
    <x v="2"/>
    <s v="ANT-0311"/>
    <d v="2023-10-03T11:16:00"/>
    <m/>
    <n v="78"/>
    <s v="Résolu"/>
    <s v="Non trouvé"/>
    <s v="Non trouvé"/>
    <x v="1"/>
    <s v="Non trouvé"/>
  </r>
  <r>
    <x v="23"/>
    <s v="ANT-0248"/>
    <d v="2023-10-31T07:46:00"/>
    <m/>
    <n v="105"/>
    <s v="Résolu"/>
    <n v="-4.4351269999999996"/>
    <n v="24.825467"/>
    <x v="0"/>
    <s v="Huawei"/>
  </r>
  <r>
    <x v="2"/>
    <s v="ANT-0259"/>
    <d v="2023-10-21T15:38:00"/>
    <m/>
    <n v="36"/>
    <s v="Résolu"/>
    <s v="Non trouvé"/>
    <s v="Non trouvé"/>
    <x v="1"/>
    <s v="Non trouvé"/>
  </r>
  <r>
    <x v="15"/>
    <s v="ANT-0282"/>
    <d v="2023-10-08T14:23:00"/>
    <m/>
    <n v="59"/>
    <s v="Résolu"/>
    <n v="-10.25074"/>
    <n v="26.099086"/>
    <x v="0"/>
    <s v="Huawei"/>
  </r>
  <r>
    <x v="2"/>
    <s v="ANT-0231"/>
    <d v="2023-10-13T14:49:00"/>
    <m/>
    <n v="28"/>
    <s v="Résolu"/>
    <s v="Non trouvé"/>
    <s v="Non trouvé"/>
    <x v="1"/>
    <s v="Non trouvé"/>
  </r>
  <r>
    <x v="19"/>
    <s v="ANT-0551"/>
    <d v="2023-10-22T18:44:00"/>
    <m/>
    <n v="67"/>
    <s v="Résolu"/>
    <n v="-7.789663"/>
    <n v="26.529098000000001"/>
    <x v="2"/>
    <s v="Nokia"/>
  </r>
  <r>
    <x v="2"/>
    <s v="ANT-0296"/>
    <d v="2023-10-17T04:22:00"/>
    <m/>
    <n v="86"/>
    <s v="Non Résolu"/>
    <s v="Non trouvé"/>
    <s v="Non trouvé"/>
    <x v="1"/>
    <s v="Non trouvé"/>
  </r>
  <r>
    <x v="2"/>
    <s v="ANT-0173"/>
    <d v="2023-10-01T15:06:00"/>
    <m/>
    <n v="73"/>
    <s v="Non Résolu"/>
    <s v="Non trouvé"/>
    <s v="Non trouvé"/>
    <x v="1"/>
    <s v="Non trouvé"/>
  </r>
  <r>
    <x v="2"/>
    <s v="ANT-0800"/>
    <d v="2023-10-10T13:58:00"/>
    <m/>
    <n v="93"/>
    <s v="Non Résolu"/>
    <s v="Non trouvé"/>
    <s v="Non trouvé"/>
    <x v="1"/>
    <s v="Non trouvé"/>
  </r>
  <r>
    <x v="2"/>
    <s v="ANT-0469"/>
    <d v="2023-10-31T02:07:00"/>
    <m/>
    <n v="87"/>
    <s v="En Cours"/>
    <s v="Non trouvé"/>
    <s v="Non trouvé"/>
    <x v="1"/>
    <s v="Non trouvé"/>
  </r>
  <r>
    <x v="22"/>
    <s v="ANT-0580"/>
    <d v="2023-10-27T23:09:00"/>
    <m/>
    <n v="27"/>
    <s v="Non Résolu"/>
    <n v="-11.354772000000001"/>
    <n v="21.957325999999998"/>
    <x v="3"/>
    <s v="Nokia"/>
  </r>
  <r>
    <x v="2"/>
    <s v="ANT-0761"/>
    <d v="2023-10-12T09:21:00"/>
    <m/>
    <n v="76"/>
    <s v="Non Résolu"/>
    <s v="Non trouvé"/>
    <s v="Non trouvé"/>
    <x v="1"/>
    <s v="Non trouvé"/>
  </r>
  <r>
    <x v="2"/>
    <s v="ANT-0792"/>
    <d v="2023-10-15T06:33:00"/>
    <m/>
    <n v="26"/>
    <s v="Non Résolu"/>
    <s v="Non trouvé"/>
    <s v="Non trouvé"/>
    <x v="1"/>
    <s v="Non trouvé"/>
  </r>
  <r>
    <x v="2"/>
    <s v="ANT-0785"/>
    <d v="2023-10-16T11:30:00"/>
    <m/>
    <n v="67"/>
    <s v="En Cours"/>
    <s v="Non trouvé"/>
    <s v="Non trouvé"/>
    <x v="1"/>
    <s v="Non trouvé"/>
  </r>
  <r>
    <x v="2"/>
    <s v="ANT-0508"/>
    <d v="2023-10-04T14:46:00"/>
    <m/>
    <n v="41"/>
    <s v="Résolu"/>
    <s v="Non trouvé"/>
    <s v="Non trouvé"/>
    <x v="1"/>
    <s v="Non trouvé"/>
  </r>
  <r>
    <x v="15"/>
    <s v="ANT-0563"/>
    <d v="2023-10-23T14:20:00"/>
    <m/>
    <n v="22"/>
    <s v="Non Résolu"/>
    <n v="-1.8555980000000001"/>
    <n v="30.421918000000002"/>
    <x v="3"/>
    <s v="ZTE"/>
  </r>
  <r>
    <x v="20"/>
    <s v="ANT-0524"/>
    <d v="2023-10-03T09:02:00"/>
    <m/>
    <n v="28"/>
    <s v="Résolu"/>
    <n v="-7.402336"/>
    <n v="27.376697"/>
    <x v="0"/>
    <s v="Huawei"/>
  </r>
  <r>
    <x v="2"/>
    <s v="ANT-0116"/>
    <d v="2023-10-26T22:07:00"/>
    <m/>
    <n v="45"/>
    <s v="Résolu"/>
    <s v="Non trouvé"/>
    <s v="Non trouvé"/>
    <x v="1"/>
    <s v="Non trouvé"/>
  </r>
  <r>
    <x v="7"/>
    <s v="ANT-0587"/>
    <d v="2023-10-01T10:41:00"/>
    <m/>
    <n v="112"/>
    <s v="Résolu"/>
    <n v="-10.945031"/>
    <n v="27.922274000000002"/>
    <x v="0"/>
    <s v="Ericsson"/>
  </r>
  <r>
    <x v="18"/>
    <s v="ANT-0117"/>
    <d v="2023-10-04T21:51:00"/>
    <m/>
    <n v="62"/>
    <s v="Résolu"/>
    <n v="1.938083"/>
    <n v="28.25281"/>
    <x v="0"/>
    <s v="Nokia"/>
  </r>
  <r>
    <x v="2"/>
    <s v="ANT-0275"/>
    <d v="2023-10-06T23:15:00"/>
    <m/>
    <n v="84"/>
    <s v="Non Résolu"/>
    <s v="Non trouvé"/>
    <s v="Non trouvé"/>
    <x v="1"/>
    <s v="Non trouvé"/>
  </r>
  <r>
    <x v="10"/>
    <s v="ANT-0794"/>
    <d v="2023-10-17T05:35:00"/>
    <m/>
    <n v="11"/>
    <s v="En Cours"/>
    <n v="-3.8119990000000001"/>
    <n v="20.420048000000001"/>
    <x v="3"/>
    <s v="ZTE"/>
  </r>
  <r>
    <x v="21"/>
    <s v="ANT-0557"/>
    <d v="2023-10-06T10:35:00"/>
    <m/>
    <n v="115"/>
    <s v="Non Résolu"/>
    <n v="-1.3024210000000001"/>
    <n v="13.601914000000001"/>
    <x v="3"/>
    <s v="Huawei"/>
  </r>
  <r>
    <x v="2"/>
    <s v="ANT-0844"/>
    <d v="2023-10-14T14:14:00"/>
    <m/>
    <n v="50"/>
    <s v="En Cours"/>
    <s v="Non trouvé"/>
    <s v="Non trouvé"/>
    <x v="1"/>
    <s v="Non trouvé"/>
  </r>
  <r>
    <x v="2"/>
    <s v="ANT-0376"/>
    <d v="2023-10-26T12:40:00"/>
    <m/>
    <n v="6"/>
    <s v="Non Résolu"/>
    <s v="Non trouvé"/>
    <s v="Non trouvé"/>
    <x v="1"/>
    <s v="Non trouvé"/>
  </r>
  <r>
    <x v="2"/>
    <s v="ANT-0556"/>
    <d v="2023-10-06T05:40:00"/>
    <m/>
    <n v="67"/>
    <s v="Non Résolu"/>
    <s v="Non trouvé"/>
    <s v="Non trouvé"/>
    <x v="1"/>
    <s v="Non trouvé"/>
  </r>
  <r>
    <x v="25"/>
    <s v="ANT-0843"/>
    <d v="2023-10-22T13:25:00"/>
    <m/>
    <n v="22"/>
    <s v="Résolu"/>
    <n v="0.65288900000000005"/>
    <n v="24.243953999999999"/>
    <x v="2"/>
    <s v="Ericsson"/>
  </r>
  <r>
    <x v="4"/>
    <s v="ANT-0775"/>
    <d v="2023-10-01T23:39:00"/>
    <m/>
    <n v="29"/>
    <s v="En Cours"/>
    <n v="1.5278670000000001"/>
    <n v="13.899388999999999"/>
    <x v="3"/>
    <s v="Huawei"/>
  </r>
  <r>
    <x v="2"/>
    <s v="ANT-0043"/>
    <d v="2023-10-29T06:28:00"/>
    <m/>
    <n v="109"/>
    <s v="Non Résolu"/>
    <s v="Non trouvé"/>
    <s v="Non trouvé"/>
    <x v="1"/>
    <s v="Non trouvé"/>
  </r>
  <r>
    <x v="2"/>
    <s v="ANT-0779"/>
    <d v="2023-10-19T13:24:00"/>
    <m/>
    <n v="54"/>
    <s v="En Cours"/>
    <s v="Non trouvé"/>
    <s v="Non trouvé"/>
    <x v="1"/>
    <s v="Non trouvé"/>
  </r>
  <r>
    <x v="8"/>
    <s v="ANT-0737"/>
    <d v="2023-10-01T22:13:00"/>
    <m/>
    <n v="76"/>
    <s v="En Cours"/>
    <n v="-2.8211520000000001"/>
    <n v="20.651419000000001"/>
    <x v="2"/>
    <s v="Ericsson"/>
  </r>
  <r>
    <x v="2"/>
    <s v="ANT-0452"/>
    <d v="2023-10-07T08:48:00"/>
    <m/>
    <n v="69"/>
    <s v="Non Résolu"/>
    <s v="Non trouvé"/>
    <s v="Non trouvé"/>
    <x v="1"/>
    <s v="Non trouvé"/>
  </r>
  <r>
    <x v="2"/>
    <s v="ANT-0560"/>
    <d v="2023-10-23T02:36:00"/>
    <m/>
    <n v="88"/>
    <s v="En Cours"/>
    <s v="Non trouvé"/>
    <s v="Non trouvé"/>
    <x v="1"/>
    <s v="Non trouvé"/>
  </r>
  <r>
    <x v="15"/>
    <s v="ANT-0224"/>
    <d v="2023-10-04T17:11:00"/>
    <m/>
    <n v="68"/>
    <s v="Non Résolu"/>
    <n v="-7.9866700000000002"/>
    <n v="17.757847000000002"/>
    <x v="2"/>
    <s v="Huawei"/>
  </r>
  <r>
    <x v="5"/>
    <s v="ANT-0436"/>
    <d v="2023-10-12T10:12:00"/>
    <m/>
    <n v="57"/>
    <s v="Non Résolu"/>
    <n v="-4.5603610000000003"/>
    <n v="24.113918999999999"/>
    <x v="2"/>
    <s v="ZTE"/>
  </r>
  <r>
    <x v="2"/>
    <s v="ANT-0105"/>
    <d v="2023-10-15T03:16:00"/>
    <m/>
    <n v="92"/>
    <s v="Résolu"/>
    <s v="Non trouvé"/>
    <s v="Non trouvé"/>
    <x v="1"/>
    <s v="Non trouvé"/>
  </r>
  <r>
    <x v="23"/>
    <s v="ANT-0754"/>
    <d v="2023-10-22T15:33:00"/>
    <m/>
    <n v="67"/>
    <s v="Résolu"/>
    <n v="-11.924048000000001"/>
    <n v="24.177174999999998"/>
    <x v="3"/>
    <s v="Nokia"/>
  </r>
  <r>
    <x v="20"/>
    <s v="ANT-0850"/>
    <d v="2023-10-31T20:20:00"/>
    <m/>
    <n v="58"/>
    <s v="En Cours"/>
    <n v="-5.9021970000000001"/>
    <n v="20.551169999999999"/>
    <x v="3"/>
    <s v="Huawei"/>
  </r>
  <r>
    <x v="23"/>
    <s v="ANT-0670"/>
    <d v="2023-10-20T12:39:00"/>
    <m/>
    <n v="95"/>
    <s v="Résolu"/>
    <n v="-7.1483749999999997"/>
    <n v="26.014271000000001"/>
    <x v="2"/>
    <s v="Huawei"/>
  </r>
  <r>
    <x v="20"/>
    <s v="ANT-0770"/>
    <d v="2023-10-13T18:07:00"/>
    <m/>
    <n v="112"/>
    <s v="En Cours"/>
    <n v="2.4741019999999998"/>
    <n v="29.297391000000001"/>
    <x v="0"/>
    <s v="Ericsson"/>
  </r>
  <r>
    <x v="2"/>
    <s v="ANT-0254"/>
    <d v="2023-10-12T11:54:00"/>
    <m/>
    <n v="61"/>
    <s v="Non Résolu"/>
    <s v="Non trouvé"/>
    <s v="Non trouvé"/>
    <x v="1"/>
    <s v="Non trouvé"/>
  </r>
  <r>
    <x v="2"/>
    <s v="ANT-0305"/>
    <d v="2023-10-15T19:11:00"/>
    <m/>
    <n v="67"/>
    <s v="Résolu"/>
    <s v="Non trouvé"/>
    <s v="Non trouvé"/>
    <x v="1"/>
    <s v="Non trouvé"/>
  </r>
  <r>
    <x v="2"/>
    <s v="ANT-0896"/>
    <d v="2023-10-27T21:45:00"/>
    <m/>
    <n v="26"/>
    <s v="Non Résolu"/>
    <s v="Non trouvé"/>
    <s v="Non trouvé"/>
    <x v="1"/>
    <s v="Non trouvé"/>
  </r>
  <r>
    <x v="2"/>
    <s v="ANT-0034"/>
    <d v="2023-10-26T09:58:00"/>
    <m/>
    <n v="15"/>
    <s v="Résolu"/>
    <s v="Non trouvé"/>
    <s v="Non trouvé"/>
    <x v="1"/>
    <s v="Non trouvé"/>
  </r>
  <r>
    <x v="2"/>
    <s v="ANT-0461"/>
    <d v="2023-10-20T18:05:00"/>
    <m/>
    <n v="77"/>
    <s v="Résolu"/>
    <s v="Non trouvé"/>
    <s v="Non trouvé"/>
    <x v="1"/>
    <s v="Non trouvé"/>
  </r>
  <r>
    <x v="14"/>
    <s v="ANT-0270"/>
    <d v="2023-10-22T04:20:00"/>
    <m/>
    <n v="8"/>
    <s v="Résolu"/>
    <n v="-1.648264"/>
    <n v="28.866143999999998"/>
    <x v="2"/>
    <s v="Ericsson"/>
  </r>
  <r>
    <x v="24"/>
    <s v="ANT-0357"/>
    <d v="2023-10-04T07:19:00"/>
    <m/>
    <n v="106"/>
    <s v="Non Résolu"/>
    <n v="-11.793894"/>
    <n v="20.433340999999999"/>
    <x v="2"/>
    <s v="Nokia"/>
  </r>
  <r>
    <x v="21"/>
    <s v="ANT-0883"/>
    <d v="2023-10-04T05:23:00"/>
    <m/>
    <n v="102"/>
    <s v="En Cours"/>
    <n v="-9.4702129999999993"/>
    <n v="12.826158"/>
    <x v="3"/>
    <s v="Ericsson"/>
  </r>
  <r>
    <x v="13"/>
    <s v="ANT-0837"/>
    <d v="2023-10-23T04:32:00"/>
    <m/>
    <n v="33"/>
    <s v="Résolu"/>
    <n v="-5.3762689999999997"/>
    <n v="28.189575999999999"/>
    <x v="2"/>
    <s v="Huawei"/>
  </r>
  <r>
    <x v="14"/>
    <s v="ANT-0090"/>
    <d v="2023-10-13T13:38:00"/>
    <m/>
    <n v="42"/>
    <s v="Non Résolu"/>
    <n v="-7.3379339999999997"/>
    <n v="28.404001999999998"/>
    <x v="3"/>
    <s v="Nokia"/>
  </r>
  <r>
    <x v="14"/>
    <s v="ANT-0450"/>
    <d v="2023-10-05T18:24:00"/>
    <m/>
    <n v="9"/>
    <s v="En Cours"/>
    <n v="-12.560556999999999"/>
    <n v="13.204014000000001"/>
    <x v="0"/>
    <s v="Ericsson"/>
  </r>
  <r>
    <x v="2"/>
    <s v="ANT-0739"/>
    <d v="2023-10-03T20:50:00"/>
    <m/>
    <n v="91"/>
    <s v="Non Résolu"/>
    <s v="Non trouvé"/>
    <s v="Non trouvé"/>
    <x v="1"/>
    <s v="Non trouvé"/>
  </r>
  <r>
    <x v="2"/>
    <s v="ANT-0623"/>
    <d v="2023-10-29T02:25:00"/>
    <m/>
    <n v="23"/>
    <s v="En Cours"/>
    <s v="Non trouvé"/>
    <s v="Non trouvé"/>
    <x v="1"/>
    <s v="Non trouvé"/>
  </r>
  <r>
    <x v="4"/>
    <s v="ANT-0292"/>
    <d v="2023-10-17T23:17:00"/>
    <m/>
    <n v="13"/>
    <s v="En Cours"/>
    <n v="-6.4197189999999997"/>
    <n v="22.287264"/>
    <x v="3"/>
    <s v="Ericsson"/>
  </r>
  <r>
    <x v="2"/>
    <s v="ANT-0798"/>
    <d v="2023-10-23T11:29:00"/>
    <m/>
    <n v="72"/>
    <s v="Non Résolu"/>
    <s v="Non trouvé"/>
    <s v="Non trouvé"/>
    <x v="1"/>
    <s v="Non trouvé"/>
  </r>
  <r>
    <x v="11"/>
    <s v="ANT-0964"/>
    <d v="2023-10-31T15:20:00"/>
    <m/>
    <n v="77"/>
    <s v="Non Résolu"/>
    <n v="-0.57104900000000003"/>
    <n v="15.317663"/>
    <x v="2"/>
    <s v="Nokia"/>
  </r>
  <r>
    <x v="25"/>
    <s v="ANT-0708"/>
    <d v="2023-10-19T00:55:00"/>
    <m/>
    <n v="6"/>
    <s v="Résolu"/>
    <n v="-9.7712979999999998"/>
    <n v="19.827895999999999"/>
    <x v="3"/>
    <s v="ZTE"/>
  </r>
  <r>
    <x v="2"/>
    <s v="ANT-0028"/>
    <d v="2023-10-25T23:05:00"/>
    <m/>
    <n v="83"/>
    <s v="En Cours"/>
    <s v="Non trouvé"/>
    <s v="Non trouvé"/>
    <x v="1"/>
    <s v="Non trouvé"/>
  </r>
  <r>
    <x v="22"/>
    <s v="ANT-0869"/>
    <d v="2023-10-24T14:40:00"/>
    <m/>
    <n v="88"/>
    <s v="Résolu"/>
    <n v="-8.0301989999999996"/>
    <n v="24.122495000000001"/>
    <x v="2"/>
    <s v="ZTE"/>
  </r>
  <r>
    <x v="2"/>
    <s v="ANT-0868"/>
    <d v="2023-10-22T22:22:00"/>
    <m/>
    <n v="26"/>
    <s v="Résolu"/>
    <s v="Non trouvé"/>
    <s v="Non trouvé"/>
    <x v="1"/>
    <s v="Non trouvé"/>
  </r>
  <r>
    <x v="2"/>
    <s v="ANT-0675"/>
    <d v="2023-10-28T02:50:00"/>
    <m/>
    <n v="61"/>
    <s v="Non Résolu"/>
    <s v="Non trouvé"/>
    <s v="Non trouvé"/>
    <x v="1"/>
    <s v="Non trouvé"/>
  </r>
  <r>
    <x v="2"/>
    <s v="ANT-0897"/>
    <d v="2023-10-18T12:13:00"/>
    <m/>
    <n v="49"/>
    <s v="Résolu"/>
    <s v="Non trouvé"/>
    <s v="Non trouvé"/>
    <x v="1"/>
    <s v="Non trouvé"/>
  </r>
  <r>
    <x v="2"/>
    <s v="ANT-0309"/>
    <d v="2023-10-31T13:52:00"/>
    <m/>
    <n v="97"/>
    <s v="Résolu"/>
    <s v="Non trouvé"/>
    <s v="Non trouvé"/>
    <x v="1"/>
    <s v="Non trouvé"/>
  </r>
  <r>
    <x v="21"/>
    <s v="ANT-0211"/>
    <d v="2023-10-07T15:17:00"/>
    <m/>
    <n v="32"/>
    <s v="En Cours"/>
    <n v="-11.514817000000001"/>
    <n v="24.891375"/>
    <x v="3"/>
    <s v="Nokia"/>
  </r>
  <r>
    <x v="18"/>
    <s v="ANT-0531"/>
    <d v="2023-10-11T09:21:00"/>
    <m/>
    <n v="85"/>
    <s v="Résolu"/>
    <n v="-4.2645619999999997"/>
    <n v="18.960726000000001"/>
    <x v="0"/>
    <s v="Huawei"/>
  </r>
  <r>
    <x v="23"/>
    <s v="ANT-0622"/>
    <d v="2023-10-18T18:08:00"/>
    <m/>
    <n v="100"/>
    <s v="Résolu"/>
    <n v="-3.003879"/>
    <n v="23.633893"/>
    <x v="2"/>
    <s v="Ericsson"/>
  </r>
  <r>
    <x v="2"/>
    <s v="ANT-0522"/>
    <d v="2023-10-19T15:50:00"/>
    <m/>
    <n v="24"/>
    <s v="Résolu"/>
    <s v="Non trouvé"/>
    <s v="Non trouvé"/>
    <x v="1"/>
    <s v="Non trouvé"/>
  </r>
  <r>
    <x v="0"/>
    <s v="ANT-0194"/>
    <d v="2023-10-11T21:48:00"/>
    <m/>
    <n v="57"/>
    <s v="En Cours"/>
    <n v="8.5490999999999998E-2"/>
    <n v="26.296129000000001"/>
    <x v="3"/>
    <s v="ZTE"/>
  </r>
  <r>
    <x v="2"/>
    <s v="ANT-0766"/>
    <d v="2023-10-02T01:06:00"/>
    <m/>
    <n v="83"/>
    <s v="Non Résolu"/>
    <s v="Non trouvé"/>
    <s v="Non trouvé"/>
    <x v="1"/>
    <s v="Non trouvé"/>
  </r>
  <r>
    <x v="0"/>
    <s v="ANT-0402"/>
    <d v="2023-10-21T14:01:00"/>
    <m/>
    <n v="92"/>
    <s v="En Cours"/>
    <n v="-11.588665000000001"/>
    <n v="15.241552"/>
    <x v="0"/>
    <s v="Nokia"/>
  </r>
  <r>
    <x v="2"/>
    <s v="ANT-0303"/>
    <d v="2023-10-04T05:28:00"/>
    <m/>
    <n v="61"/>
    <s v="Non Résolu"/>
    <s v="Non trouvé"/>
    <s v="Non trouvé"/>
    <x v="1"/>
    <s v="Non trouvé"/>
  </r>
  <r>
    <x v="0"/>
    <s v="ANT-0662"/>
    <d v="2023-10-15T00:27:00"/>
    <m/>
    <n v="115"/>
    <s v="Non Résolu"/>
    <n v="-1.342476"/>
    <n v="15.986086"/>
    <x v="0"/>
    <s v="Ericsson"/>
  </r>
  <r>
    <x v="1"/>
    <s v="ANT-0056"/>
    <d v="2023-10-07T22:58:00"/>
    <m/>
    <n v="32"/>
    <s v="Non Résolu"/>
    <n v="-9.3652280000000001"/>
    <n v="18.674116000000001"/>
    <x v="0"/>
    <s v="Huawei"/>
  </r>
  <r>
    <x v="2"/>
    <s v="ANT-0803"/>
    <d v="2023-10-05T20:19:00"/>
    <m/>
    <n v="16"/>
    <s v="En Cours"/>
    <s v="Non trouvé"/>
    <s v="Non trouvé"/>
    <x v="1"/>
    <s v="Non trouvé"/>
  </r>
  <r>
    <x v="2"/>
    <s v="ANT-0920"/>
    <d v="2023-10-06T08:05:00"/>
    <m/>
    <n v="119"/>
    <s v="En Cours"/>
    <s v="Non trouvé"/>
    <s v="Non trouvé"/>
    <x v="1"/>
    <s v="Non trouvé"/>
  </r>
  <r>
    <x v="21"/>
    <s v="ANT-0813"/>
    <d v="2023-10-21T11:16:00"/>
    <m/>
    <n v="17"/>
    <s v="Non Résolu"/>
    <n v="-1.5419050000000001"/>
    <n v="14.730632999999999"/>
    <x v="3"/>
    <s v="ZTE"/>
  </r>
  <r>
    <x v="2"/>
    <s v="ANT-0978"/>
    <d v="2023-10-03T11:42:00"/>
    <m/>
    <n v="22"/>
    <s v="En Cours"/>
    <s v="Non trouvé"/>
    <s v="Non trouvé"/>
    <x v="1"/>
    <s v="Non trouvé"/>
  </r>
  <r>
    <x v="2"/>
    <s v="ANT-0246"/>
    <d v="2023-10-29T20:10:00"/>
    <m/>
    <n v="101"/>
    <s v="Résolu"/>
    <s v="Non trouvé"/>
    <s v="Non trouvé"/>
    <x v="1"/>
    <s v="Non trouvé"/>
  </r>
  <r>
    <x v="4"/>
    <s v="ANT-0507"/>
    <d v="2023-10-02T12:40:00"/>
    <m/>
    <n v="20"/>
    <s v="Non Résolu"/>
    <n v="0.45116099999999998"/>
    <n v="17.265761000000001"/>
    <x v="0"/>
    <s v="Huawei"/>
  </r>
  <r>
    <x v="2"/>
    <s v="ANT-0396"/>
    <d v="2023-10-10T23:44:00"/>
    <m/>
    <n v="80"/>
    <s v="Non Résolu"/>
    <s v="Non trouvé"/>
    <s v="Non trouvé"/>
    <x v="1"/>
    <s v="Non trouvé"/>
  </r>
  <r>
    <x v="2"/>
    <s v="ANT-0116"/>
    <d v="2023-10-25T07:27:00"/>
    <m/>
    <n v="98"/>
    <s v="Non Résolu"/>
    <s v="Non trouvé"/>
    <s v="Non trouvé"/>
    <x v="1"/>
    <s v="Non trouvé"/>
  </r>
  <r>
    <x v="2"/>
    <s v="ANT-0247"/>
    <d v="2023-10-21T02:45:00"/>
    <m/>
    <n v="54"/>
    <s v="Non Résolu"/>
    <s v="Non trouvé"/>
    <s v="Non trouvé"/>
    <x v="1"/>
    <s v="Non trouvé"/>
  </r>
  <r>
    <x v="2"/>
    <s v="ANT-0512"/>
    <d v="2023-10-04T00:13:00"/>
    <m/>
    <n v="49"/>
    <s v="Résolu"/>
    <s v="Non trouvé"/>
    <s v="Non trouvé"/>
    <x v="1"/>
    <s v="Non trouvé"/>
  </r>
  <r>
    <x v="2"/>
    <s v="ANT-0654"/>
    <d v="2023-10-16T02:08:00"/>
    <m/>
    <n v="59"/>
    <s v="En Cours"/>
    <s v="Non trouvé"/>
    <s v="Non trouvé"/>
    <x v="1"/>
    <s v="Non trouvé"/>
  </r>
  <r>
    <x v="2"/>
    <s v="ANT-0609"/>
    <d v="2023-10-19T07:33:00"/>
    <m/>
    <n v="45"/>
    <s v="Résolu"/>
    <s v="Non trouvé"/>
    <s v="Non trouvé"/>
    <x v="1"/>
    <s v="Non trouvé"/>
  </r>
  <r>
    <x v="2"/>
    <s v="ANT-0073"/>
    <d v="2023-10-22T14:00:00"/>
    <m/>
    <n v="106"/>
    <s v="En Cours"/>
    <s v="Non trouvé"/>
    <s v="Non trouvé"/>
    <x v="1"/>
    <s v="Non trouvé"/>
  </r>
  <r>
    <x v="2"/>
    <s v="ANT-0541"/>
    <d v="2023-10-01T22:21:00"/>
    <m/>
    <n v="22"/>
    <s v="Résolu"/>
    <s v="Non trouvé"/>
    <s v="Non trouvé"/>
    <x v="1"/>
    <s v="Non trouvé"/>
  </r>
  <r>
    <x v="2"/>
    <s v="ANT-0911"/>
    <d v="2023-10-27T03:55:00"/>
    <m/>
    <n v="36"/>
    <s v="Non Résolu"/>
    <s v="Non trouvé"/>
    <s v="Non trouvé"/>
    <x v="1"/>
    <s v="Non trouvé"/>
  </r>
  <r>
    <x v="2"/>
    <s v="ANT-0013"/>
    <d v="2023-10-14T22:08:00"/>
    <m/>
    <n v="40"/>
    <s v="Résolu"/>
    <s v="Non trouvé"/>
    <s v="Non trouvé"/>
    <x v="1"/>
    <s v="Non trouvé"/>
  </r>
  <r>
    <x v="13"/>
    <s v="ANT-0370"/>
    <d v="2023-10-16T02:14:00"/>
    <m/>
    <n v="87"/>
    <s v="Résolu"/>
    <n v="-7.6951369999999999"/>
    <n v="13.346605"/>
    <x v="0"/>
    <s v="Ericsson"/>
  </r>
  <r>
    <x v="6"/>
    <s v="ANT-0957"/>
    <d v="2023-10-13T02:46:00"/>
    <m/>
    <n v="15"/>
    <s v="Non Résolu"/>
    <n v="-7.1785899999999998"/>
    <n v="24.4404"/>
    <x v="0"/>
    <s v="Nokia"/>
  </r>
  <r>
    <x v="2"/>
    <s v="ANT-0325"/>
    <d v="2023-10-26T03:06:00"/>
    <m/>
    <n v="36"/>
    <s v="En Cours"/>
    <s v="Non trouvé"/>
    <s v="Non trouvé"/>
    <x v="1"/>
    <s v="Non trouvé"/>
  </r>
  <r>
    <x v="21"/>
    <s v="ANT-0136"/>
    <d v="2023-10-11T11:56:00"/>
    <m/>
    <n v="75"/>
    <s v="En Cours"/>
    <n v="-9.3900009999999998"/>
    <n v="30.001517"/>
    <x v="3"/>
    <s v="Nokia"/>
  </r>
  <r>
    <x v="2"/>
    <s v="ANT-0397"/>
    <d v="2023-10-10T04:24:00"/>
    <m/>
    <n v="81"/>
    <s v="Non Résolu"/>
    <s v="Non trouvé"/>
    <s v="Non trouvé"/>
    <x v="1"/>
    <s v="Non trouvé"/>
  </r>
  <r>
    <x v="4"/>
    <s v="ANT-0882"/>
    <d v="2023-10-25T04:41:00"/>
    <m/>
    <n v="81"/>
    <s v="Non Résolu"/>
    <n v="-1.500685"/>
    <n v="26.563376000000002"/>
    <x v="2"/>
    <s v="Nokia"/>
  </r>
  <r>
    <x v="7"/>
    <s v="ANT-0543"/>
    <d v="2023-10-24T07:03:00"/>
    <m/>
    <n v="42"/>
    <s v="En Cours"/>
    <n v="-4.4958720000000003"/>
    <n v="18.514112000000001"/>
    <x v="0"/>
    <s v="Nokia"/>
  </r>
  <r>
    <x v="2"/>
    <s v="ANT-0244"/>
    <d v="2023-10-08T02:59:00"/>
    <m/>
    <n v="77"/>
    <s v="En Cours"/>
    <s v="Non trouvé"/>
    <s v="Non trouvé"/>
    <x v="1"/>
    <s v="Non trouvé"/>
  </r>
  <r>
    <x v="20"/>
    <s v="ANT-0430"/>
    <d v="2023-10-14T03:29:00"/>
    <m/>
    <n v="105"/>
    <s v="Non Résolu"/>
    <n v="-10.939712999999999"/>
    <n v="18.276230999999999"/>
    <x v="0"/>
    <s v="ZTE"/>
  </r>
  <r>
    <x v="2"/>
    <s v="ANT-0504"/>
    <d v="2023-10-20T19:03:00"/>
    <m/>
    <n v="43"/>
    <s v="Non Résolu"/>
    <s v="Non trouvé"/>
    <s v="Non trouvé"/>
    <x v="1"/>
    <s v="Non trouvé"/>
  </r>
  <r>
    <x v="10"/>
    <s v="ANT-0985"/>
    <d v="2023-10-10T21:47:00"/>
    <m/>
    <n v="99"/>
    <s v="En Cours"/>
    <n v="-7.6757720000000003"/>
    <n v="30.222971000000001"/>
    <x v="2"/>
    <s v="Ericsson"/>
  </r>
  <r>
    <x v="2"/>
    <s v="ANT-0062"/>
    <d v="2023-10-22T23:11:00"/>
    <m/>
    <n v="84"/>
    <s v="En Cours"/>
    <s v="Non trouvé"/>
    <s v="Non trouvé"/>
    <x v="1"/>
    <s v="Non trouvé"/>
  </r>
  <r>
    <x v="2"/>
    <s v="ANT-0996"/>
    <d v="2023-10-04T00:45:00"/>
    <m/>
    <n v="36"/>
    <s v="En Cours"/>
    <s v="Non trouvé"/>
    <s v="Non trouvé"/>
    <x v="1"/>
    <s v="Non trouvé"/>
  </r>
  <r>
    <x v="2"/>
    <s v="ANT-0146"/>
    <d v="2023-10-05T22:00:00"/>
    <m/>
    <n v="64"/>
    <s v="En Cours"/>
    <s v="Non trouvé"/>
    <s v="Non trouvé"/>
    <x v="1"/>
    <s v="Non trouvé"/>
  </r>
  <r>
    <x v="2"/>
    <s v="ANT-0729"/>
    <d v="2023-10-06T15:22:00"/>
    <m/>
    <n v="52"/>
    <s v="Résolu"/>
    <s v="Non trouvé"/>
    <s v="Non trouvé"/>
    <x v="1"/>
    <s v="Non trouvé"/>
  </r>
  <r>
    <x v="19"/>
    <s v="ANT-0287"/>
    <d v="2023-10-17T16:50:00"/>
    <m/>
    <n v="80"/>
    <s v="Résolu"/>
    <n v="-11.622688999999999"/>
    <n v="18.483874"/>
    <x v="2"/>
    <s v="ZTE"/>
  </r>
  <r>
    <x v="5"/>
    <s v="ANT-0096"/>
    <d v="2023-10-27T23:16:00"/>
    <m/>
    <n v="68"/>
    <s v="Résolu"/>
    <n v="3.0603760000000002"/>
    <n v="19.708034000000001"/>
    <x v="3"/>
    <s v="ZTE"/>
  </r>
  <r>
    <x v="15"/>
    <s v="ANT-0045"/>
    <d v="2023-10-06T11:08:00"/>
    <m/>
    <n v="103"/>
    <s v="Résolu"/>
    <n v="-0.17258100000000001"/>
    <n v="23.775555000000001"/>
    <x v="2"/>
    <s v="Nokia"/>
  </r>
  <r>
    <x v="2"/>
    <s v="ANT-0944"/>
    <d v="2023-10-24T08:46:00"/>
    <m/>
    <n v="104"/>
    <s v="Non Résolu"/>
    <s v="Non trouvé"/>
    <s v="Non trouvé"/>
    <x v="1"/>
    <s v="Non trouvé"/>
  </r>
  <r>
    <x v="20"/>
    <s v="ANT-0238"/>
    <d v="2023-10-29T03:49:00"/>
    <m/>
    <n v="30"/>
    <s v="Résolu"/>
    <n v="0.62055499999999997"/>
    <n v="21.222035000000002"/>
    <x v="2"/>
    <s v="Nokia"/>
  </r>
  <r>
    <x v="2"/>
    <s v="ANT-0919"/>
    <d v="2023-10-29T00:21:00"/>
    <m/>
    <n v="98"/>
    <s v="Résolu"/>
    <s v="Non trouvé"/>
    <s v="Non trouvé"/>
    <x v="1"/>
    <s v="Non trouvé"/>
  </r>
  <r>
    <x v="2"/>
    <s v="ANT-0866"/>
    <d v="2023-10-26T13:17:00"/>
    <m/>
    <n v="120"/>
    <s v="Résolu"/>
    <s v="Non trouvé"/>
    <s v="Non trouvé"/>
    <x v="1"/>
    <s v="Non trouvé"/>
  </r>
  <r>
    <x v="26"/>
    <s v="ANT-0533"/>
    <d v="2023-10-17T02:16:00"/>
    <m/>
    <n v="74"/>
    <s v="Résolu"/>
    <n v="4.8265669999999998"/>
    <n v="28.535277000000001"/>
    <x v="3"/>
    <s v="Huawei"/>
  </r>
  <r>
    <x v="6"/>
    <s v="ANT-0423"/>
    <d v="2023-10-23T18:40:00"/>
    <m/>
    <n v="102"/>
    <s v="En Cours"/>
    <n v="-1.3938550000000001"/>
    <n v="15.097554000000001"/>
    <x v="0"/>
    <s v="Huawei"/>
  </r>
  <r>
    <x v="8"/>
    <s v="ANT-0718"/>
    <d v="2023-10-03T15:29:00"/>
    <m/>
    <n v="106"/>
    <s v="En Cours"/>
    <n v="1.981107"/>
    <n v="23.932569000000001"/>
    <x v="3"/>
    <s v="Nokia"/>
  </r>
  <r>
    <x v="15"/>
    <s v="ANT-0918"/>
    <d v="2023-10-17T11:03:00"/>
    <m/>
    <n v="36"/>
    <s v="En Cours"/>
    <n v="-11.231472"/>
    <n v="25.388874000000001"/>
    <x v="0"/>
    <s v="Huawei"/>
  </r>
  <r>
    <x v="2"/>
    <s v="ANT-0382"/>
    <d v="2023-10-16T18:10:00"/>
    <m/>
    <n v="24"/>
    <s v="En Cours"/>
    <s v="Non trouvé"/>
    <s v="Non trouvé"/>
    <x v="1"/>
    <s v="Non trouvé"/>
  </r>
  <r>
    <x v="15"/>
    <s v="ANT-0470"/>
    <d v="2023-10-12T05:16:00"/>
    <m/>
    <n v="5"/>
    <s v="Résolu"/>
    <n v="-8.9586360000000003"/>
    <n v="17.157720000000001"/>
    <x v="3"/>
    <s v="Nokia"/>
  </r>
  <r>
    <x v="2"/>
    <s v="ANT-0998"/>
    <d v="2023-10-25T03:57:00"/>
    <m/>
    <n v="57"/>
    <s v="Non Résolu"/>
    <s v="Non trouvé"/>
    <s v="Non trouvé"/>
    <x v="1"/>
    <s v="Non trouvé"/>
  </r>
  <r>
    <x v="2"/>
    <s v="ANT-0766"/>
    <d v="2023-10-19T21:46:00"/>
    <m/>
    <n v="8"/>
    <s v="En Cours"/>
    <s v="Non trouvé"/>
    <s v="Non trouvé"/>
    <x v="1"/>
    <s v="Non trouvé"/>
  </r>
  <r>
    <x v="2"/>
    <s v="ANT-0087"/>
    <d v="2023-10-04T07:47:00"/>
    <m/>
    <n v="34"/>
    <s v="Résolu"/>
    <s v="Non trouvé"/>
    <s v="Non trouvé"/>
    <x v="1"/>
    <s v="Non trouvé"/>
  </r>
  <r>
    <x v="2"/>
    <s v="ANT-0595"/>
    <d v="2023-10-17T00:02:00"/>
    <m/>
    <n v="74"/>
    <s v="En Cours"/>
    <s v="Non trouvé"/>
    <s v="Non trouvé"/>
    <x v="1"/>
    <s v="Non trouvé"/>
  </r>
  <r>
    <x v="2"/>
    <s v="ANT-0098"/>
    <d v="2023-10-28T00:15:00"/>
    <m/>
    <n v="49"/>
    <s v="En Cours"/>
    <s v="Non trouvé"/>
    <s v="Non trouvé"/>
    <x v="1"/>
    <s v="Non trouvé"/>
  </r>
  <r>
    <x v="2"/>
    <s v="ANT-0518"/>
    <d v="2023-10-02T15:23:00"/>
    <m/>
    <n v="86"/>
    <s v="En Cours"/>
    <s v="Non trouvé"/>
    <s v="Non trouvé"/>
    <x v="1"/>
    <s v="Non trouvé"/>
  </r>
  <r>
    <x v="2"/>
    <s v="ANT-0137"/>
    <d v="2023-10-13T04:11:00"/>
    <m/>
    <n v="112"/>
    <s v="En Cours"/>
    <s v="Non trouvé"/>
    <s v="Non trouvé"/>
    <x v="1"/>
    <s v="Non trouvé"/>
  </r>
  <r>
    <x v="15"/>
    <s v="ANT-0653"/>
    <d v="2023-10-30T01:35:00"/>
    <m/>
    <n v="93"/>
    <s v="Résolu"/>
    <n v="0.82868600000000003"/>
    <n v="26.958843999999999"/>
    <x v="2"/>
    <s v="ZTE"/>
  </r>
  <r>
    <x v="2"/>
    <s v="ANT-0840"/>
    <d v="2023-10-26T22:47:00"/>
    <m/>
    <n v="117"/>
    <s v="Résolu"/>
    <s v="Non trouvé"/>
    <s v="Non trouvé"/>
    <x v="1"/>
    <s v="Non trouvé"/>
  </r>
  <r>
    <x v="2"/>
    <s v="ANT-0404"/>
    <d v="2023-10-21T13:14:00"/>
    <m/>
    <n v="6"/>
    <s v="Résolu"/>
    <s v="Non trouvé"/>
    <s v="Non trouvé"/>
    <x v="1"/>
    <s v="Non trouvé"/>
  </r>
  <r>
    <x v="2"/>
    <s v="ANT-0077"/>
    <d v="2023-10-11T07:26:00"/>
    <m/>
    <n v="47"/>
    <s v="Non Résolu"/>
    <s v="Non trouvé"/>
    <s v="Non trouvé"/>
    <x v="1"/>
    <s v="Non trouvé"/>
  </r>
  <r>
    <x v="0"/>
    <s v="ANT-0607"/>
    <d v="2023-10-30T23:20:00"/>
    <m/>
    <n v="5"/>
    <s v="En Cours"/>
    <n v="-8.4985189999999999"/>
    <n v="12.929456999999999"/>
    <x v="0"/>
    <s v="Ericsson"/>
  </r>
  <r>
    <x v="21"/>
    <s v="ANT-0582"/>
    <d v="2023-10-09T02:36:00"/>
    <m/>
    <n v="102"/>
    <s v="Non Résolu"/>
    <n v="-1.4700059999999999"/>
    <n v="18.680958"/>
    <x v="3"/>
    <s v="Huawei"/>
  </r>
  <r>
    <x v="2"/>
    <s v="ANT-0064"/>
    <d v="2023-10-12T03:32:00"/>
    <m/>
    <n v="89"/>
    <s v="Non Résolu"/>
    <s v="Non trouvé"/>
    <s v="Non trouvé"/>
    <x v="1"/>
    <s v="Non trouvé"/>
  </r>
  <r>
    <x v="22"/>
    <s v="ANT-0446"/>
    <d v="2023-10-22T01:11:00"/>
    <m/>
    <n v="53"/>
    <s v="Non Résolu"/>
    <n v="1.286548"/>
    <n v="29.823702999999998"/>
    <x v="0"/>
    <s v="ZTE"/>
  </r>
  <r>
    <x v="8"/>
    <s v="ANT-0679"/>
    <d v="2023-10-08T16:02:00"/>
    <m/>
    <n v="113"/>
    <s v="Résolu"/>
    <n v="-7.1587569999999996"/>
    <n v="18.975141000000001"/>
    <x v="2"/>
    <s v="Ericsson"/>
  </r>
  <r>
    <x v="3"/>
    <s v="ANT-0988"/>
    <d v="2023-10-31T12:04:00"/>
    <m/>
    <n v="99"/>
    <s v="Résolu"/>
    <n v="-5.7200150000000001"/>
    <n v="25.022109"/>
    <x v="2"/>
    <s v="ZTE"/>
  </r>
  <r>
    <x v="25"/>
    <s v="ANT-0134"/>
    <d v="2023-10-29T14:55:00"/>
    <m/>
    <n v="98"/>
    <s v="En Cours"/>
    <n v="-10.963041"/>
    <n v="12.269857"/>
    <x v="0"/>
    <s v="Huawei"/>
  </r>
  <r>
    <x v="2"/>
    <s v="ANT-0243"/>
    <d v="2023-10-10T09:20:00"/>
    <m/>
    <n v="44"/>
    <s v="Résolu"/>
    <s v="Non trouvé"/>
    <s v="Non trouvé"/>
    <x v="1"/>
    <s v="Non trouvé"/>
  </r>
  <r>
    <x v="2"/>
    <s v="ANT-0299"/>
    <d v="2023-10-03T17:29:00"/>
    <m/>
    <n v="18"/>
    <s v="Résolu"/>
    <s v="Non trouvé"/>
    <s v="Non trouvé"/>
    <x v="1"/>
    <s v="Non trouvé"/>
  </r>
  <r>
    <x v="26"/>
    <s v="ANT-0268"/>
    <d v="2023-10-01T11:12:00"/>
    <m/>
    <n v="31"/>
    <s v="Non Résolu"/>
    <n v="-9.5619429999999994"/>
    <n v="21.445726000000001"/>
    <x v="0"/>
    <s v="Nokia"/>
  </r>
  <r>
    <x v="0"/>
    <s v="ANT-0607"/>
    <d v="2023-10-27T05:01:00"/>
    <m/>
    <n v="81"/>
    <s v="En Cours"/>
    <n v="-8.4985189999999999"/>
    <n v="12.929456999999999"/>
    <x v="0"/>
    <s v="Ericsson"/>
  </r>
  <r>
    <x v="2"/>
    <s v="ANT-0326"/>
    <d v="2023-10-31T12:54:00"/>
    <m/>
    <n v="33"/>
    <s v="Non Résolu"/>
    <s v="Non trouvé"/>
    <s v="Non trouvé"/>
    <x v="1"/>
    <s v="Non trouvé"/>
  </r>
  <r>
    <x v="15"/>
    <s v="ANT-0826"/>
    <d v="2023-10-15T17:47:00"/>
    <m/>
    <n v="8"/>
    <s v="Résolu"/>
    <n v="-10.846306999999999"/>
    <n v="19.201827999999999"/>
    <x v="0"/>
    <s v="Ericsson"/>
  </r>
  <r>
    <x v="2"/>
    <s v="ANT-0756"/>
    <d v="2023-10-18T07:06:00"/>
    <m/>
    <n v="119"/>
    <s v="Résolu"/>
    <s v="Non trouvé"/>
    <s v="Non trouvé"/>
    <x v="1"/>
    <s v="Non trouvé"/>
  </r>
  <r>
    <x v="13"/>
    <s v="ANT-0715"/>
    <d v="2023-10-15T03:51:00"/>
    <m/>
    <n v="108"/>
    <s v="En Cours"/>
    <n v="-11.407966"/>
    <n v="28.378274000000001"/>
    <x v="0"/>
    <s v="ZTE"/>
  </r>
  <r>
    <x v="8"/>
    <s v="ANT-0368"/>
    <d v="2023-10-26T04:07:00"/>
    <m/>
    <n v="104"/>
    <s v="Non Résolu"/>
    <n v="1.2463919999999999"/>
    <n v="13.266916999999999"/>
    <x v="2"/>
    <s v="Huawei"/>
  </r>
  <r>
    <x v="10"/>
    <s v="ANT-0936"/>
    <d v="2023-10-01T01:53:00"/>
    <m/>
    <n v="40"/>
    <s v="Résolu"/>
    <n v="-10.165072"/>
    <n v="29.428024000000001"/>
    <x v="2"/>
    <s v="Huawei"/>
  </r>
  <r>
    <x v="2"/>
    <s v="ANT-0606"/>
    <d v="2023-10-25T07:08:00"/>
    <m/>
    <n v="12"/>
    <s v="En Cours"/>
    <s v="Non trouvé"/>
    <s v="Non trouvé"/>
    <x v="1"/>
    <s v="Non trouvé"/>
  </r>
  <r>
    <x v="11"/>
    <s v="ANT-0029"/>
    <d v="2023-10-07T12:23:00"/>
    <m/>
    <n v="108"/>
    <s v="Résolu"/>
    <n v="-10.227569000000001"/>
    <n v="18.887930999999998"/>
    <x v="3"/>
    <s v="ZTE"/>
  </r>
  <r>
    <x v="24"/>
    <s v="ANT-0721"/>
    <d v="2023-10-22T20:41:00"/>
    <m/>
    <n v="65"/>
    <s v="Résolu"/>
    <n v="-3.9148719999999999"/>
    <n v="12.260933"/>
    <x v="0"/>
    <s v="Ericsson"/>
  </r>
  <r>
    <x v="8"/>
    <s v="ANT-0718"/>
    <d v="2023-10-03T18:37:00"/>
    <m/>
    <n v="72"/>
    <s v="Résolu"/>
    <n v="1.981107"/>
    <n v="23.932569000000001"/>
    <x v="3"/>
    <s v="Nokia"/>
  </r>
  <r>
    <x v="2"/>
    <s v="ANT-0361"/>
    <d v="2023-10-09T02:01:00"/>
    <m/>
    <n v="50"/>
    <s v="Non Résolu"/>
    <s v="Non trouvé"/>
    <s v="Non trouvé"/>
    <x v="1"/>
    <s v="Non trouvé"/>
  </r>
  <r>
    <x v="2"/>
    <s v="ANT-0971"/>
    <d v="2023-10-03T06:57:00"/>
    <m/>
    <n v="103"/>
    <s v="Non Résolu"/>
    <s v="Non trouvé"/>
    <s v="Non trouvé"/>
    <x v="1"/>
    <s v="Non trouvé"/>
  </r>
  <r>
    <x v="21"/>
    <s v="ANT-0582"/>
    <d v="2023-10-21T14:51:00"/>
    <m/>
    <n v="79"/>
    <s v="Résolu"/>
    <n v="-1.4700059999999999"/>
    <n v="18.680958"/>
    <x v="3"/>
    <s v="Huawei"/>
  </r>
  <r>
    <x v="3"/>
    <s v="ANT-0578"/>
    <d v="2023-10-05T02:57:00"/>
    <m/>
    <n v="34"/>
    <s v="Résolu"/>
    <n v="-6.1490739999999997"/>
    <n v="23.304411000000002"/>
    <x v="2"/>
    <s v="ZTE"/>
  </r>
  <r>
    <x v="2"/>
    <s v="ANT-0146"/>
    <d v="2023-10-28T10:07:00"/>
    <m/>
    <n v="25"/>
    <s v="Non Résolu"/>
    <s v="Non trouvé"/>
    <s v="Non trouvé"/>
    <x v="1"/>
    <s v="Non trouvé"/>
  </r>
  <r>
    <x v="2"/>
    <s v="ANT-0577"/>
    <d v="2023-10-02T14:03:00"/>
    <m/>
    <n v="17"/>
    <s v="En Cours"/>
    <s v="Non trouvé"/>
    <s v="Non trouvé"/>
    <x v="1"/>
    <s v="Non trouvé"/>
  </r>
  <r>
    <x v="8"/>
    <s v="ANT-0972"/>
    <d v="2023-10-06T18:27:00"/>
    <m/>
    <n v="36"/>
    <s v="Résolu"/>
    <n v="-0.469945"/>
    <n v="21.038527999999999"/>
    <x v="3"/>
    <s v="Ericsson"/>
  </r>
  <r>
    <x v="2"/>
    <s v="ANT-0193"/>
    <d v="2023-10-27T23:25:00"/>
    <m/>
    <n v="89"/>
    <s v="En Cours"/>
    <s v="Non trouvé"/>
    <s v="Non trouvé"/>
    <x v="1"/>
    <s v="Non trouvé"/>
  </r>
  <r>
    <x v="2"/>
    <s v="ANT-0857"/>
    <d v="2023-10-16T00:24:00"/>
    <m/>
    <n v="35"/>
    <s v="Non Résolu"/>
    <s v="Non trouvé"/>
    <s v="Non trouvé"/>
    <x v="1"/>
    <s v="Non trouvé"/>
  </r>
  <r>
    <x v="2"/>
    <s v="ANT-0830"/>
    <d v="2023-10-22T13:11:00"/>
    <m/>
    <n v="39"/>
    <s v="Non Résolu"/>
    <s v="Non trouvé"/>
    <s v="Non trouvé"/>
    <x v="1"/>
    <s v="Non trouvé"/>
  </r>
  <r>
    <x v="2"/>
    <s v="ANT-0903"/>
    <d v="2023-10-12T06:58:00"/>
    <m/>
    <n v="73"/>
    <s v="En Cours"/>
    <s v="Non trouvé"/>
    <s v="Non trouvé"/>
    <x v="1"/>
    <s v="Non trouvé"/>
  </r>
  <r>
    <x v="26"/>
    <s v="ANT-0994"/>
    <d v="2023-10-06T08:17:00"/>
    <m/>
    <n v="109"/>
    <s v="Non Résolu"/>
    <n v="-2.2681789999999999"/>
    <n v="25.699068"/>
    <x v="3"/>
    <s v="ZTE"/>
  </r>
  <r>
    <x v="21"/>
    <s v="ANT-0505"/>
    <d v="2023-10-15T04:02:00"/>
    <m/>
    <n v="106"/>
    <s v="Résolu"/>
    <n v="-11.207139"/>
    <n v="18.702511999999999"/>
    <x v="2"/>
    <s v="Ericsson"/>
  </r>
  <r>
    <x v="2"/>
    <s v="ANT-0556"/>
    <d v="2023-10-20T19:39:00"/>
    <m/>
    <n v="99"/>
    <s v="En Cours"/>
    <s v="Non trouvé"/>
    <s v="Non trouvé"/>
    <x v="1"/>
    <s v="Non trouvé"/>
  </r>
  <r>
    <x v="2"/>
    <s v="ANT-0317"/>
    <d v="2023-10-08T20:18:00"/>
    <m/>
    <n v="12"/>
    <s v="En Cours"/>
    <s v="Non trouvé"/>
    <s v="Non trouvé"/>
    <x v="1"/>
    <s v="Non trouvé"/>
  </r>
  <r>
    <x v="5"/>
    <s v="ANT-0180"/>
    <d v="2023-10-16T13:56:00"/>
    <m/>
    <n v="102"/>
    <s v="En Cours"/>
    <n v="2.4425979999999998"/>
    <n v="24.924308"/>
    <x v="2"/>
    <s v="Ericsson"/>
  </r>
  <r>
    <x v="23"/>
    <s v="ANT-0503"/>
    <d v="2023-10-18T15:03:00"/>
    <m/>
    <n v="33"/>
    <s v="Résolu"/>
    <n v="-1.8045979999999999"/>
    <n v="12.511096999999999"/>
    <x v="3"/>
    <s v="Huawei"/>
  </r>
  <r>
    <x v="13"/>
    <s v="ANT-0039"/>
    <d v="2023-10-03T08:24:00"/>
    <m/>
    <n v="78"/>
    <s v="Résolu"/>
    <n v="4.0988100000000003"/>
    <n v="29.843810999999999"/>
    <x v="3"/>
    <s v="Huawei"/>
  </r>
  <r>
    <x v="8"/>
    <s v="ANT-0093"/>
    <d v="2023-10-05T13:12:00"/>
    <m/>
    <n v="113"/>
    <s v="Non Résolu"/>
    <n v="2.975352"/>
    <n v="22.535886000000001"/>
    <x v="0"/>
    <s v="Huawei"/>
  </r>
  <r>
    <x v="5"/>
    <s v="ANT-0058"/>
    <d v="2023-10-21T16:15:00"/>
    <m/>
    <n v="107"/>
    <s v="En Cours"/>
    <n v="-6.4670189999999996"/>
    <n v="29.487309"/>
    <x v="0"/>
    <s v="ZTE"/>
  </r>
  <r>
    <x v="15"/>
    <s v="ANT-0239"/>
    <d v="2023-10-21T17:50:00"/>
    <m/>
    <n v="54"/>
    <s v="Non Résolu"/>
    <n v="-5.42171"/>
    <n v="24.202960999999998"/>
    <x v="2"/>
    <s v="Ericsson"/>
  </r>
  <r>
    <x v="19"/>
    <s v="ANT-0617"/>
    <d v="2023-10-01T12:50:00"/>
    <m/>
    <n v="50"/>
    <s v="En Cours"/>
    <n v="-7.7587710000000003"/>
    <n v="17.880848"/>
    <x v="3"/>
    <s v="Ericsson"/>
  </r>
  <r>
    <x v="23"/>
    <s v="ANT-0225"/>
    <d v="2023-10-23T11:30:00"/>
    <m/>
    <n v="112"/>
    <s v="Non Résolu"/>
    <n v="-8.8118569999999998"/>
    <n v="14.465711000000001"/>
    <x v="2"/>
    <s v="Nokia"/>
  </r>
  <r>
    <x v="2"/>
    <s v="ANT-0021"/>
    <d v="2023-10-18T15:22:00"/>
    <m/>
    <n v="113"/>
    <s v="En Cours"/>
    <s v="Non trouvé"/>
    <s v="Non trouvé"/>
    <x v="1"/>
    <s v="Non trouvé"/>
  </r>
  <r>
    <x v="2"/>
    <s v="ANT-0540"/>
    <d v="2023-10-30T18:32:00"/>
    <m/>
    <n v="27"/>
    <s v="Résolu"/>
    <s v="Non trouvé"/>
    <s v="Non trouvé"/>
    <x v="1"/>
    <s v="Non trouvé"/>
  </r>
  <r>
    <x v="2"/>
    <s v="ANT-0490"/>
    <d v="2023-10-11T12:17:00"/>
    <m/>
    <n v="27"/>
    <s v="Non Résolu"/>
    <s v="Non trouvé"/>
    <s v="Non trouvé"/>
    <x v="1"/>
    <s v="Non trouvé"/>
  </r>
  <r>
    <x v="0"/>
    <s v="ANT-0001"/>
    <d v="2023-10-06T00:20:00"/>
    <m/>
    <n v="35"/>
    <s v="Non Résolu"/>
    <n v="-8.1437910000000002"/>
    <n v="28.946161"/>
    <x v="0"/>
    <s v="ZTE"/>
  </r>
  <r>
    <x v="9"/>
    <s v="ANT-0276"/>
    <d v="2023-10-27T05:24:00"/>
    <m/>
    <n v="11"/>
    <s v="Non Résolu"/>
    <n v="-0.157111"/>
    <n v="25.415125"/>
    <x v="0"/>
    <s v="Ericsson"/>
  </r>
  <r>
    <x v="3"/>
    <s v="ANT-0578"/>
    <d v="2023-10-10T23:44:00"/>
    <m/>
    <n v="51"/>
    <s v="Non Résolu"/>
    <n v="-6.1490739999999997"/>
    <n v="23.304411000000002"/>
    <x v="2"/>
    <s v="ZTE"/>
  </r>
  <r>
    <x v="2"/>
    <s v="ANT-0064"/>
    <d v="2023-10-10T04:11:00"/>
    <m/>
    <n v="5"/>
    <s v="Résolu"/>
    <s v="Non trouvé"/>
    <s v="Non trouvé"/>
    <x v="1"/>
    <s v="Non trouvé"/>
  </r>
  <r>
    <x v="2"/>
    <s v="ANT-0155"/>
    <d v="2023-10-24T00:44:00"/>
    <m/>
    <n v="59"/>
    <s v="Résolu"/>
    <s v="Non trouvé"/>
    <s v="Non trouvé"/>
    <x v="1"/>
    <s v="Non trouvé"/>
  </r>
  <r>
    <x v="2"/>
    <s v="ANT-0771"/>
    <d v="2023-10-31T18:25:00"/>
    <m/>
    <n v="16"/>
    <s v="En Cours"/>
    <s v="Non trouvé"/>
    <s v="Non trouvé"/>
    <x v="1"/>
    <s v="Non trouvé"/>
  </r>
  <r>
    <x v="17"/>
    <s v="ANT-0714"/>
    <d v="2023-10-28T18:02:00"/>
    <m/>
    <n v="42"/>
    <s v="Résolu"/>
    <n v="-12.050063"/>
    <n v="26.636987999999999"/>
    <x v="3"/>
    <s v="Nokia"/>
  </r>
  <r>
    <x v="2"/>
    <s v="ANT-0684"/>
    <d v="2023-10-06T19:20:00"/>
    <m/>
    <n v="110"/>
    <s v="Résolu"/>
    <s v="Non trouvé"/>
    <s v="Non trouvé"/>
    <x v="1"/>
    <s v="Non trouvé"/>
  </r>
  <r>
    <x v="2"/>
    <s v="ANT-0100"/>
    <d v="2023-10-30T19:14:00"/>
    <m/>
    <n v="89"/>
    <s v="Résolu"/>
    <s v="Non trouvé"/>
    <s v="Non trouvé"/>
    <x v="1"/>
    <s v="Non trouvé"/>
  </r>
  <r>
    <x v="22"/>
    <s v="ANT-0088"/>
    <d v="2023-10-21T18:06:00"/>
    <m/>
    <n v="85"/>
    <s v="Résolu"/>
    <n v="-9.7803979999999999"/>
    <n v="17.686595000000001"/>
    <x v="0"/>
    <s v="Ericsson"/>
  </r>
  <r>
    <x v="19"/>
    <s v="ANT-0685"/>
    <d v="2023-10-30T15:09:00"/>
    <m/>
    <n v="81"/>
    <s v="Résolu"/>
    <n v="-10.574821"/>
    <n v="25.324966"/>
    <x v="2"/>
    <s v="Ericsson"/>
  </r>
  <r>
    <x v="11"/>
    <s v="ANT-0353"/>
    <d v="2023-10-11T23:04:00"/>
    <m/>
    <n v="66"/>
    <s v="Résolu"/>
    <n v="-11.991020000000001"/>
    <n v="22.514747"/>
    <x v="2"/>
    <s v="ZTE"/>
  </r>
  <r>
    <x v="2"/>
    <s v="ANT-0828"/>
    <d v="2023-10-08T11:20:00"/>
    <m/>
    <n v="30"/>
    <s v="En Cours"/>
    <s v="Non trouvé"/>
    <s v="Non trouvé"/>
    <x v="1"/>
    <s v="Non trouvé"/>
  </r>
  <r>
    <x v="2"/>
    <s v="ANT-0555"/>
    <d v="2023-10-06T20:56:00"/>
    <m/>
    <n v="17"/>
    <s v="Résolu"/>
    <s v="Non trouvé"/>
    <s v="Non trouvé"/>
    <x v="1"/>
    <s v="Non trouvé"/>
  </r>
  <r>
    <x v="22"/>
    <s v="ANT-0424"/>
    <d v="2023-10-31T02:52:00"/>
    <m/>
    <n v="8"/>
    <s v="Non Résolu"/>
    <n v="-9.5243310000000001"/>
    <n v="30.541212000000002"/>
    <x v="3"/>
    <s v="Ericsson"/>
  </r>
  <r>
    <x v="9"/>
    <s v="ANT-0995"/>
    <d v="2023-10-23T21:40:00"/>
    <m/>
    <n v="31"/>
    <s v="En Cours"/>
    <n v="-7.5969509999999998"/>
    <n v="22.153986"/>
    <x v="3"/>
    <s v="Ericsson"/>
  </r>
  <r>
    <x v="4"/>
    <s v="ANT-0775"/>
    <d v="2023-10-24T10:28:00"/>
    <m/>
    <n v="26"/>
    <s v="Résolu"/>
    <n v="1.5278670000000001"/>
    <n v="13.899388999999999"/>
    <x v="3"/>
    <s v="Huawei"/>
  </r>
  <r>
    <x v="6"/>
    <s v="ANT-0604"/>
    <d v="2023-10-01T08:13:00"/>
    <m/>
    <n v="86"/>
    <s v="Non Résolu"/>
    <n v="2.628638"/>
    <n v="28.420582"/>
    <x v="0"/>
    <s v="Huawei"/>
  </r>
  <r>
    <x v="2"/>
    <s v="ANT-0233"/>
    <d v="2023-10-08T22:04:00"/>
    <m/>
    <n v="42"/>
    <s v="Résolu"/>
    <s v="Non trouvé"/>
    <s v="Non trouvé"/>
    <x v="1"/>
    <s v="Non trouvé"/>
  </r>
  <r>
    <x v="2"/>
    <s v="ANT-0567"/>
    <d v="2023-10-12T08:50:00"/>
    <m/>
    <n v="15"/>
    <s v="Non Résolu"/>
    <s v="Non trouvé"/>
    <s v="Non trouvé"/>
    <x v="1"/>
    <s v="Non trouvé"/>
  </r>
  <r>
    <x v="2"/>
    <s v="ANT-0063"/>
    <d v="2023-10-04T23:00:00"/>
    <m/>
    <n v="65"/>
    <s v="En Cours"/>
    <s v="Non trouvé"/>
    <s v="Non trouvé"/>
    <x v="1"/>
    <s v="Non trouvé"/>
  </r>
  <r>
    <x v="2"/>
    <s v="ANT-0861"/>
    <d v="2023-10-02T12:28:00"/>
    <m/>
    <n v="113"/>
    <s v="En Cours"/>
    <s v="Non trouvé"/>
    <s v="Non trouvé"/>
    <x v="1"/>
    <s v="Non trouvé"/>
  </r>
  <r>
    <x v="2"/>
    <s v="ANT-0397"/>
    <d v="2023-10-24T13:10:00"/>
    <m/>
    <n v="19"/>
    <s v="Non Résolu"/>
    <s v="Non trouvé"/>
    <s v="Non trouvé"/>
    <x v="1"/>
    <s v="Non trouvé"/>
  </r>
  <r>
    <x v="5"/>
    <s v="ANT-0839"/>
    <d v="2023-10-29T13:31:00"/>
    <m/>
    <n v="44"/>
    <s v="Résolu"/>
    <n v="-11.265995"/>
    <n v="28.935514999999999"/>
    <x v="0"/>
    <s v="Ericsson"/>
  </r>
  <r>
    <x v="5"/>
    <s v="ANT-0536"/>
    <d v="2023-10-29T12:22:00"/>
    <m/>
    <n v="105"/>
    <s v="Résolu"/>
    <n v="-0.919767"/>
    <n v="18.905538"/>
    <x v="2"/>
    <s v="Ericsson"/>
  </r>
  <r>
    <x v="2"/>
    <s v="ANT-0429"/>
    <d v="2023-10-18T12:06:00"/>
    <m/>
    <n v="55"/>
    <s v="En Cours"/>
    <s v="Non trouvé"/>
    <s v="Non trouvé"/>
    <x v="1"/>
    <s v="Non trouvé"/>
  </r>
  <r>
    <x v="7"/>
    <s v="ANT-0989"/>
    <d v="2023-10-27T15:50:00"/>
    <m/>
    <n v="65"/>
    <s v="Non Résolu"/>
    <n v="-11.594525000000001"/>
    <n v="29.744895"/>
    <x v="3"/>
    <s v="ZTE"/>
  </r>
  <r>
    <x v="1"/>
    <s v="ANT-0549"/>
    <d v="2023-10-28T18:41:00"/>
    <m/>
    <n v="67"/>
    <s v="En Cours"/>
    <n v="-0.47411900000000001"/>
    <n v="27.184329000000002"/>
    <x v="2"/>
    <s v="ZTE"/>
  </r>
  <r>
    <x v="2"/>
    <s v="ANT-0704"/>
    <d v="2023-10-25T21:14:00"/>
    <m/>
    <n v="119"/>
    <s v="Non Résolu"/>
    <s v="Non trouvé"/>
    <s v="Non trouvé"/>
    <x v="1"/>
    <s v="Non trouvé"/>
  </r>
  <r>
    <x v="2"/>
    <s v="ANT-0888"/>
    <d v="2023-10-06T14:04:00"/>
    <m/>
    <n v="89"/>
    <s v="En Cours"/>
    <s v="Non trouvé"/>
    <s v="Non trouvé"/>
    <x v="1"/>
    <s v="Non trouvé"/>
  </r>
  <r>
    <x v="22"/>
    <s v="ANT-0959"/>
    <d v="2023-10-26T01:18:00"/>
    <m/>
    <n v="38"/>
    <s v="En Cours"/>
    <n v="-4.2184999999999997"/>
    <n v="23.077093999999999"/>
    <x v="0"/>
    <s v="Ericsson"/>
  </r>
  <r>
    <x v="2"/>
    <s v="ANT-0487"/>
    <d v="2023-10-01T10:16:00"/>
    <m/>
    <n v="16"/>
    <s v="Non Résolu"/>
    <s v="Non trouvé"/>
    <s v="Non trouvé"/>
    <x v="1"/>
    <s v="Non trouvé"/>
  </r>
  <r>
    <x v="7"/>
    <s v="ANT-0587"/>
    <d v="2023-10-31T03:04:00"/>
    <m/>
    <n v="87"/>
    <s v="En Cours"/>
    <n v="-10.945031"/>
    <n v="27.922274000000002"/>
    <x v="0"/>
    <s v="Ericsson"/>
  </r>
  <r>
    <x v="2"/>
    <s v="ANT-0903"/>
    <d v="2023-10-11T05:56:00"/>
    <m/>
    <n v="74"/>
    <s v="Résolu"/>
    <s v="Non trouvé"/>
    <s v="Non trouvé"/>
    <x v="1"/>
    <s v="Non trouvé"/>
  </r>
  <r>
    <x v="2"/>
    <s v="ANT-0242"/>
    <d v="2023-10-13T05:46:00"/>
    <m/>
    <n v="54"/>
    <s v="Non Résolu"/>
    <s v="Non trouvé"/>
    <s v="Non trouvé"/>
    <x v="1"/>
    <s v="Non trouvé"/>
  </r>
  <r>
    <x v="14"/>
    <s v="ANT-0488"/>
    <d v="2023-10-03T17:57:00"/>
    <m/>
    <n v="28"/>
    <s v="Non Résolu"/>
    <n v="-3.111418"/>
    <n v="14.144854"/>
    <x v="0"/>
    <s v="ZTE"/>
  </r>
  <r>
    <x v="2"/>
    <s v="ANT-0307"/>
    <d v="2023-10-03T10:38:00"/>
    <m/>
    <n v="52"/>
    <s v="Non Résolu"/>
    <s v="Non trouvé"/>
    <s v="Non trouvé"/>
    <x v="1"/>
    <s v="Non trouvé"/>
  </r>
  <r>
    <x v="19"/>
    <s v="ANT-0081"/>
    <d v="2023-10-20T15:45:00"/>
    <m/>
    <n v="118"/>
    <s v="Non Résolu"/>
    <n v="-10.577049000000001"/>
    <n v="23.721854"/>
    <x v="0"/>
    <s v="ZTE"/>
  </r>
  <r>
    <x v="8"/>
    <s v="ANT-0405"/>
    <d v="2023-10-01T13:41:00"/>
    <m/>
    <n v="53"/>
    <s v="En Cours"/>
    <n v="2.8552499999999998"/>
    <n v="14.077933"/>
    <x v="0"/>
    <s v="ZTE"/>
  </r>
  <r>
    <x v="23"/>
    <s v="ANT-0925"/>
    <d v="2023-10-06T19:56:00"/>
    <m/>
    <n v="52"/>
    <s v="Résolu"/>
    <n v="-2.2199559999999998"/>
    <n v="22.614449"/>
    <x v="3"/>
    <s v="Nokia"/>
  </r>
  <r>
    <x v="6"/>
    <s v="ANT-0875"/>
    <d v="2023-10-14T05:03:00"/>
    <m/>
    <n v="28"/>
    <s v="En Cours"/>
    <n v="-3.1608390000000002"/>
    <n v="13.244503999999999"/>
    <x v="3"/>
    <s v="Huawei"/>
  </r>
  <r>
    <x v="2"/>
    <s v="ANT-0732"/>
    <d v="2023-10-04T10:13:00"/>
    <m/>
    <n v="62"/>
    <s v="Résolu"/>
    <s v="Non trouvé"/>
    <s v="Non trouvé"/>
    <x v="1"/>
    <s v="Non trouvé"/>
  </r>
  <r>
    <x v="2"/>
    <s v="ANT-0036"/>
    <d v="2023-10-07T13:44:00"/>
    <m/>
    <n v="10"/>
    <s v="Résolu"/>
    <s v="Non trouvé"/>
    <s v="Non trouvé"/>
    <x v="1"/>
    <s v="Non trouvé"/>
  </r>
  <r>
    <x v="22"/>
    <s v="ANT-0515"/>
    <d v="2023-10-18T23:59:00"/>
    <m/>
    <n v="38"/>
    <s v="Non Résolu"/>
    <n v="-10.967288"/>
    <n v="17.617781000000001"/>
    <x v="0"/>
    <s v="Ericsson"/>
  </r>
  <r>
    <x v="2"/>
    <s v="ANT-0585"/>
    <d v="2023-10-24T17:16:00"/>
    <m/>
    <n v="61"/>
    <s v="Non Résolu"/>
    <s v="Non trouvé"/>
    <s v="Non trouvé"/>
    <x v="1"/>
    <s v="Non trouvé"/>
  </r>
  <r>
    <x v="5"/>
    <s v="ANT-0923"/>
    <d v="2023-10-22T09:19:00"/>
    <m/>
    <n v="64"/>
    <s v="Non Résolu"/>
    <n v="-12.070842000000001"/>
    <n v="14.757847"/>
    <x v="0"/>
    <s v="ZTE"/>
  </r>
  <r>
    <x v="20"/>
    <s v="ANT-0530"/>
    <d v="2023-10-08T03:03:00"/>
    <m/>
    <n v="38"/>
    <s v="Résolu"/>
    <n v="-8.5675749999999997"/>
    <n v="26.994581"/>
    <x v="3"/>
    <s v="Nokia"/>
  </r>
  <r>
    <x v="2"/>
    <s v="ANT-0820"/>
    <d v="2023-10-13T18:35:00"/>
    <m/>
    <n v="33"/>
    <s v="Résolu"/>
    <s v="Non trouvé"/>
    <s v="Non trouvé"/>
    <x v="1"/>
    <s v="Non trouvé"/>
  </r>
  <r>
    <x v="2"/>
    <s v="ANT-0586"/>
    <d v="2023-10-27T15:09:00"/>
    <m/>
    <n v="112"/>
    <s v="Non Résolu"/>
    <s v="Non trouvé"/>
    <s v="Non trouvé"/>
    <x v="1"/>
    <s v="Non trouvé"/>
  </r>
  <r>
    <x v="22"/>
    <s v="ANT-0845"/>
    <d v="2023-10-09T12:41:00"/>
    <m/>
    <n v="33"/>
    <s v="Non Résolu"/>
    <n v="-10.872631999999999"/>
    <n v="12.773279"/>
    <x v="3"/>
    <s v="ZTE"/>
  </r>
  <r>
    <x v="10"/>
    <s v="ANT-0639"/>
    <d v="2023-10-16T18:38:00"/>
    <m/>
    <n v="87"/>
    <s v="En Cours"/>
    <n v="2.5665840000000002"/>
    <n v="15.764796"/>
    <x v="3"/>
    <s v="ZTE"/>
  </r>
  <r>
    <x v="18"/>
    <s v="ANT-0407"/>
    <d v="2023-10-16T01:11:00"/>
    <m/>
    <n v="33"/>
    <s v="Non Résolu"/>
    <n v="2.5458379999999998"/>
    <n v="13.308655"/>
    <x v="2"/>
    <s v="ZTE"/>
  </r>
  <r>
    <x v="2"/>
    <s v="ANT-0599"/>
    <d v="2023-10-09T12:09:00"/>
    <m/>
    <n v="91"/>
    <s v="En Cours"/>
    <s v="Non trouvé"/>
    <s v="Non trouvé"/>
    <x v="1"/>
    <s v="Non trouvé"/>
  </r>
  <r>
    <x v="2"/>
    <s v="ANT-0105"/>
    <d v="2023-10-20T19:43:00"/>
    <m/>
    <n v="31"/>
    <s v="Non Résolu"/>
    <s v="Non trouvé"/>
    <s v="Non trouvé"/>
    <x v="1"/>
    <s v="Non trouvé"/>
  </r>
  <r>
    <x v="6"/>
    <s v="ANT-0008"/>
    <d v="2023-10-23T12:02:00"/>
    <m/>
    <n v="39"/>
    <s v="Résolu"/>
    <n v="-11.89448"/>
    <n v="19.216214999999998"/>
    <x v="3"/>
    <s v="ZTE"/>
  </r>
  <r>
    <x v="20"/>
    <s v="ANT-0524"/>
    <d v="2023-10-13T10:44:00"/>
    <m/>
    <n v="88"/>
    <s v="Non Résolu"/>
    <n v="-7.402336"/>
    <n v="27.376697"/>
    <x v="0"/>
    <s v="Huawei"/>
  </r>
  <r>
    <x v="8"/>
    <s v="ANT-0679"/>
    <d v="2023-10-08T01:47:00"/>
    <m/>
    <n v="57"/>
    <s v="Résolu"/>
    <n v="-7.1587569999999996"/>
    <n v="18.975141000000001"/>
    <x v="2"/>
    <s v="Ericsson"/>
  </r>
  <r>
    <x v="8"/>
    <s v="ANT-0990"/>
    <d v="2023-10-16T08:57:00"/>
    <m/>
    <n v="70"/>
    <s v="Non Résolu"/>
    <n v="-12.112399999999999"/>
    <n v="15.872226"/>
    <x v="0"/>
    <s v="Nokia"/>
  </r>
  <r>
    <x v="2"/>
    <s v="ANT-0864"/>
    <d v="2023-10-12T00:21:00"/>
    <m/>
    <n v="7"/>
    <s v="En Cours"/>
    <s v="Non trouvé"/>
    <s v="Non trouvé"/>
    <x v="1"/>
    <s v="Non trouvé"/>
  </r>
  <r>
    <x v="2"/>
    <s v="ANT-0860"/>
    <d v="2023-10-27T09:19:00"/>
    <m/>
    <n v="115"/>
    <s v="En Cours"/>
    <s v="Non trouvé"/>
    <s v="Non trouvé"/>
    <x v="1"/>
    <s v="Non trouvé"/>
  </r>
  <r>
    <x v="2"/>
    <s v="ANT-0384"/>
    <d v="2023-10-09T15:54:00"/>
    <m/>
    <n v="104"/>
    <s v="En Cours"/>
    <s v="Non trouvé"/>
    <s v="Non trouvé"/>
    <x v="1"/>
    <s v="Non trouvé"/>
  </r>
  <r>
    <x v="2"/>
    <s v="ANT-0575"/>
    <d v="2023-10-23T21:06:00"/>
    <m/>
    <n v="103"/>
    <s v="En Cours"/>
    <s v="Non trouvé"/>
    <s v="Non trouvé"/>
    <x v="1"/>
    <s v="Non trouvé"/>
  </r>
  <r>
    <x v="6"/>
    <s v="ANT-0663"/>
    <d v="2023-10-28T07:08:00"/>
    <m/>
    <n v="92"/>
    <s v="En Cours"/>
    <n v="-5.5559329999999996"/>
    <n v="13.508692999999999"/>
    <x v="3"/>
    <s v="Nokia"/>
  </r>
  <r>
    <x v="2"/>
    <s v="ANT-0609"/>
    <d v="2023-10-10T23:28:00"/>
    <m/>
    <n v="6"/>
    <s v="En Cours"/>
    <s v="Non trouvé"/>
    <s v="Non trouvé"/>
    <x v="1"/>
    <s v="Non trouvé"/>
  </r>
  <r>
    <x v="7"/>
    <s v="ANT-0624"/>
    <d v="2023-10-25T10:17:00"/>
    <m/>
    <n v="65"/>
    <s v="Non Résolu"/>
    <n v="0.172153"/>
    <n v="21.091376"/>
    <x v="3"/>
    <s v="Ericsson"/>
  </r>
  <r>
    <x v="2"/>
    <s v="ANT-0290"/>
    <d v="2023-10-24T13:38:00"/>
    <m/>
    <n v="21"/>
    <s v="Résolu"/>
    <s v="Non trouvé"/>
    <s v="Non trouvé"/>
    <x v="1"/>
    <s v="Non trouvé"/>
  </r>
  <r>
    <x v="2"/>
    <s v="ANT-0306"/>
    <d v="2023-10-21T02:12:00"/>
    <m/>
    <n v="87"/>
    <s v="Non Résolu"/>
    <s v="Non trouvé"/>
    <s v="Non trouvé"/>
    <x v="1"/>
    <s v="Non trouvé"/>
  </r>
  <r>
    <x v="3"/>
    <s v="ANT-0701"/>
    <d v="2023-10-15T06:58:00"/>
    <m/>
    <n v="27"/>
    <s v="Non Résolu"/>
    <n v="-12.839263000000001"/>
    <n v="12.355677"/>
    <x v="3"/>
    <s v="Huawei"/>
  </r>
  <r>
    <x v="2"/>
    <s v="ANT-0111"/>
    <d v="2023-10-27T13:47:00"/>
    <m/>
    <n v="81"/>
    <s v="Non Résolu"/>
    <s v="Non trouvé"/>
    <s v="Non trouvé"/>
    <x v="1"/>
    <s v="Non trouvé"/>
  </r>
  <r>
    <x v="8"/>
    <s v="ANT-0494"/>
    <d v="2023-10-16T16:55:00"/>
    <m/>
    <n v="107"/>
    <s v="Résolu"/>
    <n v="-12.564277000000001"/>
    <n v="28.480798"/>
    <x v="2"/>
    <s v="ZTE"/>
  </r>
  <r>
    <x v="16"/>
    <s v="ANT-0066"/>
    <d v="2023-10-12T01:32:00"/>
    <m/>
    <n v="6"/>
    <s v="En Cours"/>
    <n v="1.7832440000000001"/>
    <n v="25.477405999999998"/>
    <x v="2"/>
    <s v="Huawei"/>
  </r>
  <r>
    <x v="2"/>
    <s v="ANT-0345"/>
    <d v="2023-10-26T05:04:00"/>
    <m/>
    <n v="33"/>
    <s v="Non Résolu"/>
    <s v="Non trouvé"/>
    <s v="Non trouvé"/>
    <x v="1"/>
    <s v="Non trouvé"/>
  </r>
  <r>
    <x v="7"/>
    <s v="ANT-0284"/>
    <d v="2023-10-10T22:32:00"/>
    <m/>
    <n v="37"/>
    <s v="Non Résolu"/>
    <n v="-5.5445120000000001"/>
    <n v="27.547335"/>
    <x v="0"/>
    <s v="Ericsson"/>
  </r>
  <r>
    <x v="2"/>
    <s v="ANT-0656"/>
    <d v="2023-10-13T04:49:00"/>
    <m/>
    <n v="82"/>
    <s v="Résolu"/>
    <s v="Non trouvé"/>
    <s v="Non trouvé"/>
    <x v="1"/>
    <s v="Non trouvé"/>
  </r>
  <r>
    <x v="2"/>
    <s v="ANT-0333"/>
    <d v="2023-10-28T16:56:00"/>
    <m/>
    <n v="108"/>
    <s v="Non Résolu"/>
    <s v="Non trouvé"/>
    <s v="Non trouvé"/>
    <x v="1"/>
    <s v="Non trouvé"/>
  </r>
  <r>
    <x v="21"/>
    <s v="ANT-0883"/>
    <d v="2023-10-19T00:11:00"/>
    <m/>
    <n v="44"/>
    <s v="Non Résolu"/>
    <n v="-9.4702129999999993"/>
    <n v="12.826158"/>
    <x v="3"/>
    <s v="Ericsson"/>
  </r>
  <r>
    <x v="7"/>
    <s v="ANT-0284"/>
    <d v="2023-10-07T06:53:00"/>
    <m/>
    <n v="96"/>
    <s v="Non Résolu"/>
    <n v="-5.5445120000000001"/>
    <n v="27.547335"/>
    <x v="0"/>
    <s v="Ericsson"/>
  </r>
  <r>
    <x v="26"/>
    <s v="ANT-0268"/>
    <d v="2023-10-02T07:02:00"/>
    <m/>
    <n v="95"/>
    <s v="En Cours"/>
    <n v="-9.5619429999999994"/>
    <n v="21.445726000000001"/>
    <x v="0"/>
    <s v="Nokia"/>
  </r>
  <r>
    <x v="2"/>
    <s v="ANT-0672"/>
    <d v="2023-10-15T01:58:00"/>
    <m/>
    <n v="87"/>
    <s v="Non Résolu"/>
    <s v="Non trouvé"/>
    <s v="Non trouvé"/>
    <x v="1"/>
    <s v="Non trouvé"/>
  </r>
  <r>
    <x v="2"/>
    <s v="ANT-0729"/>
    <d v="2023-10-12T22:12:00"/>
    <m/>
    <n v="40"/>
    <s v="En Cours"/>
    <s v="Non trouvé"/>
    <s v="Non trouvé"/>
    <x v="1"/>
    <s v="Non trouvé"/>
  </r>
  <r>
    <x v="2"/>
    <s v="ANT-0976"/>
    <d v="2023-10-09T11:52:00"/>
    <m/>
    <n v="59"/>
    <s v="Non Résolu"/>
    <s v="Non trouvé"/>
    <s v="Non trouvé"/>
    <x v="1"/>
    <s v="Non trouvé"/>
  </r>
  <r>
    <x v="26"/>
    <s v="ANT-0914"/>
    <d v="2023-10-15T16:25:00"/>
    <m/>
    <n v="119"/>
    <s v="En Cours"/>
    <n v="-11.218453999999999"/>
    <n v="28.230025000000001"/>
    <x v="2"/>
    <s v="ZTE"/>
  </r>
  <r>
    <x v="8"/>
    <s v="ANT-0668"/>
    <d v="2023-10-21T03:43:00"/>
    <m/>
    <n v="53"/>
    <s v="Résolu"/>
    <n v="-9.8208710000000004"/>
    <n v="23.229807000000001"/>
    <x v="2"/>
    <s v="Nokia"/>
  </r>
  <r>
    <x v="2"/>
    <s v="ANT-0306"/>
    <d v="2023-10-01T07:23:00"/>
    <m/>
    <n v="114"/>
    <s v="Non Résolu"/>
    <s v="Non trouvé"/>
    <s v="Non trouvé"/>
    <x v="1"/>
    <s v="Non trouvé"/>
  </r>
  <r>
    <x v="2"/>
    <s v="ANT-0193"/>
    <d v="2023-10-16T19:28:00"/>
    <m/>
    <n v="49"/>
    <s v="Non Résolu"/>
    <s v="Non trouvé"/>
    <s v="Non trouvé"/>
    <x v="1"/>
    <s v="Non trouvé"/>
  </r>
  <r>
    <x v="8"/>
    <s v="ANT-0154"/>
    <d v="2023-10-06T15:37:00"/>
    <m/>
    <n v="63"/>
    <s v="Résolu"/>
    <n v="-10.977309"/>
    <n v="12.408281000000001"/>
    <x v="2"/>
    <s v="ZTE"/>
  </r>
  <r>
    <x v="20"/>
    <s v="ANT-0530"/>
    <d v="2023-10-18T11:22:00"/>
    <m/>
    <n v="37"/>
    <s v="En Cours"/>
    <n v="-8.5675749999999997"/>
    <n v="26.994581"/>
    <x v="3"/>
    <s v="Nokia"/>
  </r>
  <r>
    <x v="2"/>
    <s v="ANT-0784"/>
    <d v="2023-10-06T08:47:00"/>
    <m/>
    <n v="32"/>
    <s v="Résolu"/>
    <s v="Non trouvé"/>
    <s v="Non trouvé"/>
    <x v="1"/>
    <s v="Non trouvé"/>
  </r>
  <r>
    <x v="2"/>
    <s v="ANT-0247"/>
    <d v="2023-10-27T22:05:00"/>
    <m/>
    <n v="64"/>
    <s v="En Cours"/>
    <s v="Non trouvé"/>
    <s v="Non trouvé"/>
    <x v="1"/>
    <s v="Non trouvé"/>
  </r>
  <r>
    <x v="2"/>
    <s v="ANT-0922"/>
    <d v="2023-10-10T00:24:00"/>
    <m/>
    <n v="43"/>
    <s v="Résolu"/>
    <s v="Non trouvé"/>
    <s v="Non trouvé"/>
    <x v="1"/>
    <s v="Non trouvé"/>
  </r>
  <r>
    <x v="12"/>
    <s v="ANT-0059"/>
    <d v="2023-10-02T05:54:00"/>
    <m/>
    <n v="91"/>
    <s v="Non Résolu"/>
    <n v="-0.34051900000000002"/>
    <n v="17.079799000000001"/>
    <x v="2"/>
    <s v="Ericsson"/>
  </r>
  <r>
    <x v="2"/>
    <s v="ANT-0825"/>
    <d v="2023-10-19T06:54:00"/>
    <m/>
    <n v="71"/>
    <s v="En Cours"/>
    <s v="Non trouvé"/>
    <s v="Non trouvé"/>
    <x v="1"/>
    <s v="Non trouvé"/>
  </r>
  <r>
    <x v="2"/>
    <s v="ANT-0021"/>
    <d v="2023-10-21T02:14:00"/>
    <m/>
    <n v="48"/>
    <s v="Résolu"/>
    <s v="Non trouvé"/>
    <s v="Non trouvé"/>
    <x v="1"/>
    <s v="Non trouvé"/>
  </r>
  <r>
    <x v="2"/>
    <s v="ANT-0050"/>
    <d v="2023-10-12T07:47:00"/>
    <m/>
    <n v="120"/>
    <s v="En Cours"/>
    <s v="Non trouvé"/>
    <s v="Non trouvé"/>
    <x v="1"/>
    <s v="Non trouvé"/>
  </r>
  <r>
    <x v="2"/>
    <s v="ANT-0707"/>
    <d v="2023-10-28T09:26:00"/>
    <m/>
    <n v="67"/>
    <s v="Résolu"/>
    <s v="Non trouvé"/>
    <s v="Non trouvé"/>
    <x v="1"/>
    <s v="Non trouvé"/>
  </r>
  <r>
    <x v="2"/>
    <s v="ANT-0119"/>
    <d v="2023-10-26T10:23:00"/>
    <m/>
    <n v="50"/>
    <s v="Non Résolu"/>
    <s v="Non trouvé"/>
    <s v="Non trouvé"/>
    <x v="1"/>
    <s v="Non trouvé"/>
  </r>
  <r>
    <x v="2"/>
    <s v="ANT-0427"/>
    <d v="2023-10-09T18:18:00"/>
    <m/>
    <n v="101"/>
    <s v="Résolu"/>
    <s v="Non trouvé"/>
    <s v="Non trouvé"/>
    <x v="1"/>
    <s v="Non trouvé"/>
  </r>
  <r>
    <x v="2"/>
    <s v="ANT-0455"/>
    <d v="2023-10-15T03:30:00"/>
    <m/>
    <n v="29"/>
    <s v="En Cours"/>
    <s v="Non trouvé"/>
    <s v="Non trouvé"/>
    <x v="1"/>
    <s v="Non trouvé"/>
  </r>
  <r>
    <x v="2"/>
    <s v="ANT-0390"/>
    <d v="2023-10-02T20:37:00"/>
    <m/>
    <n v="26"/>
    <s v="Non Résolu"/>
    <s v="Non trouvé"/>
    <s v="Non trouvé"/>
    <x v="1"/>
    <s v="Non trouvé"/>
  </r>
  <r>
    <x v="2"/>
    <s v="ANT-0127"/>
    <d v="2023-10-19T19:04:00"/>
    <m/>
    <n v="108"/>
    <s v="Résolu"/>
    <s v="Non trouvé"/>
    <s v="Non trouvé"/>
    <x v="1"/>
    <s v="Non trouvé"/>
  </r>
  <r>
    <x v="2"/>
    <s v="ANT-0561"/>
    <d v="2023-10-16T06:32:00"/>
    <m/>
    <n v="56"/>
    <s v="En Cours"/>
    <s v="Non trouvé"/>
    <s v="Non trouvé"/>
    <x v="1"/>
    <s v="Non trouvé"/>
  </r>
  <r>
    <x v="2"/>
    <s v="ANT-0259"/>
    <d v="2023-10-04T21:24:00"/>
    <m/>
    <n v="7"/>
    <s v="Non Résolu"/>
    <s v="Non trouvé"/>
    <s v="Non trouvé"/>
    <x v="1"/>
    <s v="Non trouvé"/>
  </r>
  <r>
    <x v="2"/>
    <s v="ANT-0486"/>
    <d v="2023-10-17T09:26:00"/>
    <m/>
    <n v="34"/>
    <s v="En Cours"/>
    <s v="Non trouvé"/>
    <s v="Non trouvé"/>
    <x v="1"/>
    <s v="Non trouvé"/>
  </r>
  <r>
    <x v="0"/>
    <s v="ANT-0719"/>
    <d v="2023-10-02T04:08:00"/>
    <m/>
    <n v="33"/>
    <s v="En Cours"/>
    <n v="-7.9987219999999999"/>
    <n v="12.779335"/>
    <x v="2"/>
    <s v="Nokia"/>
  </r>
  <r>
    <x v="2"/>
    <s v="ANT-0157"/>
    <d v="2023-10-07T10:26:00"/>
    <m/>
    <n v="98"/>
    <s v="Résolu"/>
    <s v="Non trouvé"/>
    <s v="Non trouvé"/>
    <x v="1"/>
    <s v="Non trouvé"/>
  </r>
  <r>
    <x v="21"/>
    <s v="ANT-0211"/>
    <d v="2023-10-19T14:09:00"/>
    <m/>
    <n v="21"/>
    <s v="Résolu"/>
    <n v="-11.514817000000001"/>
    <n v="24.891375"/>
    <x v="3"/>
    <s v="Nokia"/>
  </r>
  <r>
    <x v="2"/>
    <s v="ANT-0712"/>
    <d v="2023-10-11T22:11:00"/>
    <m/>
    <n v="32"/>
    <s v="Non Résolu"/>
    <s v="Non trouvé"/>
    <s v="Non trouvé"/>
    <x v="1"/>
    <s v="Non trouvé"/>
  </r>
  <r>
    <x v="24"/>
    <s v="ANT-0703"/>
    <d v="2023-10-25T02:31:00"/>
    <m/>
    <n v="98"/>
    <s v="En Cours"/>
    <n v="-7.0007840000000003"/>
    <n v="22.787997000000001"/>
    <x v="2"/>
    <s v="ZTE"/>
  </r>
  <r>
    <x v="2"/>
    <s v="ANT-0646"/>
    <d v="2023-10-11T20:11:00"/>
    <m/>
    <n v="7"/>
    <s v="Résolu"/>
    <s v="Non trouvé"/>
    <s v="Non trouvé"/>
    <x v="1"/>
    <s v="Non trouvé"/>
  </r>
  <r>
    <x v="7"/>
    <s v="ANT-0010"/>
    <d v="2023-10-11T20:03:00"/>
    <m/>
    <n v="80"/>
    <s v="Non Résolu"/>
    <n v="4.4712560000000003"/>
    <n v="27.107028"/>
    <x v="3"/>
    <s v="Ericsson"/>
  </r>
  <r>
    <x v="2"/>
    <s v="ANT-0309"/>
    <d v="2023-10-01T14:17:00"/>
    <m/>
    <n v="69"/>
    <s v="En Cours"/>
    <s v="Non trouvé"/>
    <s v="Non trouvé"/>
    <x v="1"/>
    <s v="Non trouvé"/>
  </r>
  <r>
    <x v="1"/>
    <s v="ANT-0431"/>
    <d v="2023-10-07T05:36:00"/>
    <m/>
    <n v="26"/>
    <s v="En Cours"/>
    <n v="-4.6311460000000002"/>
    <n v="25.314723000000001"/>
    <x v="0"/>
    <s v="Huawei"/>
  </r>
  <r>
    <x v="15"/>
    <s v="ANT-0678"/>
    <d v="2023-10-25T05:31:00"/>
    <m/>
    <n v="20"/>
    <s v="Résolu"/>
    <n v="-10.298385"/>
    <n v="29.698117"/>
    <x v="2"/>
    <s v="Nokia"/>
  </r>
  <r>
    <x v="2"/>
    <s v="ANT-0104"/>
    <d v="2023-10-26T02:08:00"/>
    <m/>
    <n v="51"/>
    <s v="Résolu"/>
    <s v="Non trouvé"/>
    <s v="Non trouvé"/>
    <x v="1"/>
    <s v="Non trouvé"/>
  </r>
  <r>
    <x v="8"/>
    <s v="ANT-0679"/>
    <d v="2023-10-20T13:40:00"/>
    <m/>
    <n v="96"/>
    <s v="Résolu"/>
    <n v="-7.1587569999999996"/>
    <n v="18.975141000000001"/>
    <x v="2"/>
    <s v="Ericsson"/>
  </r>
  <r>
    <x v="26"/>
    <s v="ANT-0533"/>
    <d v="2023-10-14T12:27:00"/>
    <m/>
    <n v="88"/>
    <s v="Non Résolu"/>
    <n v="4.8265669999999998"/>
    <n v="28.535277000000001"/>
    <x v="3"/>
    <s v="Huawei"/>
  </r>
  <r>
    <x v="0"/>
    <s v="ANT-0277"/>
    <d v="2023-10-31T15:24:00"/>
    <m/>
    <n v="106"/>
    <s v="Résolu"/>
    <n v="-6.8149179999999996"/>
    <n v="23.258102000000001"/>
    <x v="2"/>
    <s v="Huawei"/>
  </r>
  <r>
    <x v="2"/>
    <s v="ANT-0638"/>
    <d v="2023-10-01T01:34:00"/>
    <m/>
    <n v="9"/>
    <s v="Résolu"/>
    <s v="Non trouvé"/>
    <s v="Non trouvé"/>
    <x v="1"/>
    <s v="Non trouvé"/>
  </r>
  <r>
    <x v="7"/>
    <s v="ANT-0621"/>
    <d v="2023-10-07T23:23:00"/>
    <m/>
    <n v="53"/>
    <s v="Non Résolu"/>
    <n v="-2.926736"/>
    <n v="18.170461"/>
    <x v="2"/>
    <s v="Ericsson"/>
  </r>
  <r>
    <x v="8"/>
    <s v="ANT-0718"/>
    <d v="2023-10-31T00:57:00"/>
    <m/>
    <n v="117"/>
    <s v="Non Résolu"/>
    <n v="1.981107"/>
    <n v="23.932569000000001"/>
    <x v="3"/>
    <s v="Nokia"/>
  </r>
  <r>
    <x v="2"/>
    <s v="ANT-0141"/>
    <d v="2023-10-11T16:12:00"/>
    <m/>
    <n v="86"/>
    <s v="En Cours"/>
    <s v="Non trouvé"/>
    <s v="Non trouvé"/>
    <x v="1"/>
    <s v="Non trouvé"/>
  </r>
  <r>
    <x v="2"/>
    <s v="ANT-0851"/>
    <d v="2023-10-21T23:15:00"/>
    <m/>
    <n v="103"/>
    <s v="Résolu"/>
    <s v="Non trouvé"/>
    <s v="Non trouvé"/>
    <x v="1"/>
    <s v="Non trouvé"/>
  </r>
  <r>
    <x v="7"/>
    <s v="ANT-0921"/>
    <d v="2023-10-08T22:56:00"/>
    <m/>
    <n v="73"/>
    <s v="Non Résolu"/>
    <n v="2.016505"/>
    <n v="14.294164"/>
    <x v="2"/>
    <s v="Huawei"/>
  </r>
  <r>
    <x v="2"/>
    <s v="ANT-0108"/>
    <d v="2023-10-12T09:08:00"/>
    <m/>
    <n v="84"/>
    <s v="Résolu"/>
    <s v="Non trouvé"/>
    <s v="Non trouvé"/>
    <x v="1"/>
    <s v="Non trouvé"/>
  </r>
  <r>
    <x v="20"/>
    <s v="ANT-0524"/>
    <d v="2023-10-04T12:32:00"/>
    <m/>
    <n v="11"/>
    <s v="Non Résolu"/>
    <n v="-7.402336"/>
    <n v="27.376697"/>
    <x v="0"/>
    <s v="Huawei"/>
  </r>
  <r>
    <x v="8"/>
    <s v="ANT-0737"/>
    <d v="2023-10-19T09:10:00"/>
    <m/>
    <n v="81"/>
    <s v="Non Résolu"/>
    <n v="-2.8211520000000001"/>
    <n v="20.651419000000001"/>
    <x v="2"/>
    <s v="Ericsson"/>
  </r>
  <r>
    <x v="2"/>
    <s v="ANT-0633"/>
    <d v="2023-10-03T01:19:00"/>
    <m/>
    <n v="11"/>
    <s v="Résolu"/>
    <s v="Non trouvé"/>
    <s v="Non trouvé"/>
    <x v="1"/>
    <s v="Non trouvé"/>
  </r>
  <r>
    <x v="4"/>
    <s v="ANT-0121"/>
    <d v="2023-10-31T09:29:00"/>
    <m/>
    <n v="89"/>
    <s v="En Cours"/>
    <n v="-7.3952039999999997"/>
    <n v="21.651043999999999"/>
    <x v="0"/>
    <s v="Huawei"/>
  </r>
  <r>
    <x v="2"/>
    <s v="ANT-0290"/>
    <d v="2023-10-24T16:38:00"/>
    <m/>
    <n v="18"/>
    <s v="Non Résolu"/>
    <s v="Non trouvé"/>
    <s v="Non trouvé"/>
    <x v="1"/>
    <s v="Non trouvé"/>
  </r>
  <r>
    <x v="18"/>
    <s v="ANT-0117"/>
    <d v="2023-10-17T10:27:00"/>
    <m/>
    <n v="88"/>
    <s v="Résolu"/>
    <n v="1.938083"/>
    <n v="28.25281"/>
    <x v="0"/>
    <s v="Nokia"/>
  </r>
  <r>
    <x v="12"/>
    <s v="ANT-0804"/>
    <d v="2023-10-29T21:08:00"/>
    <m/>
    <n v="112"/>
    <s v="En Cours"/>
    <n v="-4.1250960000000001"/>
    <n v="27.799897999999999"/>
    <x v="3"/>
    <s v="Nokia"/>
  </r>
  <r>
    <x v="23"/>
    <s v="ANT-0670"/>
    <d v="2023-10-12T21:20:00"/>
    <m/>
    <n v="87"/>
    <s v="Non Résolu"/>
    <n v="-7.1483749999999997"/>
    <n v="26.014271000000001"/>
    <x v="2"/>
    <s v="Huawei"/>
  </r>
  <r>
    <x v="2"/>
    <s v="ANT-0019"/>
    <d v="2023-10-14T23:07:00"/>
    <m/>
    <n v="25"/>
    <s v="Non Résolu"/>
    <s v="Non trouvé"/>
    <s v="Non trouvé"/>
    <x v="1"/>
    <s v="Non trouvé"/>
  </r>
  <r>
    <x v="4"/>
    <s v="ANT-0106"/>
    <d v="2023-10-04T01:00:00"/>
    <m/>
    <n v="69"/>
    <s v="En Cours"/>
    <n v="-2.2876210000000001"/>
    <n v="27.582545"/>
    <x v="0"/>
    <s v="Huawei"/>
  </r>
  <r>
    <x v="11"/>
    <s v="ANT-0414"/>
    <d v="2023-10-28T04:42:00"/>
    <m/>
    <n v="113"/>
    <s v="Non Résolu"/>
    <n v="-7.5418399999999997"/>
    <n v="16.931206"/>
    <x v="3"/>
    <s v="Nokia"/>
  </r>
  <r>
    <x v="6"/>
    <s v="ANT-0423"/>
    <d v="2023-10-21T05:21:00"/>
    <m/>
    <n v="65"/>
    <s v="En Cours"/>
    <n v="-1.3938550000000001"/>
    <n v="15.097554000000001"/>
    <x v="0"/>
    <s v="Huawei"/>
  </r>
  <r>
    <x v="12"/>
    <s v="ANT-0037"/>
    <d v="2023-10-12T14:39:00"/>
    <m/>
    <n v="114"/>
    <s v="Résolu"/>
    <n v="-7.0076900000000002"/>
    <n v="27.367121999999998"/>
    <x v="3"/>
    <s v="Nokia"/>
  </r>
  <r>
    <x v="4"/>
    <s v="ANT-0571"/>
    <d v="2023-10-09T23:05:00"/>
    <m/>
    <n v="68"/>
    <s v="Résolu"/>
    <n v="-2.3269820000000001"/>
    <n v="14.609259"/>
    <x v="3"/>
    <s v="Nokia"/>
  </r>
  <r>
    <x v="15"/>
    <s v="ANT-0563"/>
    <d v="2023-10-12T10:11:00"/>
    <m/>
    <n v="116"/>
    <s v="Non Résolu"/>
    <n v="-1.8555980000000001"/>
    <n v="30.421918000000002"/>
    <x v="3"/>
    <s v="ZTE"/>
  </r>
  <r>
    <x v="0"/>
    <s v="ANT-0001"/>
    <d v="2023-10-04T12:25:00"/>
    <m/>
    <n v="26"/>
    <s v="Résolu"/>
    <n v="-8.1437910000000002"/>
    <n v="28.946161"/>
    <x v="0"/>
    <s v="ZTE"/>
  </r>
  <r>
    <x v="11"/>
    <s v="ANT-0846"/>
    <d v="2023-10-31T14:17:00"/>
    <m/>
    <n v="14"/>
    <s v="Résolu"/>
    <n v="-7.1079169999999996"/>
    <n v="13.636272"/>
    <x v="2"/>
    <s v="Nokia"/>
  </r>
  <r>
    <x v="18"/>
    <s v="ANT-0094"/>
    <d v="2023-10-27T12:44:00"/>
    <m/>
    <n v="101"/>
    <s v="En Cours"/>
    <n v="-10.650321"/>
    <n v="15.917044000000001"/>
    <x v="0"/>
    <s v="Nokia"/>
  </r>
  <r>
    <x v="10"/>
    <s v="ANT-0811"/>
    <d v="2023-10-28T15:51:00"/>
    <m/>
    <n v="67"/>
    <s v="En Cours"/>
    <n v="-5.125"/>
    <n v="23.513119"/>
    <x v="2"/>
    <s v="Huawei"/>
  </r>
  <r>
    <x v="9"/>
    <s v="ANT-0619"/>
    <d v="2023-10-14T20:56:00"/>
    <m/>
    <n v="46"/>
    <s v="Non Résolu"/>
    <n v="-7.513261"/>
    <n v="24.338812000000001"/>
    <x v="2"/>
    <s v="Huawei"/>
  </r>
  <r>
    <x v="2"/>
    <s v="ANT-0987"/>
    <d v="2023-10-26T05:07:00"/>
    <m/>
    <n v="35"/>
    <s v="En Cours"/>
    <s v="Non trouvé"/>
    <s v="Non trouvé"/>
    <x v="1"/>
    <s v="Non trouvé"/>
  </r>
  <r>
    <x v="2"/>
    <s v="ANT-0634"/>
    <d v="2023-10-05T22:46:00"/>
    <m/>
    <n v="47"/>
    <s v="Non Résolu"/>
    <s v="Non trouvé"/>
    <s v="Non trouvé"/>
    <x v="1"/>
    <s v="Non trouvé"/>
  </r>
  <r>
    <x v="15"/>
    <s v="ANT-0653"/>
    <d v="2023-10-02T05:06:00"/>
    <m/>
    <n v="40"/>
    <s v="Non Résolu"/>
    <n v="0.82868600000000003"/>
    <n v="26.958843999999999"/>
    <x v="2"/>
    <s v="ZTE"/>
  </r>
  <r>
    <x v="2"/>
    <s v="ANT-0312"/>
    <d v="2023-10-14T18:30:00"/>
    <m/>
    <n v="11"/>
    <s v="En Cours"/>
    <s v="Non trouvé"/>
    <s v="Non trouvé"/>
    <x v="1"/>
    <s v="Non trouvé"/>
  </r>
  <r>
    <x v="2"/>
    <s v="ANT-0912"/>
    <d v="2023-10-26T18:43:00"/>
    <m/>
    <n v="69"/>
    <s v="Non Résolu"/>
    <s v="Non trouvé"/>
    <s v="Non trouvé"/>
    <x v="1"/>
    <s v="Non trouvé"/>
  </r>
  <r>
    <x v="18"/>
    <s v="ANT-0521"/>
    <d v="2023-10-15T05:39:00"/>
    <m/>
    <n v="33"/>
    <s v="Résolu"/>
    <n v="-10.318835"/>
    <n v="21.252382000000001"/>
    <x v="0"/>
    <s v="Ericsson"/>
  </r>
  <r>
    <x v="2"/>
    <s v="ANT-0576"/>
    <d v="2023-10-13T11:39:00"/>
    <m/>
    <n v="75"/>
    <s v="Résolu"/>
    <s v="Non trouvé"/>
    <s v="Non trouvé"/>
    <x v="1"/>
    <s v="Non trouvé"/>
  </r>
  <r>
    <x v="9"/>
    <s v="ANT-0212"/>
    <d v="2023-10-01T21:56:00"/>
    <m/>
    <n v="87"/>
    <s v="Résolu"/>
    <n v="3.175935"/>
    <n v="16.862832000000001"/>
    <x v="2"/>
    <s v="Ericsson"/>
  </r>
  <r>
    <x v="0"/>
    <s v="ANT-0671"/>
    <d v="2023-10-27T23:57:00"/>
    <m/>
    <n v="53"/>
    <s v="En Cours"/>
    <n v="-7.8373179999999998"/>
    <n v="20.527591999999999"/>
    <x v="0"/>
    <s v="Ericsson"/>
  </r>
  <r>
    <x v="2"/>
    <s v="ANT-0688"/>
    <d v="2023-10-05T15:58:00"/>
    <m/>
    <n v="56"/>
    <s v="Résolu"/>
    <s v="Non trouvé"/>
    <s v="Non trouvé"/>
    <x v="1"/>
    <s v="Non trouvé"/>
  </r>
  <r>
    <x v="2"/>
    <s v="ANT-0468"/>
    <d v="2023-10-16T03:56:00"/>
    <m/>
    <n v="109"/>
    <s v="Non Résolu"/>
    <s v="Non trouvé"/>
    <s v="Non trouvé"/>
    <x v="1"/>
    <s v="Non trouvé"/>
  </r>
  <r>
    <x v="2"/>
    <s v="ANT-0974"/>
    <d v="2023-10-14T14:02:00"/>
    <m/>
    <n v="35"/>
    <s v="Non Résolu"/>
    <s v="Non trouvé"/>
    <s v="Non trouvé"/>
    <x v="1"/>
    <s v="Non trouvé"/>
  </r>
  <r>
    <x v="2"/>
    <s v="ANT-0350"/>
    <d v="2023-10-03T08:41:00"/>
    <m/>
    <n v="15"/>
    <s v="Non Résolu"/>
    <s v="Non trouvé"/>
    <s v="Non trouvé"/>
    <x v="1"/>
    <s v="Non trouvé"/>
  </r>
  <r>
    <x v="25"/>
    <s v="ANT-0373"/>
    <d v="2023-10-11T00:45:00"/>
    <m/>
    <n v="63"/>
    <s v="En Cours"/>
    <n v="-9.0798120000000004"/>
    <n v="14.945484"/>
    <x v="2"/>
    <s v="Ericsson"/>
  </r>
  <r>
    <x v="11"/>
    <s v="ANT-0846"/>
    <d v="2023-10-28T21:33:00"/>
    <m/>
    <n v="61"/>
    <s v="Résolu"/>
    <n v="-7.1079169999999996"/>
    <n v="13.636272"/>
    <x v="2"/>
    <s v="Nokia"/>
  </r>
  <r>
    <x v="1"/>
    <s v="ANT-0056"/>
    <d v="2023-10-25T23:36:00"/>
    <m/>
    <n v="107"/>
    <s v="En Cours"/>
    <n v="-9.3652280000000001"/>
    <n v="18.674116000000001"/>
    <x v="0"/>
    <s v="Huawei"/>
  </r>
  <r>
    <x v="13"/>
    <s v="ANT-0837"/>
    <d v="2023-10-24T18:14:00"/>
    <m/>
    <n v="78"/>
    <s v="Non Résolu"/>
    <n v="-5.3762689999999997"/>
    <n v="28.189575999999999"/>
    <x v="2"/>
    <s v="Huawei"/>
  </r>
  <r>
    <x v="19"/>
    <s v="ANT-0229"/>
    <d v="2023-10-31T21:55:00"/>
    <m/>
    <n v="62"/>
    <s v="Résolu"/>
    <n v="-1.9540519999999999"/>
    <n v="12.667945"/>
    <x v="0"/>
    <s v="Huawei"/>
  </r>
  <r>
    <x v="23"/>
    <s v="ANT-0865"/>
    <d v="2023-10-11T16:33:00"/>
    <m/>
    <n v="16"/>
    <s v="Résolu"/>
    <n v="-4.869434"/>
    <n v="22.326522000000001"/>
    <x v="2"/>
    <s v="Ericsson"/>
  </r>
  <r>
    <x v="6"/>
    <s v="ANT-0466"/>
    <d v="2023-10-23T22:39:00"/>
    <m/>
    <n v="114"/>
    <s v="Résolu"/>
    <n v="-9.6407190000000007"/>
    <n v="21.336704999999998"/>
    <x v="0"/>
    <s v="ZTE"/>
  </r>
  <r>
    <x v="2"/>
    <s v="ANT-0340"/>
    <d v="2023-10-04T13:42:00"/>
    <m/>
    <n v="68"/>
    <s v="En Cours"/>
    <s v="Non trouvé"/>
    <s v="Non trouvé"/>
    <x v="1"/>
    <s v="Non trouvé"/>
  </r>
  <r>
    <x v="2"/>
    <s v="ANT-0574"/>
    <d v="2023-10-24T07:30:00"/>
    <m/>
    <n v="62"/>
    <s v="Résolu"/>
    <s v="Non trouvé"/>
    <s v="Non trouvé"/>
    <x v="1"/>
    <s v="Non trouvé"/>
  </r>
  <r>
    <x v="17"/>
    <s v="ANT-0786"/>
    <d v="2023-10-12T21:43:00"/>
    <m/>
    <n v="45"/>
    <s v="En Cours"/>
    <n v="-12.342053999999999"/>
    <n v="18.756862000000002"/>
    <x v="3"/>
    <s v="Ericsson"/>
  </r>
  <r>
    <x v="2"/>
    <s v="ANT-0635"/>
    <d v="2023-10-21T12:09:00"/>
    <m/>
    <n v="20"/>
    <s v="Résolu"/>
    <s v="Non trouvé"/>
    <s v="Non trouvé"/>
    <x v="1"/>
    <s v="Non trouvé"/>
  </r>
  <r>
    <x v="2"/>
    <s v="ANT-0485"/>
    <d v="2023-10-20T01:00:00"/>
    <m/>
    <n v="100"/>
    <s v="En Cours"/>
    <s v="Non trouvé"/>
    <s v="Non trouvé"/>
    <x v="1"/>
    <s v="Non trouvé"/>
  </r>
  <r>
    <x v="7"/>
    <s v="ANT-0753"/>
    <d v="2023-10-04T14:29:00"/>
    <m/>
    <n v="106"/>
    <s v="Non Résolu"/>
    <n v="-5.1507670000000001"/>
    <n v="28.075324999999999"/>
    <x v="2"/>
    <s v="Huawei"/>
  </r>
  <r>
    <x v="14"/>
    <s v="ANT-0527"/>
    <d v="2023-10-22T18:32:00"/>
    <m/>
    <n v="107"/>
    <s v="Résolu"/>
    <n v="-4.4451280000000004"/>
    <n v="16.536944999999999"/>
    <x v="0"/>
    <s v="Ericsson"/>
  </r>
  <r>
    <x v="4"/>
    <s v="ANT-0123"/>
    <d v="2023-10-05T15:00:00"/>
    <m/>
    <n v="94"/>
    <s v="En Cours"/>
    <n v="-1.6893210000000001"/>
    <n v="30.446543999999999"/>
    <x v="0"/>
    <s v="Huawei"/>
  </r>
  <r>
    <x v="1"/>
    <s v="ANT-0387"/>
    <d v="2023-10-17T23:03:00"/>
    <m/>
    <n v="41"/>
    <s v="Non Résolu"/>
    <n v="-7.5641280000000002"/>
    <n v="18.129529999999999"/>
    <x v="3"/>
    <s v="Huawei"/>
  </r>
  <r>
    <x v="14"/>
    <s v="ANT-0042"/>
    <d v="2023-10-18T13:53:00"/>
    <m/>
    <n v="93"/>
    <s v="Non Résolu"/>
    <n v="-10.735106"/>
    <n v="27.868673999999999"/>
    <x v="3"/>
    <s v="Ericsson"/>
  </r>
  <r>
    <x v="2"/>
    <s v="ANT-0439"/>
    <d v="2023-10-19T15:59:00"/>
    <m/>
    <n v="90"/>
    <s v="En Cours"/>
    <s v="Non trouvé"/>
    <s v="Non trouvé"/>
    <x v="1"/>
    <s v="Non trouvé"/>
  </r>
  <r>
    <x v="2"/>
    <s v="ANT-0570"/>
    <d v="2023-10-19T05:46:00"/>
    <m/>
    <n v="53"/>
    <s v="En Cours"/>
    <s v="Non trouvé"/>
    <s v="Non trouvé"/>
    <x v="1"/>
    <s v="Non trouvé"/>
  </r>
  <r>
    <x v="19"/>
    <s v="ANT-0271"/>
    <d v="2023-10-27T04:06:00"/>
    <m/>
    <n v="54"/>
    <s v="Résolu"/>
    <n v="-5.1030600000000002"/>
    <n v="22.849231"/>
    <x v="2"/>
    <s v="ZTE"/>
  </r>
  <r>
    <x v="25"/>
    <s v="ANT-0134"/>
    <d v="2023-10-13T21:38:00"/>
    <m/>
    <n v="58"/>
    <s v="Résolu"/>
    <n v="-10.963041"/>
    <n v="12.269857"/>
    <x v="0"/>
    <s v="Huawei"/>
  </r>
  <r>
    <x v="17"/>
    <s v="ANT-0165"/>
    <d v="2023-10-20T10:32:00"/>
    <m/>
    <n v="105"/>
    <s v="Non Résolu"/>
    <n v="-0.54908599999999996"/>
    <n v="14.816867"/>
    <x v="2"/>
    <s v="ZTE"/>
  </r>
  <r>
    <x v="2"/>
    <s v="ANT-0599"/>
    <d v="2023-10-29T12:26:00"/>
    <m/>
    <n v="92"/>
    <s v="En Cours"/>
    <s v="Non trouvé"/>
    <s v="Non trouvé"/>
    <x v="1"/>
    <s v="Non trouvé"/>
  </r>
  <r>
    <x v="2"/>
    <s v="ANT-0867"/>
    <d v="2023-10-20T22:48:00"/>
    <m/>
    <n v="45"/>
    <s v="En Cours"/>
    <s v="Non trouvé"/>
    <s v="Non trouvé"/>
    <x v="1"/>
    <s v="Non trouvé"/>
  </r>
  <r>
    <x v="2"/>
    <s v="ANT-0262"/>
    <d v="2023-10-08T08:25:00"/>
    <m/>
    <n v="75"/>
    <s v="En Cours"/>
    <s v="Non trouvé"/>
    <s v="Non trouvé"/>
    <x v="1"/>
    <s v="Non trouvé"/>
  </r>
  <r>
    <x v="4"/>
    <s v="ANT-0006"/>
    <d v="2023-10-31T10:18:00"/>
    <m/>
    <n v="11"/>
    <s v="En Cours"/>
    <n v="-2.8532869999999999"/>
    <n v="22.117896000000002"/>
    <x v="2"/>
    <s v="Huawei"/>
  </r>
  <r>
    <x v="4"/>
    <s v="ANT-0339"/>
    <d v="2023-10-15T04:08:00"/>
    <m/>
    <n v="6"/>
    <s v="Résolu"/>
    <n v="-3.6945459999999999"/>
    <n v="16.809108999999999"/>
    <x v="2"/>
    <s v="ZTE"/>
  </r>
  <r>
    <x v="2"/>
    <s v="ANT-0478"/>
    <d v="2023-10-14T19:44:00"/>
    <m/>
    <n v="100"/>
    <s v="Non Résolu"/>
    <s v="Non trouvé"/>
    <s v="Non trouvé"/>
    <x v="1"/>
    <s v="Non trouvé"/>
  </r>
  <r>
    <x v="2"/>
    <s v="ANT-0727"/>
    <d v="2023-10-29T23:32:00"/>
    <m/>
    <n v="37"/>
    <s v="Non Résolu"/>
    <s v="Non trouvé"/>
    <s v="Non trouvé"/>
    <x v="1"/>
    <s v="Non trouvé"/>
  </r>
  <r>
    <x v="2"/>
    <s v="ANT-0960"/>
    <d v="2023-10-10T22:35:00"/>
    <m/>
    <n v="30"/>
    <s v="En Cours"/>
    <s v="Non trouvé"/>
    <s v="Non trouvé"/>
    <x v="1"/>
    <s v="Non trouvé"/>
  </r>
  <r>
    <x v="21"/>
    <s v="ANT-0159"/>
    <d v="2023-10-28T10:45:00"/>
    <m/>
    <n v="84"/>
    <s v="Non Résolu"/>
    <n v="2.4414509999999998"/>
    <n v="30.167489"/>
    <x v="2"/>
    <s v="Nokia"/>
  </r>
  <r>
    <x v="7"/>
    <s v="ANT-0041"/>
    <d v="2023-10-24T17:40:00"/>
    <m/>
    <n v="116"/>
    <s v="Non Résolu"/>
    <n v="0.16841400000000001"/>
    <n v="30.029876999999999"/>
    <x v="2"/>
    <s v="Huawei"/>
  </r>
  <r>
    <x v="2"/>
    <s v="ANT-0158"/>
    <d v="2023-10-07T06:13:00"/>
    <m/>
    <n v="104"/>
    <s v="Résolu"/>
    <s v="Non trouvé"/>
    <s v="Non trouvé"/>
    <x v="1"/>
    <s v="Non trouvé"/>
  </r>
  <r>
    <x v="2"/>
    <s v="ANT-0951"/>
    <d v="2023-10-20T22:18:00"/>
    <m/>
    <n v="115"/>
    <s v="Résolu"/>
    <s v="Non trouvé"/>
    <s v="Non trouvé"/>
    <x v="1"/>
    <s v="Non trouvé"/>
  </r>
  <r>
    <x v="2"/>
    <s v="ANT-0331"/>
    <d v="2023-10-22T11:58:00"/>
    <m/>
    <n v="116"/>
    <s v="Non Résolu"/>
    <s v="Non trouvé"/>
    <s v="Non trouvé"/>
    <x v="1"/>
    <s v="Non trouvé"/>
  </r>
  <r>
    <x v="25"/>
    <s v="ANT-0612"/>
    <d v="2023-10-22T04:45:00"/>
    <m/>
    <n v="61"/>
    <s v="En Cours"/>
    <n v="-7.5129409999999996"/>
    <n v="18.701522000000001"/>
    <x v="0"/>
    <s v="Nokia"/>
  </r>
  <r>
    <x v="2"/>
    <s v="ANT-0053"/>
    <d v="2023-10-21T05:32:00"/>
    <m/>
    <n v="111"/>
    <s v="En Cours"/>
    <s v="Non trouvé"/>
    <s v="Non trouvé"/>
    <x v="1"/>
    <s v="Non trouvé"/>
  </r>
  <r>
    <x v="2"/>
    <s v="ANT-0793"/>
    <d v="2023-10-18T22:40:00"/>
    <m/>
    <n v="33"/>
    <s v="Résolu"/>
    <s v="Non trouvé"/>
    <s v="Non trouvé"/>
    <x v="1"/>
    <s v="Non trouvé"/>
  </r>
  <r>
    <x v="2"/>
    <s v="ANT-0955"/>
    <d v="2023-10-11T22:07:00"/>
    <m/>
    <n v="86"/>
    <s v="Non Résolu"/>
    <s v="Non trouvé"/>
    <s v="Non trouvé"/>
    <x v="1"/>
    <s v="Non trouvé"/>
  </r>
  <r>
    <x v="26"/>
    <s v="ANT-0641"/>
    <d v="2023-10-25T11:35:00"/>
    <m/>
    <n v="95"/>
    <s v="Non Résolu"/>
    <n v="-2.2371569999999998"/>
    <n v="25.926188"/>
    <x v="3"/>
    <s v="Nokia"/>
  </r>
  <r>
    <x v="5"/>
    <s v="ANT-0631"/>
    <d v="2023-10-16T18:36:00"/>
    <m/>
    <n v="95"/>
    <s v="Non Résolu"/>
    <n v="-0.85624699999999998"/>
    <n v="28.624870000000001"/>
    <x v="3"/>
    <s v="Ericsson"/>
  </r>
  <r>
    <x v="2"/>
    <s v="ANT-0864"/>
    <d v="2023-10-31T21:45:00"/>
    <m/>
    <n v="87"/>
    <s v="Résolu"/>
    <s v="Non trouvé"/>
    <s v="Non trouvé"/>
    <x v="1"/>
    <s v="Non trouvé"/>
  </r>
  <r>
    <x v="15"/>
    <s v="ANT-0678"/>
    <d v="2023-10-14T21:47:00"/>
    <m/>
    <n v="52"/>
    <s v="Résolu"/>
    <n v="-10.298385"/>
    <n v="29.698117"/>
    <x v="2"/>
    <s v="Nokia"/>
  </r>
  <r>
    <x v="2"/>
    <s v="ANT-0309"/>
    <d v="2023-10-29T17:18:00"/>
    <m/>
    <n v="101"/>
    <s v="Non Résolu"/>
    <s v="Non trouvé"/>
    <s v="Non trouvé"/>
    <x v="1"/>
    <s v="Non trouvé"/>
  </r>
  <r>
    <x v="23"/>
    <s v="ANT-0503"/>
    <d v="2023-10-29T13:51:00"/>
    <m/>
    <n v="80"/>
    <s v="En Cours"/>
    <n v="-1.8045979999999999"/>
    <n v="12.511096999999999"/>
    <x v="3"/>
    <s v="Huawei"/>
  </r>
  <r>
    <x v="12"/>
    <s v="ANT-0809"/>
    <d v="2023-10-01T16:06:00"/>
    <m/>
    <n v="74"/>
    <s v="En Cours"/>
    <n v="-4.6426759999999998"/>
    <n v="22.124254000000001"/>
    <x v="0"/>
    <s v="ZTE"/>
  </r>
  <r>
    <x v="7"/>
    <s v="ANT-0587"/>
    <d v="2023-10-01T12:09:00"/>
    <m/>
    <n v="99"/>
    <s v="Résolu"/>
    <n v="-10.945031"/>
    <n v="27.922274000000002"/>
    <x v="0"/>
    <s v="Ericsson"/>
  </r>
  <r>
    <x v="15"/>
    <s v="ANT-0564"/>
    <d v="2023-10-02T21:03:00"/>
    <m/>
    <n v="82"/>
    <s v="En Cours"/>
    <n v="-12.336202"/>
    <n v="13.693683999999999"/>
    <x v="2"/>
    <s v="Huawei"/>
  </r>
  <r>
    <x v="2"/>
    <s v="ANT-0367"/>
    <d v="2023-10-07T08:48:00"/>
    <m/>
    <n v="30"/>
    <s v="En Cours"/>
    <s v="Non trouvé"/>
    <s v="Non trouvé"/>
    <x v="1"/>
    <s v="Non trouvé"/>
  </r>
  <r>
    <x v="14"/>
    <s v="ANT-0075"/>
    <d v="2023-10-26T05:18:00"/>
    <m/>
    <n v="104"/>
    <s v="Non Résolu"/>
    <n v="-8.0800809999999998"/>
    <n v="30.147970999999998"/>
    <x v="2"/>
    <s v="Huawei"/>
  </r>
  <r>
    <x v="2"/>
    <s v="ANT-0803"/>
    <d v="2023-10-22T08:09:00"/>
    <m/>
    <n v="97"/>
    <s v="Non Résolu"/>
    <s v="Non trouvé"/>
    <s v="Non trouvé"/>
    <x v="1"/>
    <s v="Non trouvé"/>
  </r>
  <r>
    <x v="2"/>
    <s v="ANT-0725"/>
    <d v="2023-10-27T01:44:00"/>
    <m/>
    <n v="29"/>
    <s v="En Cours"/>
    <s v="Non trouvé"/>
    <s v="Non trouvé"/>
    <x v="1"/>
    <s v="Non trouvé"/>
  </r>
  <r>
    <x v="2"/>
    <s v="ANT-0326"/>
    <d v="2023-10-26T09:13:00"/>
    <m/>
    <n v="42"/>
    <s v="Résolu"/>
    <s v="Non trouvé"/>
    <s v="Non trouvé"/>
    <x v="1"/>
    <s v="Non trouvé"/>
  </r>
  <r>
    <x v="2"/>
    <s v="ANT-0539"/>
    <d v="2023-10-25T17:02:00"/>
    <m/>
    <n v="62"/>
    <s v="Non Résolu"/>
    <s v="Non trouvé"/>
    <s v="Non trouvé"/>
    <x v="1"/>
    <s v="Non trouvé"/>
  </r>
  <r>
    <x v="3"/>
    <s v="ANT-0226"/>
    <d v="2023-10-12T14:06:00"/>
    <m/>
    <n v="27"/>
    <s v="En Cours"/>
    <n v="-7.8215969999999997"/>
    <n v="26.797349000000001"/>
    <x v="3"/>
    <s v="Ericsson"/>
  </r>
  <r>
    <x v="2"/>
    <s v="ANT-0980"/>
    <d v="2023-10-20T21:47:00"/>
    <m/>
    <n v="92"/>
    <s v="Non Résolu"/>
    <s v="Non trouvé"/>
    <s v="Non trouvé"/>
    <x v="1"/>
    <s v="Non trouvé"/>
  </r>
  <r>
    <x v="2"/>
    <s v="ANT-0189"/>
    <d v="2023-10-18T07:47:00"/>
    <m/>
    <n v="14"/>
    <s v="Non Résolu"/>
    <s v="Non trouvé"/>
    <s v="Non trouvé"/>
    <x v="1"/>
    <s v="Non trouvé"/>
  </r>
  <r>
    <x v="24"/>
    <s v="ANT-0534"/>
    <d v="2023-10-21T17:24:00"/>
    <m/>
    <n v="28"/>
    <s v="En Cours"/>
    <n v="-9.002459"/>
    <n v="25.182109000000001"/>
    <x v="2"/>
    <s v="Huawei"/>
  </r>
  <r>
    <x v="9"/>
    <s v="ANT-0070"/>
    <d v="2023-10-08T16:50:00"/>
    <m/>
    <n v="27"/>
    <s v="En Cours"/>
    <n v="-10.764815"/>
    <n v="14.602039"/>
    <x v="0"/>
    <s v="Nokia"/>
  </r>
  <r>
    <x v="2"/>
    <s v="ANT-0199"/>
    <d v="2023-10-31T17:34:00"/>
    <m/>
    <n v="52"/>
    <s v="Résolu"/>
    <s v="Non trouvé"/>
    <s v="Non trouvé"/>
    <x v="1"/>
    <s v="Non trouvé"/>
  </r>
  <r>
    <x v="2"/>
    <s v="ANT-0118"/>
    <d v="2023-10-01T20:04:00"/>
    <m/>
    <n v="6"/>
    <s v="Résolu"/>
    <s v="Non trouvé"/>
    <s v="Non trouvé"/>
    <x v="1"/>
    <s v="Non trouvé"/>
  </r>
  <r>
    <x v="2"/>
    <s v="ANT-0186"/>
    <d v="2023-10-07T21:40:00"/>
    <m/>
    <n v="75"/>
    <s v="En Cours"/>
    <s v="Non trouvé"/>
    <s v="Non trouvé"/>
    <x v="1"/>
    <s v="Non trouvé"/>
  </r>
  <r>
    <x v="2"/>
    <s v="ANT-0688"/>
    <d v="2023-10-25T06:55:00"/>
    <m/>
    <n v="116"/>
    <s v="En Cours"/>
    <s v="Non trouvé"/>
    <s v="Non trouvé"/>
    <x v="1"/>
    <s v="Non trouvé"/>
  </r>
  <r>
    <x v="2"/>
    <s v="ANT-0819"/>
    <d v="2023-10-22T13:53:00"/>
    <m/>
    <n v="76"/>
    <s v="En Cours"/>
    <s v="Non trouvé"/>
    <s v="Non trouvé"/>
    <x v="1"/>
    <s v="Non trouvé"/>
  </r>
  <r>
    <x v="2"/>
    <s v="ANT-0581"/>
    <d v="2023-10-04T06:34:00"/>
    <m/>
    <n v="23"/>
    <s v="En Cours"/>
    <s v="Non trouvé"/>
    <s v="Non trouvé"/>
    <x v="1"/>
    <s v="Non trouvé"/>
  </r>
  <r>
    <x v="2"/>
    <s v="ANT-0873"/>
    <d v="2023-10-27T22:56:00"/>
    <m/>
    <n v="20"/>
    <s v="Non Résolu"/>
    <s v="Non trouvé"/>
    <s v="Non trouvé"/>
    <x v="1"/>
    <s v="Non trouvé"/>
  </r>
  <r>
    <x v="1"/>
    <s v="ANT-0056"/>
    <d v="2023-10-24T13:41:00"/>
    <m/>
    <n v="10"/>
    <s v="Non Résolu"/>
    <n v="-9.3652280000000001"/>
    <n v="18.674116000000001"/>
    <x v="0"/>
    <s v="Huawei"/>
  </r>
  <r>
    <x v="16"/>
    <s v="ANT-0872"/>
    <d v="2023-10-27T02:47:00"/>
    <m/>
    <n v="5"/>
    <s v="En Cours"/>
    <n v="2.486888"/>
    <n v="23.798074"/>
    <x v="2"/>
    <s v="ZTE"/>
  </r>
  <r>
    <x v="20"/>
    <s v="ANT-0770"/>
    <d v="2023-10-22T04:01:00"/>
    <m/>
    <n v="78"/>
    <s v="Non Résolu"/>
    <n v="2.4741019999999998"/>
    <n v="29.297391000000001"/>
    <x v="0"/>
    <s v="Ericsson"/>
  </r>
  <r>
    <x v="2"/>
    <s v="ANT-0955"/>
    <d v="2023-10-15T22:21:00"/>
    <m/>
    <n v="81"/>
    <s v="Non Résolu"/>
    <s v="Non trouvé"/>
    <s v="Non trouvé"/>
    <x v="1"/>
    <s v="Non trouvé"/>
  </r>
  <r>
    <x v="15"/>
    <s v="ANT-0563"/>
    <d v="2023-10-02T02:04:00"/>
    <m/>
    <n v="55"/>
    <s v="Résolu"/>
    <n v="-1.8555980000000001"/>
    <n v="30.421918000000002"/>
    <x v="3"/>
    <s v="ZTE"/>
  </r>
  <r>
    <x v="2"/>
    <s v="ANT-0473"/>
    <d v="2023-10-02T05:50:00"/>
    <m/>
    <n v="73"/>
    <s v="Non Résolu"/>
    <s v="Non trouvé"/>
    <s v="Non trouvé"/>
    <x v="1"/>
    <s v="Non trouvé"/>
  </r>
  <r>
    <x v="2"/>
    <s v="ANT-0661"/>
    <d v="2023-10-09T17:04:00"/>
    <m/>
    <n v="75"/>
    <s v="Non Résolu"/>
    <s v="Non trouvé"/>
    <s v="Non trouvé"/>
    <x v="1"/>
    <s v="Non trouvé"/>
  </r>
  <r>
    <x v="15"/>
    <s v="ANT-0563"/>
    <d v="2023-10-19T07:58:00"/>
    <m/>
    <n v="15"/>
    <s v="En Cours"/>
    <n v="-1.8555980000000001"/>
    <n v="30.421918000000002"/>
    <x v="3"/>
    <s v="ZTE"/>
  </r>
  <r>
    <x v="14"/>
    <s v="ANT-0075"/>
    <d v="2023-10-09T13:24:00"/>
    <m/>
    <n v="44"/>
    <s v="En Cours"/>
    <n v="-8.0800809999999998"/>
    <n v="30.147970999999998"/>
    <x v="2"/>
    <s v="Huawei"/>
  </r>
  <r>
    <x v="16"/>
    <s v="ANT-0298"/>
    <d v="2023-10-15T20:25:00"/>
    <m/>
    <n v="31"/>
    <s v="En Cours"/>
    <n v="-5.4073029999999997"/>
    <n v="29.762294000000001"/>
    <x v="3"/>
    <s v="Ericsson"/>
  </r>
  <r>
    <x v="2"/>
    <s v="ANT-0688"/>
    <d v="2023-10-14T10:01:00"/>
    <m/>
    <n v="100"/>
    <s v="Résolu"/>
    <s v="Non trouvé"/>
    <s v="Non trouvé"/>
    <x v="1"/>
    <s v="Non trouvé"/>
  </r>
  <r>
    <x v="2"/>
    <s v="ANT-0069"/>
    <d v="2023-10-13T21:07:00"/>
    <m/>
    <n v="99"/>
    <s v="Résolu"/>
    <s v="Non trouvé"/>
    <s v="Non trouvé"/>
    <x v="1"/>
    <s v="Non trouvé"/>
  </r>
  <r>
    <x v="21"/>
    <s v="ANT-0257"/>
    <d v="2023-10-18T00:41:00"/>
    <m/>
    <n v="120"/>
    <s v="En Cours"/>
    <n v="-4.1694589999999998"/>
    <n v="23.376487000000001"/>
    <x v="3"/>
    <s v="Nokia"/>
  </r>
  <r>
    <x v="23"/>
    <s v="ANT-0101"/>
    <d v="2023-10-24T19:04:00"/>
    <m/>
    <n v="97"/>
    <s v="Résolu"/>
    <n v="1.0134879999999999"/>
    <n v="20.363515"/>
    <x v="0"/>
    <s v="Nokia"/>
  </r>
  <r>
    <x v="2"/>
    <s v="ANT-0203"/>
    <d v="2023-10-25T23:37:00"/>
    <m/>
    <n v="49"/>
    <s v="Résolu"/>
    <s v="Non trouvé"/>
    <s v="Non trouvé"/>
    <x v="1"/>
    <s v="Non trouvé"/>
  </r>
  <r>
    <x v="2"/>
    <s v="ANT-0744"/>
    <d v="2023-10-02T22:54:00"/>
    <m/>
    <n v="32"/>
    <s v="Non Résolu"/>
    <s v="Non trouvé"/>
    <s v="Non trouvé"/>
    <x v="1"/>
    <s v="Non trouvé"/>
  </r>
  <r>
    <x v="2"/>
    <s v="ANT-0595"/>
    <d v="2023-10-03T11:59:00"/>
    <m/>
    <n v="57"/>
    <s v="Non Résolu"/>
    <s v="Non trouvé"/>
    <s v="Non trouvé"/>
    <x v="1"/>
    <s v="Non trouvé"/>
  </r>
  <r>
    <x v="13"/>
    <s v="ANT-0499"/>
    <d v="2023-10-17T03:18:00"/>
    <m/>
    <n v="120"/>
    <s v="Non Résolu"/>
    <n v="-7.2267089999999996"/>
    <n v="28.421362999999999"/>
    <x v="2"/>
    <s v="Ericsson"/>
  </r>
  <r>
    <x v="6"/>
    <s v="ANT-0975"/>
    <d v="2023-10-26T21:19:00"/>
    <m/>
    <n v="87"/>
    <s v="En Cours"/>
    <n v="-5.8145569999999998"/>
    <n v="21.942052"/>
    <x v="2"/>
    <s v="Huawei"/>
  </r>
  <r>
    <x v="4"/>
    <s v="ANT-0339"/>
    <d v="2023-10-20T02:18:00"/>
    <m/>
    <n v="113"/>
    <s v="En Cours"/>
    <n v="-3.6945459999999999"/>
    <n v="16.809108999999999"/>
    <x v="2"/>
    <s v="ZTE"/>
  </r>
  <r>
    <x v="2"/>
    <s v="ANT-0366"/>
    <d v="2023-10-25T14:24:00"/>
    <m/>
    <n v="70"/>
    <s v="En Cours"/>
    <s v="Non trouvé"/>
    <s v="Non trouvé"/>
    <x v="1"/>
    <s v="Non trouvé"/>
  </r>
  <r>
    <x v="20"/>
    <s v="ANT-0132"/>
    <d v="2023-10-13T21:01:00"/>
    <m/>
    <n v="23"/>
    <s v="Résolu"/>
    <n v="1.2691650000000001"/>
    <n v="18.789956"/>
    <x v="3"/>
    <s v="Nokia"/>
  </r>
  <r>
    <x v="2"/>
    <s v="ANT-0688"/>
    <d v="2023-10-16T05:34:00"/>
    <m/>
    <n v="25"/>
    <s v="Non Résolu"/>
    <s v="Non trouvé"/>
    <s v="Non trouvé"/>
    <x v="1"/>
    <s v="Non trouvé"/>
  </r>
  <r>
    <x v="2"/>
    <s v="ANT-0672"/>
    <d v="2023-10-08T04:47:00"/>
    <m/>
    <n v="28"/>
    <s v="Non Résolu"/>
    <s v="Non trouvé"/>
    <s v="Non trouvé"/>
    <x v="1"/>
    <s v="Non trouvé"/>
  </r>
  <r>
    <x v="19"/>
    <s v="ANT-0241"/>
    <d v="2023-10-13T17:18:00"/>
    <m/>
    <n v="33"/>
    <s v="En Cours"/>
    <n v="-5.7957599999999996"/>
    <n v="14.078258"/>
    <x v="2"/>
    <s v="Ericsson"/>
  </r>
  <r>
    <x v="3"/>
    <s v="ANT-0103"/>
    <d v="2023-10-31T20:09:00"/>
    <m/>
    <n v="83"/>
    <s v="En Cours"/>
    <n v="-0.79459900000000006"/>
    <n v="26.775570999999999"/>
    <x v="2"/>
    <s v="Huawei"/>
  </r>
  <r>
    <x v="4"/>
    <s v="ANT-0292"/>
    <d v="2023-10-10T21:56:00"/>
    <m/>
    <n v="111"/>
    <s v="En Cours"/>
    <n v="-6.4197189999999997"/>
    <n v="22.287264"/>
    <x v="3"/>
    <s v="Ericsson"/>
  </r>
  <r>
    <x v="2"/>
    <s v="ANT-0635"/>
    <d v="2023-10-30T23:41:00"/>
    <m/>
    <n v="37"/>
    <s v="En Cours"/>
    <s v="Non trouvé"/>
    <s v="Non trouvé"/>
    <x v="1"/>
    <s v="Non trouvé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6">
  <r>
    <n v="1"/>
    <s v="CLI-00007"/>
    <x v="0"/>
    <n v="110"/>
    <s v="Bloqué 5Go"/>
    <s v="B2C"/>
    <n v="112"/>
    <n v="98.95"/>
    <n v="0"/>
    <n v="0"/>
    <n v="5"/>
  </r>
  <r>
    <n v="2"/>
    <s v="CLI-00009"/>
    <x v="1"/>
    <n v="105"/>
    <s v="Pro Monde"/>
    <s v="B2B"/>
    <n v="297"/>
    <n v="84.66"/>
    <n v="0.1"/>
    <n v="8.4659999999999993"/>
    <n v="2"/>
  </r>
  <r>
    <n v="3"/>
    <s v="CLI-00011"/>
    <x v="2"/>
    <n v="49"/>
    <s v="Illimité 50Go"/>
    <s v="B2C"/>
    <n v="86"/>
    <n v="65.400000000000006"/>
    <n v="0"/>
    <n v="0"/>
    <n v="2"/>
  </r>
  <r>
    <n v="4"/>
    <s v="CLI-00012"/>
    <x v="3"/>
    <n v="105"/>
    <s v="Illimité 50Go"/>
    <s v="B2C"/>
    <n v="172"/>
    <n v="15.88"/>
    <n v="0"/>
    <n v="0"/>
    <n v="5"/>
  </r>
  <r>
    <n v="5"/>
    <s v="CLI-00017"/>
    <x v="0"/>
    <n v="29"/>
    <s v="Illimité 50Go"/>
    <s v="B2C"/>
    <n v="124"/>
    <n v="43.83"/>
    <n v="0"/>
    <n v="0"/>
    <n v="5"/>
  </r>
  <r>
    <n v="6"/>
    <s v="CLI-00022"/>
    <x v="4"/>
    <n v="77"/>
    <s v="Premium 5G 150Go"/>
    <s v="B2C"/>
    <n v="488"/>
    <n v="21"/>
    <n v="0.45"/>
    <n v="9.4500000000000011"/>
    <n v="0"/>
  </r>
  <r>
    <n v="7"/>
    <s v="CLI-00028"/>
    <x v="1"/>
    <n v="18"/>
    <s v="Pro Monde"/>
    <s v="B2B"/>
    <n v="216"/>
    <n v="33.74"/>
    <n v="0.1"/>
    <n v="3.3740000000000006"/>
    <n v="5"/>
  </r>
  <r>
    <n v="8"/>
    <s v="CLI-00029"/>
    <x v="5"/>
    <n v="119"/>
    <s v="Pro Monde"/>
    <s v="B2B"/>
    <n v="344"/>
    <n v="10.28"/>
    <n v="0.1"/>
    <n v="1.028"/>
    <n v="0"/>
  </r>
  <r>
    <n v="9"/>
    <s v="CLI-00033"/>
    <x v="6"/>
    <n v="2"/>
    <s v="Premium 5G 150Go"/>
    <s v="B2C"/>
    <n v="201"/>
    <n v="71.900000000000006"/>
    <n v="0"/>
    <n v="0"/>
    <n v="2"/>
  </r>
  <r>
    <n v="10"/>
    <s v="CLI-00034"/>
    <x v="3"/>
    <n v="25"/>
    <s v="Bloqué 5Go"/>
    <s v="B2C"/>
    <n v="95"/>
    <n v="15.93"/>
    <n v="0"/>
    <n v="0"/>
    <n v="4"/>
  </r>
  <r>
    <n v="11"/>
    <s v="CLI-00037"/>
    <x v="0"/>
    <n v="35"/>
    <s v="Premium 5G 150Go"/>
    <s v="B2C"/>
    <n v="332"/>
    <n v="11.15"/>
    <n v="0.45"/>
    <n v="5.0175000000000001"/>
    <n v="0"/>
  </r>
  <r>
    <n v="12"/>
    <s v="CLI-00039"/>
    <x v="7"/>
    <n v="119"/>
    <s v="Pro Monde"/>
    <s v="B2B"/>
    <n v="31"/>
    <n v="21.27"/>
    <n v="0.1"/>
    <n v="2.1270000000000002"/>
    <n v="5"/>
  </r>
  <r>
    <n v="13"/>
    <s v="CLI-00041"/>
    <x v="8"/>
    <n v="103"/>
    <s v="Pro Monde"/>
    <s v="B2B"/>
    <n v="105"/>
    <n v="61.52"/>
    <n v="0.1"/>
    <n v="6.152000000000001"/>
    <n v="3"/>
  </r>
  <r>
    <n v="14"/>
    <s v="CLI-00043"/>
    <x v="9"/>
    <n v="118"/>
    <s v="Pro Monde"/>
    <s v="B2B"/>
    <n v="132"/>
    <n v="40.880000000000003"/>
    <n v="0.1"/>
    <n v="4.0880000000000001"/>
    <n v="4"/>
  </r>
  <r>
    <n v="15"/>
    <s v="CLI-00044"/>
    <x v="10"/>
    <n v="53"/>
    <s v="Illimité 50Go"/>
    <s v="B2C"/>
    <n v="345"/>
    <n v="83.73"/>
    <n v="0.45"/>
    <n v="37.6785"/>
    <n v="0"/>
  </r>
  <r>
    <n v="16"/>
    <s v="CLI-00045"/>
    <x v="0"/>
    <n v="33"/>
    <s v="Bloqué 5Go"/>
    <s v="B2C"/>
    <n v="54"/>
    <n v="71.319999999999993"/>
    <n v="0"/>
    <n v="0"/>
    <n v="4"/>
  </r>
  <r>
    <n v="17"/>
    <s v="CLI-00048"/>
    <x v="8"/>
    <n v="16"/>
    <s v="Bloqué 5Go"/>
    <s v="B2C"/>
    <n v="461"/>
    <n v="38.369999999999997"/>
    <n v="0.45"/>
    <n v="17.266500000000001"/>
    <n v="4"/>
  </r>
  <r>
    <n v="18"/>
    <s v="CLI-00054"/>
    <x v="11"/>
    <n v="34"/>
    <s v="Bloqué 5Go"/>
    <s v="B2C"/>
    <n v="40"/>
    <n v="65.709999999999994"/>
    <n v="0"/>
    <n v="0"/>
    <n v="5"/>
  </r>
  <r>
    <n v="19"/>
    <s v="CLI-00055"/>
    <x v="12"/>
    <n v="6"/>
    <s v="Pro Monde"/>
    <s v="B2B"/>
    <n v="206"/>
    <n v="10"/>
    <n v="0.1"/>
    <n v="1"/>
    <n v="5"/>
  </r>
  <r>
    <n v="20"/>
    <s v="CLI-00057"/>
    <x v="13"/>
    <n v="4"/>
    <s v="Bloqué 5Go"/>
    <s v="B2C"/>
    <n v="182"/>
    <n v="89.56"/>
    <n v="0"/>
    <n v="0"/>
    <n v="4"/>
  </r>
  <r>
    <n v="21"/>
    <s v="CLI-00059"/>
    <x v="14"/>
    <n v="69"/>
    <s v="Pro Monde"/>
    <s v="B2B"/>
    <n v="76"/>
    <n v="91.8"/>
    <n v="0.1"/>
    <n v="9.18"/>
    <n v="5"/>
  </r>
  <r>
    <n v="22"/>
    <s v="CLI-00060"/>
    <x v="15"/>
    <s v=" "/>
    <s v="Pro Monde"/>
    <s v="B2B"/>
    <n v="160"/>
    <n v="90.13"/>
    <n v="0.1"/>
    <n v="9.0129999999999999"/>
    <n v="2"/>
  </r>
  <r>
    <n v="23"/>
    <s v="CLI-00070"/>
    <x v="16"/>
    <n v="52"/>
    <s v="Illimité 50Go"/>
    <s v="B2C"/>
    <n v="119"/>
    <n v="64.709999999999994"/>
    <n v="0"/>
    <n v="0"/>
    <n v="4"/>
  </r>
  <r>
    <n v="24"/>
    <s v="CLI-00072"/>
    <x v="13"/>
    <n v="67"/>
    <s v="Illimité 50Go"/>
    <s v="B2C"/>
    <n v="264"/>
    <n v="97.89"/>
    <n v="0.45"/>
    <n v="44.0505"/>
    <n v="1"/>
  </r>
  <r>
    <n v="25"/>
    <s v="CLI-00074"/>
    <x v="3"/>
    <n v="78"/>
    <s v="Premium 5G 150Go"/>
    <s v="B2C"/>
    <n v="60"/>
    <n v="33.159999999999997"/>
    <n v="0"/>
    <n v="0"/>
    <n v="5"/>
  </r>
  <r>
    <n v="26"/>
    <s v="CLI-00076"/>
    <x v="14"/>
    <n v="46"/>
    <s v="Premium 5G 150Go"/>
    <s v="B2C"/>
    <n v="283"/>
    <n v="56.05"/>
    <n v="0.45"/>
    <n v="25.2225"/>
    <n v="1"/>
  </r>
  <r>
    <n v="27"/>
    <s v="CLI-00083"/>
    <x v="12"/>
    <n v="17"/>
    <s v="Premium 5G 150Go"/>
    <s v="B2C"/>
    <n v="499"/>
    <n v="27.81"/>
    <n v="0.45"/>
    <n v="12.5145"/>
    <n v="2"/>
  </r>
  <r>
    <n v="28"/>
    <s v="CLI-00084"/>
    <x v="3"/>
    <n v="15"/>
    <s v="Premium 5G 150Go"/>
    <s v="B2C"/>
    <n v="75"/>
    <n v="45.59"/>
    <n v="0"/>
    <n v="0"/>
    <n v="0"/>
  </r>
  <r>
    <n v="29"/>
    <s v="CLI-00085"/>
    <x v="2"/>
    <n v="106"/>
    <s v="Pro Monde"/>
    <s v="B2B"/>
    <n v="429"/>
    <n v="23.83"/>
    <n v="0.1"/>
    <n v="2.383"/>
    <n v="1"/>
  </r>
  <r>
    <n v="30"/>
    <s v="CLI-00087"/>
    <x v="13"/>
    <n v="14"/>
    <s v="Premium 5G 150Go"/>
    <s v="B2C"/>
    <n v="75"/>
    <n v="55.67"/>
    <n v="0"/>
    <n v="0"/>
    <n v="3"/>
  </r>
  <r>
    <n v="31"/>
    <s v="CLI-00090"/>
    <x v="17"/>
    <n v="15"/>
    <s v="Bloqué 5Go"/>
    <s v="B2C"/>
    <n v="400"/>
    <n v="78.09"/>
    <n v="0.45"/>
    <n v="35.140500000000003"/>
    <n v="0"/>
  </r>
  <r>
    <n v="32"/>
    <s v="CLI-00091"/>
    <x v="18"/>
    <n v="50"/>
    <s v="Bloqué 5Go"/>
    <s v="B2C"/>
    <n v="435"/>
    <n v="27.86"/>
    <n v="0.45"/>
    <n v="12.537000000000001"/>
    <n v="3"/>
  </r>
  <r>
    <n v="33"/>
    <s v="CLI-00093"/>
    <x v="7"/>
    <n v="12"/>
    <s v="Pro Monde"/>
    <s v="B2B"/>
    <n v="42"/>
    <n v="48.64"/>
    <n v="0.1"/>
    <n v="4.8640000000000008"/>
    <n v="0"/>
  </r>
  <r>
    <n v="34"/>
    <s v="CLI-00094"/>
    <x v="19"/>
    <n v="29"/>
    <s v="Pro Monde"/>
    <s v="B2B"/>
    <n v="493"/>
    <n v="42.02"/>
    <n v="0.1"/>
    <n v="4.2020000000000008"/>
    <n v="1"/>
  </r>
  <r>
    <n v="35"/>
    <s v="CLI-00098"/>
    <x v="4"/>
    <n v="42"/>
    <s v="Pro Monde"/>
    <s v="B2B"/>
    <n v="167"/>
    <n v="45.85"/>
    <n v="0.1"/>
    <n v="4.585"/>
    <n v="2"/>
  </r>
  <r>
    <n v="36"/>
    <s v="CLI-00100"/>
    <x v="20"/>
    <n v="74"/>
    <s v="Bloqué 5Go"/>
    <s v="B2C"/>
    <n v="388"/>
    <n v="10.89"/>
    <n v="0.45"/>
    <n v="4.9005000000000001"/>
    <n v="4"/>
  </r>
  <r>
    <n v="37"/>
    <s v="CLI-00102"/>
    <x v="12"/>
    <n v="93"/>
    <s v="Premium 5G 150Go"/>
    <s v="B2C"/>
    <n v="150"/>
    <n v="93.25"/>
    <n v="0"/>
    <n v="0"/>
    <n v="3"/>
  </r>
  <r>
    <n v="38"/>
    <s v="CLI-00105"/>
    <x v="6"/>
    <n v="19"/>
    <s v="Bloqué 5Go"/>
    <s v="B2C"/>
    <n v="345"/>
    <n v="54.37"/>
    <n v="0.45"/>
    <n v="24.4665"/>
    <n v="2"/>
  </r>
  <r>
    <n v="39"/>
    <s v="CLI-00107"/>
    <x v="21"/>
    <n v="82"/>
    <s v="Premium 5G 150Go"/>
    <s v="B2C"/>
    <n v="88"/>
    <n v="86.64"/>
    <n v="0"/>
    <n v="0"/>
    <n v="1"/>
  </r>
  <r>
    <n v="40"/>
    <s v="CLI-00109"/>
    <x v="2"/>
    <n v="42"/>
    <s v="Bloqué 5Go"/>
    <s v="B2C"/>
    <n v="436"/>
    <n v="88.12"/>
    <n v="0.45"/>
    <n v="39.654000000000003"/>
    <n v="0"/>
  </r>
  <r>
    <n v="41"/>
    <s v="CLI-00112"/>
    <x v="22"/>
    <n v="98"/>
    <s v="Bloqué 5Go"/>
    <s v="B2C"/>
    <n v="52"/>
    <n v="52.82"/>
    <n v="0"/>
    <n v="0"/>
    <n v="2"/>
  </r>
  <r>
    <n v="42"/>
    <s v="CLI-00114"/>
    <x v="5"/>
    <n v="59"/>
    <s v="Illimité 50Go"/>
    <s v="B2C"/>
    <n v="454"/>
    <n v="10.47"/>
    <n v="0.45"/>
    <n v="4.7115"/>
    <n v="5"/>
  </r>
  <r>
    <n v="43"/>
    <s v="CLI-00115"/>
    <x v="17"/>
    <n v="25"/>
    <s v="Premium 5G 150Go"/>
    <s v="B2C"/>
    <n v="64"/>
    <n v="38.950000000000003"/>
    <n v="0"/>
    <n v="0"/>
    <n v="5"/>
  </r>
  <r>
    <n v="44"/>
    <s v="CLI-00121"/>
    <x v="13"/>
    <n v="43"/>
    <s v="Premium 5G 150Go"/>
    <s v="B2C"/>
    <n v="486"/>
    <n v="76.42"/>
    <n v="0.45"/>
    <n v="34.389000000000003"/>
    <n v="1"/>
  </r>
  <r>
    <n v="45"/>
    <s v="CLI-00125"/>
    <x v="17"/>
    <n v="108"/>
    <s v="Bloqué 5Go"/>
    <s v="B2C"/>
    <n v="467"/>
    <n v="44.84"/>
    <n v="0.45"/>
    <n v="20.178000000000001"/>
    <n v="4"/>
  </r>
  <r>
    <n v="46"/>
    <s v="CLI-00131"/>
    <x v="10"/>
    <n v="101"/>
    <s v="Pro Monde"/>
    <s v="B2B"/>
    <n v="176"/>
    <n v="86"/>
    <n v="0.1"/>
    <n v="8.6"/>
    <n v="3"/>
  </r>
  <r>
    <n v="47"/>
    <s v="CLI-00136"/>
    <x v="14"/>
    <n v="120"/>
    <s v="Illimité 50Go"/>
    <s v="B2C"/>
    <n v="224"/>
    <n v="69.36"/>
    <n v="0"/>
    <n v="0"/>
    <n v="0"/>
  </r>
  <r>
    <n v="48"/>
    <s v="CLI-00145"/>
    <x v="20"/>
    <n v="23"/>
    <s v="Bloqué 5Go"/>
    <s v="B2C"/>
    <n v="325"/>
    <n v="65.489999999999995"/>
    <n v="0.45"/>
    <n v="29.470499999999998"/>
    <n v="1"/>
  </r>
  <r>
    <n v="49"/>
    <s v="CLI-00150"/>
    <x v="10"/>
    <n v="12"/>
    <s v="Pro Monde"/>
    <s v="B2B"/>
    <n v="125"/>
    <n v="36.93"/>
    <n v="0.1"/>
    <n v="3.6930000000000001"/>
    <n v="0"/>
  </r>
  <r>
    <n v="50"/>
    <s v="CLI-00157"/>
    <x v="7"/>
    <n v="12"/>
    <s v="Illimité 50Go"/>
    <s v="B2C"/>
    <n v="112"/>
    <n v="82.81"/>
    <n v="0"/>
    <n v="0"/>
    <n v="0"/>
  </r>
  <r>
    <n v="51"/>
    <s v="CLI-00158"/>
    <x v="21"/>
    <n v="35"/>
    <s v="Pro Monde"/>
    <s v="B2B"/>
    <n v="445"/>
    <n v="24.11"/>
    <n v="0.1"/>
    <n v="2.411"/>
    <n v="2"/>
  </r>
  <r>
    <n v="52"/>
    <s v="CLI-00161"/>
    <x v="7"/>
    <n v="43"/>
    <s v="Premium 5G 150Go"/>
    <s v="B2C"/>
    <n v="27"/>
    <n v="31.48"/>
    <n v="0"/>
    <n v="0"/>
    <n v="5"/>
  </r>
  <r>
    <n v="53"/>
    <s v="CLI-00163"/>
    <x v="8"/>
    <n v="81"/>
    <s v="Illimité 50Go"/>
    <s v="B2C"/>
    <n v="11"/>
    <n v="41.76"/>
    <n v="0"/>
    <n v="0"/>
    <n v="5"/>
  </r>
  <r>
    <n v="54"/>
    <s v="CLI-00165"/>
    <x v="18"/>
    <n v="102"/>
    <s v="Premium 5G 150Go"/>
    <s v="B2C"/>
    <n v="402"/>
    <n v="28.38"/>
    <n v="0.45"/>
    <n v="12.770999999999999"/>
    <n v="5"/>
  </r>
  <r>
    <n v="55"/>
    <s v="CLI-00167"/>
    <x v="21"/>
    <n v="84"/>
    <s v="Bloqué 5Go"/>
    <s v="B2C"/>
    <n v="380"/>
    <n v="82.3"/>
    <n v="0.45"/>
    <n v="37.034999999999997"/>
    <n v="1"/>
  </r>
  <r>
    <n v="56"/>
    <s v="CLI-00168"/>
    <x v="17"/>
    <n v="22"/>
    <s v="Pro Monde"/>
    <s v="B2B"/>
    <n v="457"/>
    <n v="13.21"/>
    <n v="0.1"/>
    <n v="1.3210000000000002"/>
    <n v="1"/>
  </r>
  <r>
    <n v="57"/>
    <s v="CLI-00169"/>
    <x v="13"/>
    <n v="91"/>
    <s v="Bloqué 5Go"/>
    <s v="B2C"/>
    <n v="188"/>
    <n v="65.78"/>
    <n v="0"/>
    <n v="0"/>
    <n v="4"/>
  </r>
  <r>
    <n v="58"/>
    <s v="CLI-00171"/>
    <x v="5"/>
    <n v="1"/>
    <s v="Bloqué 5Go"/>
    <s v="B2C"/>
    <n v="135"/>
    <n v="89.16"/>
    <n v="0"/>
    <n v="0"/>
    <n v="3"/>
  </r>
  <r>
    <n v="59"/>
    <s v="CLI-00172"/>
    <x v="15"/>
    <n v="15"/>
    <s v="Pro Monde"/>
    <s v="B2B"/>
    <n v="403"/>
    <n v="77.12"/>
    <n v="0.1"/>
    <n v="7.7120000000000006"/>
    <n v="1"/>
  </r>
  <r>
    <n v="60"/>
    <s v="CLI-00173"/>
    <x v="16"/>
    <n v="50"/>
    <s v="Pro Monde"/>
    <s v="B2B"/>
    <n v="108"/>
    <n v="43.81"/>
    <n v="0.1"/>
    <n v="4.3810000000000002"/>
    <n v="5"/>
  </r>
  <r>
    <n v="61"/>
    <s v="CLI-00176"/>
    <x v="7"/>
    <n v="19"/>
    <s v="Bloqué 5Go"/>
    <s v="B2C"/>
    <n v="305"/>
    <n v="81.11"/>
    <n v="0.45"/>
    <n v="36.499499999999998"/>
    <n v="1"/>
  </r>
  <r>
    <n v="62"/>
    <s v="CLI-00177"/>
    <x v="10"/>
    <n v="56"/>
    <s v="Bloqué 5Go"/>
    <s v="B2C"/>
    <n v="27"/>
    <n v="46.41"/>
    <n v="0"/>
    <n v="0"/>
    <n v="3"/>
  </r>
  <r>
    <n v="63"/>
    <s v="CLI-00180"/>
    <x v="15"/>
    <n v="39"/>
    <s v="Pro Monde"/>
    <s v="B2B"/>
    <n v="289"/>
    <n v="86.7"/>
    <n v="0.1"/>
    <n v="8.67"/>
    <n v="3"/>
  </r>
  <r>
    <n v="64"/>
    <s v="CLI-00183"/>
    <x v="17"/>
    <n v="98"/>
    <s v="Premium 5G 150Go"/>
    <s v="B2C"/>
    <n v="319"/>
    <n v="88.58"/>
    <n v="0.45"/>
    <n v="39.860999999999997"/>
    <n v="0"/>
  </r>
  <r>
    <n v="65"/>
    <s v="CLI-00184"/>
    <x v="23"/>
    <n v="71"/>
    <s v="Premium 5G 150Go"/>
    <s v="B2C"/>
    <n v="191"/>
    <n v="83.04"/>
    <n v="0"/>
    <n v="0"/>
    <n v="4"/>
  </r>
  <r>
    <n v="66"/>
    <s v="CLI-00185"/>
    <x v="7"/>
    <n v="81"/>
    <s v="Pro Monde"/>
    <s v="B2B"/>
    <n v="154"/>
    <n v="19.47"/>
    <n v="0.1"/>
    <n v="1.9470000000000001"/>
    <n v="3"/>
  </r>
  <r>
    <n v="67"/>
    <s v="CLI-00190"/>
    <x v="14"/>
    <n v="34"/>
    <s v="Bloqué 5Go"/>
    <s v="B2C"/>
    <n v="35"/>
    <n v="76.86"/>
    <n v="0"/>
    <n v="0"/>
    <n v="1"/>
  </r>
  <r>
    <n v="68"/>
    <s v="CLI-00191"/>
    <x v="14"/>
    <n v="55"/>
    <s v="Illimité 50Go"/>
    <s v="B2C"/>
    <n v="60"/>
    <n v="32.51"/>
    <n v="0"/>
    <n v="0"/>
    <n v="4"/>
  </r>
  <r>
    <n v="69"/>
    <s v="CLI-00192"/>
    <x v="20"/>
    <n v="47"/>
    <s v="Pro Monde"/>
    <s v="B2B"/>
    <n v="107"/>
    <n v="35.380000000000003"/>
    <n v="0.1"/>
    <n v="3.5380000000000003"/>
    <n v="1"/>
  </r>
  <r>
    <n v="70"/>
    <s v="CLI-00194"/>
    <x v="9"/>
    <n v="48"/>
    <s v="Illimité 50Go"/>
    <s v="B2C"/>
    <n v="187"/>
    <n v="21.26"/>
    <n v="0"/>
    <n v="0"/>
    <n v="2"/>
  </r>
  <r>
    <n v="71"/>
    <s v="CLI-00196"/>
    <x v="9"/>
    <n v="47"/>
    <s v="Pro Monde"/>
    <s v="B2B"/>
    <n v="378"/>
    <n v="36.42"/>
    <n v="0.1"/>
    <n v="3.6420000000000003"/>
    <n v="1"/>
  </r>
  <r>
    <n v="72"/>
    <s v="CLI-00197"/>
    <x v="24"/>
    <n v="109"/>
    <s v="Illimité 50Go"/>
    <s v="B2C"/>
    <n v="84"/>
    <n v="97.46"/>
    <n v="0"/>
    <n v="0"/>
    <n v="5"/>
  </r>
  <r>
    <n v="73"/>
    <s v="CLI-00206"/>
    <x v="5"/>
    <n v="40"/>
    <s v="Illimité 50Go"/>
    <s v="B2C"/>
    <n v="219"/>
    <n v="53.98"/>
    <n v="0"/>
    <n v="0"/>
    <n v="2"/>
  </r>
  <r>
    <n v="74"/>
    <s v="CLI-00211"/>
    <x v="6"/>
    <n v="56"/>
    <s v="Illimité 50Go"/>
    <s v="B2C"/>
    <n v="367"/>
    <n v="72.790000000000006"/>
    <n v="0.45"/>
    <n v="32.755500000000005"/>
    <n v="1"/>
  </r>
  <r>
    <n v="75"/>
    <s v="CLI-00218"/>
    <x v="1"/>
    <n v="111"/>
    <s v="Bloqué 5Go"/>
    <s v="B2C"/>
    <n v="76"/>
    <n v="38.19"/>
    <n v="0"/>
    <n v="0"/>
    <n v="5"/>
  </r>
  <r>
    <n v="76"/>
    <s v="CLI-00219"/>
    <x v="24"/>
    <n v="99"/>
    <s v="Illimité 50Go"/>
    <s v="B2C"/>
    <n v="493"/>
    <n v="55.43"/>
    <n v="0.45"/>
    <n v="24.9435"/>
    <n v="2"/>
  </r>
  <r>
    <n v="77"/>
    <s v="CLI-00221"/>
    <x v="22"/>
    <n v="56"/>
    <s v="Premium 5G 150Go"/>
    <s v="B2C"/>
    <n v="354"/>
    <n v="32.08"/>
    <n v="0.45"/>
    <n v="14.436"/>
    <n v="1"/>
  </r>
  <r>
    <n v="78"/>
    <s v="CLI-00227"/>
    <x v="10"/>
    <n v="118"/>
    <s v="Pro Monde"/>
    <s v="B2B"/>
    <n v="22"/>
    <n v="15.39"/>
    <n v="0.1"/>
    <n v="1.5390000000000001"/>
    <n v="1"/>
  </r>
  <r>
    <n v="79"/>
    <s v="CLI-00230"/>
    <x v="11"/>
    <n v="59"/>
    <s v="Illimité 50Go"/>
    <s v="B2C"/>
    <n v="192"/>
    <n v="86.17"/>
    <n v="0"/>
    <n v="0"/>
    <n v="1"/>
  </r>
  <r>
    <n v="80"/>
    <s v="CLI-00231"/>
    <x v="21"/>
    <n v="17"/>
    <s v="Bloqué 5Go"/>
    <s v="B2C"/>
    <n v="404"/>
    <n v="83.4"/>
    <n v="0.45"/>
    <n v="37.53"/>
    <n v="1"/>
  </r>
  <r>
    <n v="81"/>
    <s v="CLI-00232"/>
    <x v="0"/>
    <n v="69"/>
    <s v="Bloqué 5Go"/>
    <s v="B2C"/>
    <n v="306"/>
    <n v="13.97"/>
    <n v="0.45"/>
    <n v="6.2865000000000002"/>
    <n v="1"/>
  </r>
  <r>
    <n v="82"/>
    <s v="CLI-00234"/>
    <x v="18"/>
    <n v="93"/>
    <s v="Premium 5G 150Go"/>
    <s v="B2C"/>
    <n v="136"/>
    <n v="19.09"/>
    <n v="0"/>
    <n v="0"/>
    <n v="1"/>
  </r>
  <r>
    <n v="83"/>
    <s v="CLI-00238"/>
    <x v="15"/>
    <n v="43"/>
    <s v="Bloqué 5Go"/>
    <s v="B2C"/>
    <n v="20"/>
    <n v="66.680000000000007"/>
    <n v="0"/>
    <n v="0"/>
    <n v="5"/>
  </r>
  <r>
    <n v="84"/>
    <s v="CLI-00239"/>
    <x v="2"/>
    <n v="119"/>
    <s v="Illimité 50Go"/>
    <s v="B2C"/>
    <n v="475"/>
    <n v="25.98"/>
    <n v="0.45"/>
    <n v="11.691000000000001"/>
    <n v="4"/>
  </r>
  <r>
    <n v="85"/>
    <s v="CLI-00240"/>
    <x v="1"/>
    <n v="41"/>
    <s v="Bloqué 5Go"/>
    <s v="B2C"/>
    <n v="425"/>
    <n v="42.33"/>
    <n v="0.45"/>
    <n v="19.048500000000001"/>
    <n v="3"/>
  </r>
  <r>
    <n v="86"/>
    <s v="CLI-00241"/>
    <x v="0"/>
    <n v="50"/>
    <s v="Bloqué 5Go"/>
    <s v="B2C"/>
    <n v="248"/>
    <n v="69.42"/>
    <n v="0.45"/>
    <n v="31.239000000000001"/>
    <n v="0"/>
  </r>
  <r>
    <n v="87"/>
    <s v="CLI-00243"/>
    <x v="11"/>
    <n v="47"/>
    <s v="Illimité 50Go"/>
    <s v="B2C"/>
    <n v="340"/>
    <n v="31.02"/>
    <n v="0.45"/>
    <n v="13.959"/>
    <n v="5"/>
  </r>
  <r>
    <n v="88"/>
    <s v="CLI-00247"/>
    <x v="19"/>
    <n v="52"/>
    <s v="Premium 5G 150Go"/>
    <s v="B2C"/>
    <n v="425"/>
    <n v="97.25"/>
    <n v="0.45"/>
    <n v="43.762500000000003"/>
    <n v="0"/>
  </r>
  <r>
    <n v="89"/>
    <s v="CLI-00248"/>
    <x v="17"/>
    <n v="20"/>
    <s v="Bloqué 5Go"/>
    <s v="B2C"/>
    <n v="26"/>
    <n v="25.14"/>
    <n v="0"/>
    <n v="0"/>
    <n v="0"/>
  </r>
  <r>
    <n v="90"/>
    <s v="CLI-00250"/>
    <x v="20"/>
    <n v="43"/>
    <s v="Bloqué 5Go"/>
    <s v="B2C"/>
    <n v="181"/>
    <n v="72.39"/>
    <n v="0"/>
    <n v="0"/>
    <n v="2"/>
  </r>
  <r>
    <n v="91"/>
    <s v="CLI-00251"/>
    <x v="8"/>
    <n v="44"/>
    <s v="Pro Monde"/>
    <s v="B2B"/>
    <n v="137"/>
    <n v="32.58"/>
    <n v="0.1"/>
    <n v="3.258"/>
    <n v="0"/>
  </r>
  <r>
    <n v="92"/>
    <s v="CLI-00254"/>
    <x v="5"/>
    <n v="95"/>
    <s v="Pro Monde"/>
    <s v="B2B"/>
    <n v="127"/>
    <n v="94.9"/>
    <n v="0.1"/>
    <n v="9.49"/>
    <n v="4"/>
  </r>
  <r>
    <n v="93"/>
    <s v="CLI-00257"/>
    <x v="9"/>
    <n v="63"/>
    <s v="Pro Monde"/>
    <s v="B2B"/>
    <n v="449"/>
    <n v="37.08"/>
    <n v="0.1"/>
    <n v="3.7080000000000002"/>
    <n v="0"/>
  </r>
  <r>
    <n v="94"/>
    <s v="CLI-00262"/>
    <x v="8"/>
    <n v="24"/>
    <s v="Illimité 50Go"/>
    <s v="B2C"/>
    <n v="392"/>
    <n v="27.06"/>
    <n v="0.45"/>
    <n v="12.177"/>
    <n v="1"/>
  </r>
  <r>
    <n v="95"/>
    <s v="CLI-00265"/>
    <x v="0"/>
    <n v="9"/>
    <s v="Bloqué 5Go"/>
    <s v="B2C"/>
    <n v="11"/>
    <n v="72.36"/>
    <n v="0"/>
    <n v="0"/>
    <n v="2"/>
  </r>
  <r>
    <n v="96"/>
    <s v="CLI-00267"/>
    <x v="15"/>
    <n v="11"/>
    <s v="Bloqué 5Go"/>
    <s v="B2C"/>
    <n v="52"/>
    <n v="76.53"/>
    <n v="0"/>
    <n v="0"/>
    <n v="5"/>
  </r>
  <r>
    <n v="97"/>
    <s v="CLI-00269"/>
    <x v="23"/>
    <n v="57"/>
    <s v="Bloqué 5Go"/>
    <s v="B2C"/>
    <n v="493"/>
    <n v="43.98"/>
    <n v="0.45"/>
    <n v="19.791"/>
    <n v="3"/>
  </r>
  <r>
    <n v="98"/>
    <s v="CLI-00271"/>
    <x v="22"/>
    <n v="40"/>
    <s v="Bloqué 5Go"/>
    <s v="B2C"/>
    <n v="38"/>
    <n v="17.63"/>
    <n v="0"/>
    <n v="0"/>
    <n v="0"/>
  </r>
  <r>
    <n v="99"/>
    <s v="CLI-00273"/>
    <x v="15"/>
    <n v="19"/>
    <s v="Illimité 50Go"/>
    <s v="B2C"/>
    <n v="334"/>
    <n v="96.91"/>
    <n v="0.45"/>
    <n v="43.609499999999997"/>
    <n v="1"/>
  </r>
  <r>
    <n v="100"/>
    <s v="CLI-00274"/>
    <x v="20"/>
    <n v="108"/>
    <s v="Pro Monde"/>
    <s v="B2B"/>
    <n v="48"/>
    <n v="86.22"/>
    <n v="0.1"/>
    <n v="8.6219999999999999"/>
    <n v="3"/>
  </r>
  <r>
    <n v="101"/>
    <s v="CLI-00277"/>
    <x v="2"/>
    <n v="37"/>
    <s v="Pro Monde"/>
    <s v="B2B"/>
    <n v="150"/>
    <n v="37.979999999999997"/>
    <n v="0.1"/>
    <n v="3.798"/>
    <n v="4"/>
  </r>
  <r>
    <n v="102"/>
    <s v="CLI-00279"/>
    <x v="13"/>
    <n v="52"/>
    <s v="Pro Monde"/>
    <s v="B2B"/>
    <n v="234"/>
    <n v="62.87"/>
    <n v="0.1"/>
    <n v="6.2869999999999999"/>
    <n v="0"/>
  </r>
  <r>
    <n v="103"/>
    <s v="CLI-00280"/>
    <x v="16"/>
    <n v="113"/>
    <s v="Illimité 50Go"/>
    <s v="B2C"/>
    <n v="380"/>
    <n v="12.11"/>
    <n v="0.45"/>
    <n v="5.4494999999999996"/>
    <n v="0"/>
  </r>
  <r>
    <n v="104"/>
    <s v="CLI-00288"/>
    <x v="18"/>
    <n v="21"/>
    <s v="Premium 5G 150Go"/>
    <s v="B2C"/>
    <n v="371"/>
    <n v="48.31"/>
    <n v="0.45"/>
    <n v="21.739500000000003"/>
    <n v="0"/>
  </r>
  <r>
    <n v="105"/>
    <s v="CLI-00291"/>
    <x v="1"/>
    <n v="7"/>
    <s v="Pro Monde"/>
    <s v="B2B"/>
    <n v="347"/>
    <n v="41.84"/>
    <n v="0.1"/>
    <n v="4.1840000000000002"/>
    <n v="2"/>
  </r>
  <r>
    <n v="106"/>
    <s v="CLI-00296"/>
    <x v="22"/>
    <n v="102"/>
    <s v="Pro Monde"/>
    <s v="B2B"/>
    <n v="283"/>
    <n v="28.98"/>
    <n v="0.1"/>
    <n v="2.8980000000000001"/>
    <n v="3"/>
  </r>
  <r>
    <n v="107"/>
    <s v="CLI-00297"/>
    <x v="16"/>
    <n v="87"/>
    <s v="Pro Monde"/>
    <s v="B2B"/>
    <n v="450"/>
    <n v="64.3"/>
    <n v="0.1"/>
    <n v="6.43"/>
    <n v="2"/>
  </r>
  <r>
    <n v="108"/>
    <s v="CLI-00298"/>
    <x v="6"/>
    <n v="76"/>
    <s v="Premium 5G 150Go"/>
    <s v="B2C"/>
    <n v="413"/>
    <n v="28.39"/>
    <n v="0.45"/>
    <n v="12.775500000000001"/>
    <n v="3"/>
  </r>
  <r>
    <n v="109"/>
    <s v="CLI-00299"/>
    <x v="2"/>
    <n v="2"/>
    <s v="Pro Monde"/>
    <s v="B2B"/>
    <n v="496"/>
    <n v="15.71"/>
    <n v="0.1"/>
    <n v="1.5710000000000002"/>
    <n v="3"/>
  </r>
  <r>
    <n v="110"/>
    <s v="CLI-00304"/>
    <x v="8"/>
    <n v="47"/>
    <s v="Pro Monde"/>
    <s v="B2B"/>
    <n v="328"/>
    <n v="61.27"/>
    <n v="0.1"/>
    <n v="6.1270000000000007"/>
    <n v="3"/>
  </r>
  <r>
    <n v="111"/>
    <s v="CLI-00305"/>
    <x v="21"/>
    <n v="37"/>
    <s v="Illimité 50Go"/>
    <s v="B2C"/>
    <n v="151"/>
    <n v="62.49"/>
    <n v="0"/>
    <n v="0"/>
    <n v="3"/>
  </r>
  <r>
    <n v="112"/>
    <s v="CLI-00306"/>
    <x v="16"/>
    <n v="89"/>
    <s v="Bloqué 5Go"/>
    <s v="B2C"/>
    <n v="175"/>
    <n v="32.369999999999997"/>
    <n v="0"/>
    <n v="0"/>
    <n v="1"/>
  </r>
  <r>
    <n v="113"/>
    <s v="CLI-00310"/>
    <x v="16"/>
    <n v="6"/>
    <s v="Premium 5G 150Go"/>
    <s v="B2C"/>
    <n v="362"/>
    <n v="75.739999999999995"/>
    <n v="0.45"/>
    <n v="34.082999999999998"/>
    <n v="4"/>
  </r>
  <r>
    <n v="114"/>
    <s v="CLI-00313"/>
    <x v="1"/>
    <n v="113"/>
    <s v="Premium 5G 150Go"/>
    <s v="B2C"/>
    <n v="49"/>
    <n v="48.91"/>
    <n v="0"/>
    <n v="0"/>
    <n v="5"/>
  </r>
  <r>
    <n v="115"/>
    <s v="CLI-00315"/>
    <x v="13"/>
    <n v="20"/>
    <s v="Pro Monde"/>
    <s v="B2B"/>
    <n v="93"/>
    <n v="84.45"/>
    <n v="0.1"/>
    <n v="8.4450000000000003"/>
    <n v="0"/>
  </r>
  <r>
    <n v="116"/>
    <s v="CLI-00316"/>
    <x v="16"/>
    <n v="37"/>
    <s v="Premium 5G 150Go"/>
    <s v="B2C"/>
    <n v="94"/>
    <n v="50.44"/>
    <n v="0"/>
    <n v="0"/>
    <n v="4"/>
  </r>
  <r>
    <n v="117"/>
    <s v="CLI-00318"/>
    <x v="11"/>
    <n v="67"/>
    <s v="Illimité 50Go"/>
    <s v="B2C"/>
    <n v="81"/>
    <n v="28.52"/>
    <n v="0"/>
    <n v="0"/>
    <n v="4"/>
  </r>
  <r>
    <n v="118"/>
    <s v="CLI-00324"/>
    <x v="2"/>
    <n v="18"/>
    <s v="Illimité 50Go"/>
    <s v="B2C"/>
    <n v="34"/>
    <n v="43.71"/>
    <n v="0"/>
    <n v="0"/>
    <n v="1"/>
  </r>
  <r>
    <n v="119"/>
    <s v="CLI-00327"/>
    <x v="14"/>
    <n v="6"/>
    <s v="Illimité 50Go"/>
    <s v="B2C"/>
    <n v="155"/>
    <n v="40.659999999999997"/>
    <n v="0"/>
    <n v="0"/>
    <n v="1"/>
  </r>
  <r>
    <n v="120"/>
    <s v="CLI-00329"/>
    <x v="9"/>
    <n v="92"/>
    <s v="Pro Monde"/>
    <s v="B2B"/>
    <n v="487"/>
    <n v="58.38"/>
    <n v="0.1"/>
    <n v="5.838000000000001"/>
    <n v="1"/>
  </r>
  <r>
    <n v="121"/>
    <s v="CLI-00331"/>
    <x v="1"/>
    <n v="57"/>
    <s v="Premium 5G 150Go"/>
    <s v="B2C"/>
    <n v="36"/>
    <n v="82.7"/>
    <n v="0"/>
    <n v="0"/>
    <n v="2"/>
  </r>
  <r>
    <n v="122"/>
    <s v="CLI-00334"/>
    <x v="25"/>
    <n v="16"/>
    <s v="Pro Monde"/>
    <s v="B2B"/>
    <n v="214"/>
    <n v="46.57"/>
    <n v="0.1"/>
    <n v="4.657"/>
    <n v="5"/>
  </r>
  <r>
    <n v="123"/>
    <s v="CLI-00335"/>
    <x v="17"/>
    <n v="24"/>
    <s v="Pro Monde"/>
    <s v="B2B"/>
    <n v="23"/>
    <n v="28.55"/>
    <n v="0.1"/>
    <n v="2.8550000000000004"/>
    <n v="1"/>
  </r>
  <r>
    <n v="124"/>
    <s v="CLI-00338"/>
    <x v="14"/>
    <n v="32"/>
    <s v="Illimité 50Go"/>
    <s v="B2C"/>
    <n v="475"/>
    <n v="36.54"/>
    <n v="0.45"/>
    <n v="16.443000000000001"/>
    <n v="3"/>
  </r>
  <r>
    <n v="125"/>
    <s v="CLI-00341"/>
    <x v="16"/>
    <n v="45"/>
    <s v="Pro Monde"/>
    <s v="B2B"/>
    <n v="304"/>
    <n v="65.540000000000006"/>
    <n v="0.1"/>
    <n v="6.5540000000000012"/>
    <n v="2"/>
  </r>
  <r>
    <n v="126"/>
    <s v="CLI-00345"/>
    <x v="10"/>
    <n v="24"/>
    <s v="Bloqué 5Go"/>
    <s v="B2C"/>
    <n v="13"/>
    <n v="89.3"/>
    <n v="0"/>
    <n v="0"/>
    <n v="2"/>
  </r>
  <r>
    <n v="127"/>
    <s v="CLI-00346"/>
    <x v="9"/>
    <n v="97"/>
    <s v="Bloqué 5Go"/>
    <s v="B2C"/>
    <n v="40"/>
    <n v="85.19"/>
    <n v="0"/>
    <n v="0"/>
    <n v="1"/>
  </r>
  <r>
    <n v="128"/>
    <s v="CLI-00348"/>
    <x v="8"/>
    <n v="68"/>
    <s v="Bloqué 5Go"/>
    <s v="B2C"/>
    <n v="487"/>
    <n v="69.099999999999994"/>
    <n v="0.45"/>
    <n v="31.094999999999999"/>
    <n v="5"/>
  </r>
  <r>
    <n v="129"/>
    <s v="CLI-00349"/>
    <x v="7"/>
    <n v="8"/>
    <s v="Bloqué 5Go"/>
    <s v="B2C"/>
    <n v="120"/>
    <n v="88.29"/>
    <n v="0"/>
    <n v="0"/>
    <n v="5"/>
  </r>
  <r>
    <n v="130"/>
    <s v="CLI-00352"/>
    <x v="11"/>
    <n v="75"/>
    <s v="Illimité 50Go"/>
    <s v="B2C"/>
    <n v="99"/>
    <n v="16.93"/>
    <n v="0"/>
    <n v="0"/>
    <n v="5"/>
  </r>
  <r>
    <n v="131"/>
    <s v="CLI-00356"/>
    <x v="25"/>
    <n v="22"/>
    <s v="Premium 5G 150Go"/>
    <s v="B2C"/>
    <n v="166"/>
    <n v="31.8"/>
    <n v="0"/>
    <n v="0"/>
    <n v="1"/>
  </r>
  <r>
    <n v="132"/>
    <s v="CLI-00359"/>
    <x v="22"/>
    <n v="91"/>
    <s v="Bloqué 5Go"/>
    <s v="B2C"/>
    <n v="300"/>
    <n v="82.19"/>
    <n v="0.45"/>
    <n v="36.985500000000002"/>
    <n v="1"/>
  </r>
  <r>
    <n v="133"/>
    <s v="CLI-00361"/>
    <x v="17"/>
    <n v="66"/>
    <s v="Illimité 50Go"/>
    <s v="B2C"/>
    <n v="270"/>
    <n v="75.88"/>
    <n v="0.45"/>
    <n v="34.146000000000001"/>
    <n v="3"/>
  </r>
  <r>
    <n v="134"/>
    <s v="CLI-00365"/>
    <x v="24"/>
    <n v="98"/>
    <s v="Pro Monde"/>
    <s v="B2B"/>
    <n v="41"/>
    <n v="23.55"/>
    <n v="0.1"/>
    <n v="2.355"/>
    <n v="1"/>
  </r>
  <r>
    <n v="135"/>
    <s v="CLI-00368"/>
    <x v="16"/>
    <n v="63"/>
    <s v="Bloqué 5Go"/>
    <s v="B2C"/>
    <n v="263"/>
    <n v="53.87"/>
    <n v="0.45"/>
    <n v="24.241499999999998"/>
    <n v="4"/>
  </r>
  <r>
    <n v="136"/>
    <s v="CLI-00370"/>
    <x v="4"/>
    <n v="29"/>
    <s v="Bloqué 5Go"/>
    <s v="B2C"/>
    <n v="173"/>
    <n v="49.03"/>
    <n v="0"/>
    <n v="0"/>
    <n v="3"/>
  </r>
  <r>
    <n v="137"/>
    <s v="CLI-00373"/>
    <x v="25"/>
    <n v="83"/>
    <s v="Illimité 50Go"/>
    <s v="B2C"/>
    <n v="30"/>
    <n v="33.93"/>
    <n v="0"/>
    <n v="0"/>
    <n v="3"/>
  </r>
  <r>
    <n v="138"/>
    <s v="CLI-00374"/>
    <x v="2"/>
    <n v="105"/>
    <s v="Illimité 50Go"/>
    <s v="B2C"/>
    <n v="271"/>
    <n v="45.27"/>
    <n v="0.45"/>
    <n v="20.371500000000001"/>
    <n v="2"/>
  </r>
  <r>
    <n v="139"/>
    <s v="CLI-00376"/>
    <x v="9"/>
    <n v="117"/>
    <s v="Premium 5G 150Go"/>
    <s v="B2C"/>
    <n v="282"/>
    <n v="95.11"/>
    <n v="0.45"/>
    <n v="42.799500000000002"/>
    <n v="0"/>
  </r>
  <r>
    <n v="140"/>
    <s v="CLI-00377"/>
    <x v="4"/>
    <n v="96"/>
    <s v="Premium 5G 150Go"/>
    <s v="B2C"/>
    <n v="334"/>
    <n v="64.77"/>
    <n v="0.45"/>
    <n v="29.1465"/>
    <n v="0"/>
  </r>
  <r>
    <n v="141"/>
    <s v="CLI-00380"/>
    <x v="25"/>
    <n v="34"/>
    <s v="Premium 5G 150Go"/>
    <s v="B2C"/>
    <n v="170"/>
    <n v="91.6"/>
    <n v="0"/>
    <n v="0"/>
    <n v="2"/>
  </r>
  <r>
    <n v="142"/>
    <s v="CLI-00382"/>
    <x v="15"/>
    <n v="7"/>
    <s v="Pro Monde"/>
    <s v="B2B"/>
    <n v="323"/>
    <n v="82.81"/>
    <n v="0.1"/>
    <n v="8.2810000000000006"/>
    <n v="5"/>
  </r>
  <r>
    <n v="143"/>
    <s v="CLI-00384"/>
    <x v="19"/>
    <n v="39"/>
    <s v="Premium 5G 150Go"/>
    <s v="B2C"/>
    <n v="220"/>
    <n v="52.91"/>
    <n v="0"/>
    <n v="0"/>
    <n v="0"/>
  </r>
  <r>
    <n v="144"/>
    <s v="CLI-00386"/>
    <x v="18"/>
    <n v="59"/>
    <s v="Illimité 50Go"/>
    <s v="B2C"/>
    <n v="64"/>
    <n v="20.32"/>
    <n v="0"/>
    <n v="0"/>
    <n v="0"/>
  </r>
  <r>
    <n v="145"/>
    <s v="CLI-00387"/>
    <x v="17"/>
    <n v="28"/>
    <s v="Illimité 50Go"/>
    <s v="B2C"/>
    <n v="112"/>
    <n v="94.51"/>
    <n v="0"/>
    <n v="0"/>
    <n v="3"/>
  </r>
  <r>
    <n v="146"/>
    <s v="CLI-00388"/>
    <x v="4"/>
    <n v="78"/>
    <s v="Premium 5G 150Go"/>
    <s v="B2C"/>
    <n v="263"/>
    <n v="53.58"/>
    <n v="0.45"/>
    <n v="24.111000000000001"/>
    <n v="5"/>
  </r>
  <r>
    <n v="147"/>
    <s v="CLI-00391"/>
    <x v="9"/>
    <n v="4"/>
    <s v="Pro Monde"/>
    <s v="B2B"/>
    <n v="49"/>
    <n v="41.35"/>
    <n v="0.1"/>
    <n v="4.1350000000000007"/>
    <n v="5"/>
  </r>
  <r>
    <n v="148"/>
    <s v="CLI-00394"/>
    <x v="6"/>
    <n v="37"/>
    <s v="Premium 5G 150Go"/>
    <s v="B2C"/>
    <n v="213"/>
    <n v="14.12"/>
    <n v="0"/>
    <n v="0"/>
    <n v="1"/>
  </r>
  <r>
    <n v="149"/>
    <s v="CLI-00407"/>
    <x v="20"/>
    <n v="48"/>
    <s v="Premium 5G 150Go"/>
    <s v="B2C"/>
    <n v="416"/>
    <n v="81.260000000000005"/>
    <n v="0.45"/>
    <n v="36.567"/>
    <n v="5"/>
  </r>
  <r>
    <n v="150"/>
    <s v="CLI-00410"/>
    <x v="1"/>
    <n v="51"/>
    <s v="Pro Monde"/>
    <s v="B2B"/>
    <n v="336"/>
    <n v="65.47"/>
    <n v="0.1"/>
    <n v="6.5470000000000006"/>
    <n v="1"/>
  </r>
  <r>
    <n v="151"/>
    <s v="CLI-00413"/>
    <x v="24"/>
    <n v="20"/>
    <s v="Pro Monde"/>
    <s v="B2B"/>
    <n v="31"/>
    <n v="52.85"/>
    <n v="0.1"/>
    <n v="5.2850000000000001"/>
    <n v="2"/>
  </r>
  <r>
    <n v="152"/>
    <s v="CLI-00414"/>
    <x v="5"/>
    <n v="99"/>
    <s v="Premium 5G 150Go"/>
    <s v="B2C"/>
    <n v="447"/>
    <n v="38.1"/>
    <n v="0.45"/>
    <n v="17.145"/>
    <n v="3"/>
  </r>
  <r>
    <n v="153"/>
    <s v="CLI-00417"/>
    <x v="8"/>
    <n v="87"/>
    <s v="Bloqué 5Go"/>
    <s v="B2C"/>
    <n v="21"/>
    <n v="81.459999999999994"/>
    <n v="0"/>
    <n v="0"/>
    <n v="3"/>
  </r>
  <r>
    <n v="154"/>
    <s v="CLI-00418"/>
    <x v="8"/>
    <n v="96"/>
    <s v="Premium 5G 150Go"/>
    <s v="B2C"/>
    <n v="273"/>
    <n v="37.909999999999997"/>
    <n v="0.45"/>
    <n v="17.0595"/>
    <n v="2"/>
  </r>
  <r>
    <n v="155"/>
    <s v="CLI-00424"/>
    <x v="25"/>
    <n v="103"/>
    <s v="Illimité 50Go"/>
    <s v="B2C"/>
    <n v="182"/>
    <n v="12.07"/>
    <n v="0"/>
    <n v="0"/>
    <n v="5"/>
  </r>
  <r>
    <n v="156"/>
    <s v="CLI-00427"/>
    <x v="0"/>
    <n v="18"/>
    <s v="Bloqué 5Go"/>
    <s v="B2C"/>
    <n v="446"/>
    <n v="97.3"/>
    <n v="0.45"/>
    <n v="43.784999999999997"/>
    <n v="5"/>
  </r>
  <r>
    <n v="157"/>
    <s v="CLI-00429"/>
    <x v="20"/>
    <n v="28"/>
    <s v="Premium 5G 150Go"/>
    <s v="B2C"/>
    <n v="343"/>
    <n v="64.34"/>
    <n v="0.45"/>
    <n v="28.953000000000003"/>
    <n v="5"/>
  </r>
  <r>
    <n v="158"/>
    <s v="CLI-00431"/>
    <x v="15"/>
    <n v="60"/>
    <s v="Pro Monde"/>
    <s v="B2B"/>
    <n v="334"/>
    <n v="71.72"/>
    <n v="0.1"/>
    <n v="7.1720000000000006"/>
    <n v="3"/>
  </r>
  <r>
    <n v="159"/>
    <s v="CLI-00433"/>
    <x v="13"/>
    <n v="36"/>
    <s v="Illimité 50Go"/>
    <s v="B2C"/>
    <n v="487"/>
    <n v="45.02"/>
    <n v="0.45"/>
    <n v="20.259"/>
    <n v="2"/>
  </r>
  <r>
    <n v="160"/>
    <s v="CLI-00435"/>
    <x v="17"/>
    <n v="106"/>
    <s v="Illimité 50Go"/>
    <s v="B2C"/>
    <n v="407"/>
    <n v="59.92"/>
    <n v="0.45"/>
    <n v="26.964000000000002"/>
    <n v="4"/>
  </r>
  <r>
    <n v="161"/>
    <s v="CLI-00439"/>
    <x v="12"/>
    <n v="40"/>
    <s v="Premium 5G 150Go"/>
    <s v="B2C"/>
    <n v="345"/>
    <n v="89.55"/>
    <n v="0.45"/>
    <n v="40.297499999999999"/>
    <n v="3"/>
  </r>
  <r>
    <n v="162"/>
    <s v="CLI-00442"/>
    <x v="19"/>
    <n v="120"/>
    <s v="Illimité 50Go"/>
    <s v="B2C"/>
    <n v="242"/>
    <n v="61.54"/>
    <n v="0.45"/>
    <n v="27.693000000000001"/>
    <n v="1"/>
  </r>
  <r>
    <n v="163"/>
    <s v="CLI-00447"/>
    <x v="5"/>
    <n v="81"/>
    <s v="Premium 5G 150Go"/>
    <s v="B2C"/>
    <n v="137"/>
    <n v="89.05"/>
    <n v="0"/>
    <n v="0"/>
    <n v="0"/>
  </r>
  <r>
    <n v="164"/>
    <s v="CLI-00450"/>
    <x v="14"/>
    <n v="105"/>
    <s v="Premium 5G 150Go"/>
    <s v="B2C"/>
    <n v="454"/>
    <n v="49.47"/>
    <n v="0.45"/>
    <n v="22.261500000000002"/>
    <n v="4"/>
  </r>
  <r>
    <n v="165"/>
    <s v="CLI-00460"/>
    <x v="25"/>
    <n v="5"/>
    <s v="Pro Monde"/>
    <s v="B2B"/>
    <n v="98"/>
    <n v="71.37"/>
    <n v="0.1"/>
    <n v="7.1370000000000005"/>
    <n v="1"/>
  </r>
  <r>
    <n v="166"/>
    <s v="CLI-00469"/>
    <x v="18"/>
    <n v="25"/>
    <s v="Premium 5G 150Go"/>
    <s v="B2C"/>
    <n v="467"/>
    <n v="97.78"/>
    <n v="0.45"/>
    <n v="44.001000000000005"/>
    <n v="3"/>
  </r>
  <r>
    <n v="167"/>
    <s v="CLI-00471"/>
    <x v="17"/>
    <n v="36"/>
    <s v="Premium 5G 150Go"/>
    <s v="B2C"/>
    <n v="137"/>
    <n v="71.930000000000007"/>
    <n v="0"/>
    <n v="0"/>
    <n v="0"/>
  </r>
  <r>
    <n v="168"/>
    <s v="CLI-00475"/>
    <x v="10"/>
    <n v="81"/>
    <s v="Illimité 50Go"/>
    <s v="B2C"/>
    <n v="339"/>
    <n v="53.4"/>
    <n v="0.45"/>
    <n v="24.03"/>
    <n v="2"/>
  </r>
  <r>
    <n v="169"/>
    <s v="CLI-00476"/>
    <x v="21"/>
    <n v="21"/>
    <s v="Bloqué 5Go"/>
    <s v="B2C"/>
    <n v="475"/>
    <n v="15.12"/>
    <n v="0.45"/>
    <n v="6.8039999999999994"/>
    <n v="2"/>
  </r>
  <r>
    <n v="170"/>
    <s v="CLI-00481"/>
    <x v="19"/>
    <n v="19"/>
    <s v="Illimité 50Go"/>
    <s v="B2C"/>
    <n v="450"/>
    <n v="37.43"/>
    <n v="0.45"/>
    <n v="16.843499999999999"/>
    <n v="2"/>
  </r>
  <r>
    <n v="171"/>
    <s v="CLI-00483"/>
    <x v="17"/>
    <n v="64"/>
    <s v="Pro Monde"/>
    <s v="B2B"/>
    <n v="6"/>
    <n v="40.58"/>
    <n v="0.1"/>
    <n v="4.0579999999999998"/>
    <n v="5"/>
  </r>
  <r>
    <n v="172"/>
    <s v="CLI-00484"/>
    <x v="1"/>
    <n v="82"/>
    <s v="Bloqué 5Go"/>
    <s v="B2C"/>
    <n v="132"/>
    <n v="50.14"/>
    <n v="0"/>
    <n v="0"/>
    <n v="5"/>
  </r>
  <r>
    <n v="173"/>
    <s v="CLI-00485"/>
    <x v="10"/>
    <n v="74"/>
    <s v="Pro Monde"/>
    <s v="B2B"/>
    <n v="371"/>
    <n v="53.27"/>
    <n v="0.1"/>
    <n v="5.3270000000000008"/>
    <n v="3"/>
  </r>
  <r>
    <n v="174"/>
    <s v="CLI-00488"/>
    <x v="14"/>
    <n v="116"/>
    <s v="Pro Monde"/>
    <s v="B2B"/>
    <n v="486"/>
    <n v="92.96"/>
    <n v="0.1"/>
    <n v="9.2959999999999994"/>
    <n v="5"/>
  </r>
  <r>
    <n v="175"/>
    <s v="CLI-00491"/>
    <x v="22"/>
    <n v="29"/>
    <s v="Pro Monde"/>
    <s v="B2B"/>
    <n v="34"/>
    <n v="86.68"/>
    <n v="0.1"/>
    <n v="8.668000000000001"/>
    <n v="1"/>
  </r>
  <r>
    <n v="176"/>
    <s v="CLI-00492"/>
    <x v="11"/>
    <n v="113"/>
    <s v="Pro Monde"/>
    <s v="B2B"/>
    <n v="152"/>
    <n v="51.28"/>
    <n v="0.1"/>
    <n v="5.1280000000000001"/>
    <n v="4"/>
  </r>
  <r>
    <n v="177"/>
    <s v="CLI-00496"/>
    <x v="11"/>
    <n v="16"/>
    <s v="Illimité 50Go"/>
    <s v="B2C"/>
    <n v="390"/>
    <n v="52.64"/>
    <n v="0.45"/>
    <n v="23.688000000000002"/>
    <n v="0"/>
  </r>
  <r>
    <n v="178"/>
    <s v="CLI-00497"/>
    <x v="11"/>
    <n v="72"/>
    <s v="Pro Monde"/>
    <s v="B2B"/>
    <n v="442"/>
    <n v="59.2"/>
    <n v="0.1"/>
    <n v="5.9200000000000008"/>
    <n v="1"/>
  </r>
  <r>
    <n v="179"/>
    <s v="CLI-00505"/>
    <x v="10"/>
    <n v="59"/>
    <s v="Bloqué 5Go"/>
    <s v="B2C"/>
    <n v="196"/>
    <n v="62.53"/>
    <n v="0"/>
    <n v="0"/>
    <n v="0"/>
  </r>
  <r>
    <n v="180"/>
    <s v="CLI-00509"/>
    <x v="10"/>
    <n v="38"/>
    <s v="Premium 5G 150Go"/>
    <s v="B2C"/>
    <n v="60"/>
    <n v="58.28"/>
    <n v="0"/>
    <n v="0"/>
    <n v="4"/>
  </r>
  <r>
    <n v="181"/>
    <s v="CLI-00510"/>
    <x v="23"/>
    <n v="118"/>
    <s v="Bloqué 5Go"/>
    <s v="B2C"/>
    <n v="186"/>
    <n v="46.88"/>
    <n v="0"/>
    <n v="0"/>
    <n v="1"/>
  </r>
  <r>
    <n v="182"/>
    <s v="CLI-00512"/>
    <x v="18"/>
    <n v="42"/>
    <s v="Illimité 50Go"/>
    <s v="B2C"/>
    <n v="453"/>
    <n v="36.700000000000003"/>
    <n v="0.45"/>
    <n v="16.515000000000001"/>
    <n v="4"/>
  </r>
  <r>
    <n v="183"/>
    <s v="CLI-00516"/>
    <x v="23"/>
    <n v="80"/>
    <s v="Bloqué 5Go"/>
    <s v="B2C"/>
    <n v="260"/>
    <n v="65.87"/>
    <n v="0.45"/>
    <n v="29.641500000000004"/>
    <n v="3"/>
  </r>
  <r>
    <n v="184"/>
    <s v="CLI-00519"/>
    <x v="13"/>
    <n v="7"/>
    <s v="Premium 5G 150Go"/>
    <s v="B2C"/>
    <n v="303"/>
    <n v="60.95"/>
    <n v="0.45"/>
    <n v="27.427500000000002"/>
    <n v="0"/>
  </r>
  <r>
    <n v="185"/>
    <s v="CLI-00520"/>
    <x v="4"/>
    <n v="14"/>
    <s v="Pro Monde"/>
    <s v="B2B"/>
    <n v="345"/>
    <n v="39.57"/>
    <n v="0.1"/>
    <n v="3.9570000000000003"/>
    <n v="3"/>
  </r>
  <r>
    <n v="186"/>
    <s v="CLI-00521"/>
    <x v="5"/>
    <n v="83"/>
    <s v="Premium 5G 150Go"/>
    <s v="B2C"/>
    <n v="284"/>
    <n v="73.7"/>
    <n v="0.45"/>
    <n v="33.164999999999999"/>
    <n v="0"/>
  </r>
  <r>
    <n v="187"/>
    <s v="CLI-00522"/>
    <x v="12"/>
    <n v="56"/>
    <s v="Premium 5G 150Go"/>
    <s v="B2C"/>
    <n v="123"/>
    <n v="29.76"/>
    <n v="0"/>
    <n v="0"/>
    <n v="5"/>
  </r>
  <r>
    <n v="188"/>
    <s v="CLI-00523"/>
    <x v="7"/>
    <n v="33"/>
    <s v="Pro Monde"/>
    <s v="B2B"/>
    <n v="207"/>
    <n v="38.49"/>
    <n v="0.1"/>
    <n v="3.8490000000000002"/>
    <n v="4"/>
  </r>
  <r>
    <n v="189"/>
    <s v="CLI-00524"/>
    <x v="8"/>
    <n v="113"/>
    <s v="Premium 5G 150Go"/>
    <s v="B2C"/>
    <n v="207"/>
    <n v="21.55"/>
    <n v="0"/>
    <n v="0"/>
    <n v="0"/>
  </r>
  <r>
    <n v="190"/>
    <s v="CLI-00525"/>
    <x v="3"/>
    <n v="89"/>
    <s v="Illimité 50Go"/>
    <s v="B2C"/>
    <n v="418"/>
    <n v="86.63"/>
    <n v="0.45"/>
    <n v="38.983499999999999"/>
    <n v="4"/>
  </r>
  <r>
    <n v="191"/>
    <s v="CLI-00530"/>
    <x v="24"/>
    <n v="35"/>
    <s v="Pro Monde"/>
    <s v="B2B"/>
    <n v="465"/>
    <n v="58.59"/>
    <n v="0.1"/>
    <n v="5.8590000000000009"/>
    <n v="5"/>
  </r>
  <r>
    <n v="192"/>
    <s v="CLI-00532"/>
    <x v="16"/>
    <n v="79"/>
    <s v="Illimité 50Go"/>
    <s v="B2C"/>
    <n v="139"/>
    <n v="16.25"/>
    <n v="0"/>
    <n v="0"/>
    <n v="4"/>
  </r>
  <r>
    <n v="193"/>
    <s v="CLI-00533"/>
    <x v="18"/>
    <n v="82"/>
    <s v="Premium 5G 150Go"/>
    <s v="B2C"/>
    <n v="32"/>
    <n v="77.63"/>
    <n v="0"/>
    <n v="0"/>
    <n v="1"/>
  </r>
  <r>
    <n v="194"/>
    <s v="CLI-00534"/>
    <x v="25"/>
    <n v="21"/>
    <s v="Bloqué 5Go"/>
    <s v="B2C"/>
    <n v="307"/>
    <n v="39.81"/>
    <n v="0.45"/>
    <n v="17.9145"/>
    <n v="5"/>
  </r>
  <r>
    <n v="195"/>
    <s v="CLI-00535"/>
    <x v="14"/>
    <n v="74"/>
    <s v="Premium 5G 150Go"/>
    <s v="B2C"/>
    <n v="213"/>
    <n v="35.54"/>
    <n v="0"/>
    <n v="0"/>
    <n v="3"/>
  </r>
  <r>
    <n v="196"/>
    <s v="CLI-00537"/>
    <x v="13"/>
    <n v="99"/>
    <s v="Pro Monde"/>
    <s v="B2B"/>
    <n v="325"/>
    <n v="88.35"/>
    <n v="0.1"/>
    <n v="8.8349999999999991"/>
    <n v="4"/>
  </r>
  <r>
    <n v="197"/>
    <s v="CLI-00541"/>
    <x v="15"/>
    <n v="36"/>
    <s v="Bloqué 5Go"/>
    <s v="B2C"/>
    <n v="303"/>
    <n v="89.56"/>
    <n v="0.45"/>
    <n v="40.302"/>
    <n v="1"/>
  </r>
  <r>
    <n v="198"/>
    <s v="CLI-00543"/>
    <x v="11"/>
    <n v="15"/>
    <s v="Pro Monde"/>
    <s v="B2B"/>
    <n v="203"/>
    <n v="55.29"/>
    <n v="0.1"/>
    <n v="5.5289999999999999"/>
    <n v="2"/>
  </r>
  <r>
    <n v="199"/>
    <s v="CLI-00546"/>
    <x v="5"/>
    <n v="25"/>
    <s v="Pro Monde"/>
    <s v="B2B"/>
    <n v="218"/>
    <n v="68.790000000000006"/>
    <n v="0.1"/>
    <n v="6.8790000000000013"/>
    <n v="0"/>
  </r>
  <r>
    <n v="200"/>
    <s v="CLI-00549"/>
    <x v="9"/>
    <n v="49"/>
    <s v="Bloqué 5Go"/>
    <s v="B2C"/>
    <n v="288"/>
    <n v="91.32"/>
    <n v="0.45"/>
    <n v="41.094000000000001"/>
    <n v="4"/>
  </r>
  <r>
    <n v="201"/>
    <s v="CLI-00550"/>
    <x v="7"/>
    <n v="58"/>
    <s v="Pro Monde"/>
    <s v="B2B"/>
    <n v="352"/>
    <n v="72.94"/>
    <n v="0.1"/>
    <n v="7.2940000000000005"/>
    <n v="0"/>
  </r>
  <r>
    <n v="202"/>
    <s v="CLI-00552"/>
    <x v="1"/>
    <n v="102"/>
    <s v="Illimité 50Go"/>
    <s v="B2C"/>
    <n v="240"/>
    <n v="12.52"/>
    <n v="0.45"/>
    <n v="5.6340000000000003"/>
    <n v="2"/>
  </r>
  <r>
    <n v="203"/>
    <s v="CLI-00559"/>
    <x v="13"/>
    <n v="99"/>
    <s v="Bloqué 5Go"/>
    <s v="B2C"/>
    <n v="369"/>
    <n v="67.209999999999994"/>
    <n v="0.45"/>
    <n v="30.244499999999999"/>
    <n v="3"/>
  </r>
  <r>
    <n v="204"/>
    <s v="CLI-00562"/>
    <x v="22"/>
    <n v="82"/>
    <s v="Premium 5G 150Go"/>
    <s v="B2C"/>
    <n v="264"/>
    <n v="88.03"/>
    <n v="0.45"/>
    <n v="39.613500000000002"/>
    <n v="1"/>
  </r>
  <r>
    <n v="205"/>
    <s v="CLI-00563"/>
    <x v="7"/>
    <n v="72"/>
    <s v="Illimité 50Go"/>
    <s v="B2C"/>
    <n v="51"/>
    <n v="95.09"/>
    <n v="0"/>
    <n v="0"/>
    <n v="0"/>
  </r>
  <r>
    <n v="206"/>
    <s v="CLI-00569"/>
    <x v="19"/>
    <n v="110"/>
    <s v="Pro Monde"/>
    <s v="B2B"/>
    <n v="423"/>
    <n v="37.35"/>
    <n v="0.1"/>
    <n v="3.7350000000000003"/>
    <n v="4"/>
  </r>
  <r>
    <n v="207"/>
    <s v="CLI-00576"/>
    <x v="7"/>
    <n v="104"/>
    <s v="Pro Monde"/>
    <s v="B2B"/>
    <n v="60"/>
    <n v="45.51"/>
    <n v="0.1"/>
    <n v="4.5510000000000002"/>
    <n v="1"/>
  </r>
  <r>
    <n v="208"/>
    <s v="CLI-00578"/>
    <x v="8"/>
    <n v="96"/>
    <s v="Illimité 50Go"/>
    <s v="B2C"/>
    <n v="290"/>
    <n v="29"/>
    <n v="0.45"/>
    <n v="13.05"/>
    <n v="3"/>
  </r>
  <r>
    <n v="209"/>
    <s v="CLI-00580"/>
    <x v="7"/>
    <n v="17"/>
    <s v="Illimité 50Go"/>
    <s v="B2C"/>
    <n v="483"/>
    <n v="77.08"/>
    <n v="0.45"/>
    <n v="34.686"/>
    <n v="0"/>
  </r>
  <r>
    <n v="210"/>
    <s v="CLI-00582"/>
    <x v="18"/>
    <n v="43"/>
    <s v="Premium 5G 150Go"/>
    <s v="B2C"/>
    <n v="193"/>
    <n v="35.81"/>
    <n v="0"/>
    <n v="0"/>
    <n v="0"/>
  </r>
  <r>
    <n v="211"/>
    <s v="CLI-00583"/>
    <x v="2"/>
    <n v="104"/>
    <s v="Pro Monde"/>
    <s v="B2B"/>
    <n v="125"/>
    <n v="29.7"/>
    <n v="0.1"/>
    <n v="2.97"/>
    <n v="2"/>
  </r>
  <r>
    <n v="212"/>
    <s v="CLI-00584"/>
    <x v="21"/>
    <n v="6"/>
    <s v="Pro Monde"/>
    <s v="B2B"/>
    <n v="342"/>
    <n v="50.55"/>
    <n v="0.1"/>
    <n v="5.0549999999999997"/>
    <n v="5"/>
  </r>
  <r>
    <n v="213"/>
    <s v="CLI-00590"/>
    <x v="19"/>
    <n v="109"/>
    <s v="Illimité 50Go"/>
    <s v="B2C"/>
    <n v="347"/>
    <n v="43.06"/>
    <n v="0.45"/>
    <n v="19.377000000000002"/>
    <n v="4"/>
  </r>
  <r>
    <n v="214"/>
    <s v="CLI-00595"/>
    <x v="18"/>
    <n v="110"/>
    <s v="Premium 5G 150Go"/>
    <s v="B2C"/>
    <n v="321"/>
    <n v="81.569999999999993"/>
    <n v="0.45"/>
    <n v="36.706499999999998"/>
    <n v="2"/>
  </r>
  <r>
    <n v="215"/>
    <s v="CLI-00596"/>
    <x v="10"/>
    <n v="17"/>
    <s v="Illimité 50Go"/>
    <s v="B2C"/>
    <n v="310"/>
    <n v="19.68"/>
    <n v="0.45"/>
    <n v="8.8559999999999999"/>
    <n v="5"/>
  </r>
  <r>
    <n v="216"/>
    <s v="CLI-00601"/>
    <x v="4"/>
    <n v="75"/>
    <s v="Bloqué 5Go"/>
    <s v="B2C"/>
    <n v="370"/>
    <n v="21.67"/>
    <n v="0.45"/>
    <n v="9.7515000000000018"/>
    <n v="0"/>
  </r>
  <r>
    <n v="217"/>
    <s v="CLI-00604"/>
    <x v="1"/>
    <n v="12"/>
    <s v="Bloqué 5Go"/>
    <s v="B2C"/>
    <n v="62"/>
    <n v="36.1"/>
    <n v="0"/>
    <n v="0"/>
    <n v="5"/>
  </r>
  <r>
    <n v="218"/>
    <s v="CLI-00606"/>
    <x v="11"/>
    <n v="71"/>
    <s v="Pro Monde"/>
    <s v="B2B"/>
    <n v="111"/>
    <n v="95.53"/>
    <n v="0.1"/>
    <n v="9.5530000000000008"/>
    <n v="3"/>
  </r>
  <r>
    <n v="219"/>
    <s v="CLI-00610"/>
    <x v="14"/>
    <n v="67"/>
    <s v="Premium 5G 150Go"/>
    <s v="B2C"/>
    <n v="241"/>
    <n v="47.72"/>
    <n v="0.45"/>
    <n v="21.474"/>
    <n v="0"/>
  </r>
  <r>
    <n v="220"/>
    <s v="CLI-00611"/>
    <x v="23"/>
    <n v="79"/>
    <s v="Premium 5G 150Go"/>
    <s v="B2C"/>
    <n v="226"/>
    <n v="94.38"/>
    <n v="0"/>
    <n v="0"/>
    <n v="3"/>
  </r>
  <r>
    <n v="221"/>
    <s v="CLI-00612"/>
    <x v="17"/>
    <n v="53"/>
    <s v="Pro Monde"/>
    <s v="B2B"/>
    <n v="27"/>
    <n v="18.77"/>
    <n v="0.1"/>
    <n v="1.877"/>
    <n v="0"/>
  </r>
  <r>
    <n v="222"/>
    <s v="CLI-00616"/>
    <x v="21"/>
    <n v="101"/>
    <s v="Bloqué 5Go"/>
    <s v="B2C"/>
    <n v="262"/>
    <n v="83.74"/>
    <n v="0.45"/>
    <n v="37.683"/>
    <n v="5"/>
  </r>
  <r>
    <n v="223"/>
    <s v="CLI-00617"/>
    <x v="0"/>
    <n v="83"/>
    <s v="Pro Monde"/>
    <s v="B2B"/>
    <n v="420"/>
    <n v="94.9"/>
    <n v="0.1"/>
    <n v="9.49"/>
    <n v="1"/>
  </r>
  <r>
    <n v="224"/>
    <s v="CLI-00620"/>
    <x v="2"/>
    <n v="23"/>
    <s v="Premium 5G 150Go"/>
    <s v="B2C"/>
    <n v="268"/>
    <n v="26.75"/>
    <n v="0.45"/>
    <n v="12.0375"/>
    <n v="3"/>
  </r>
  <r>
    <n v="225"/>
    <s v="CLI-00621"/>
    <x v="0"/>
    <n v="67"/>
    <s v="Premium 5G 150Go"/>
    <s v="B2C"/>
    <n v="262"/>
    <n v="28.46"/>
    <n v="0.45"/>
    <n v="12.807"/>
    <n v="3"/>
  </r>
  <r>
    <n v="226"/>
    <s v="CLI-00626"/>
    <x v="0"/>
    <n v="2"/>
    <s v="Pro Monde"/>
    <s v="B2B"/>
    <n v="142"/>
    <n v="37.799999999999997"/>
    <n v="0.1"/>
    <n v="3.78"/>
    <n v="0"/>
  </r>
  <r>
    <n v="227"/>
    <s v="CLI-00632"/>
    <x v="1"/>
    <n v="109"/>
    <s v="Pro Monde"/>
    <s v="B2B"/>
    <n v="480"/>
    <n v="31.36"/>
    <n v="0.1"/>
    <n v="3.1360000000000001"/>
    <n v="0"/>
  </r>
  <r>
    <n v="228"/>
    <s v="CLI-00634"/>
    <x v="17"/>
    <n v="54"/>
    <s v="Bloqué 5Go"/>
    <s v="B2C"/>
    <n v="99"/>
    <n v="39.58"/>
    <n v="0"/>
    <n v="0"/>
    <n v="0"/>
  </r>
  <r>
    <n v="229"/>
    <s v="CLI-00636"/>
    <x v="5"/>
    <n v="118"/>
    <s v="Bloqué 5Go"/>
    <s v="B2C"/>
    <n v="461"/>
    <n v="47.82"/>
    <n v="0.45"/>
    <n v="21.519000000000002"/>
    <n v="5"/>
  </r>
  <r>
    <n v="230"/>
    <s v="CLI-00642"/>
    <x v="24"/>
    <n v="86"/>
    <s v="Pro Monde"/>
    <s v="B2B"/>
    <n v="237"/>
    <n v="85.82"/>
    <n v="0.1"/>
    <n v="8.581999999999999"/>
    <n v="5"/>
  </r>
  <r>
    <n v="231"/>
    <s v="CLI-00643"/>
    <x v="18"/>
    <n v="14"/>
    <s v="Pro Monde"/>
    <s v="B2B"/>
    <n v="316"/>
    <n v="62.34"/>
    <n v="0.1"/>
    <n v="6.2340000000000009"/>
    <n v="4"/>
  </r>
  <r>
    <n v="232"/>
    <s v="CLI-00647"/>
    <x v="1"/>
    <n v="41"/>
    <s v="Illimité 50Go"/>
    <s v="B2C"/>
    <n v="404"/>
    <n v="98.67"/>
    <n v="0.45"/>
    <n v="44.401499999999999"/>
    <n v="5"/>
  </r>
  <r>
    <n v="233"/>
    <s v="CLI-00649"/>
    <x v="21"/>
    <n v="79"/>
    <s v="Illimité 50Go"/>
    <s v="B2C"/>
    <n v="403"/>
    <n v="21.49"/>
    <n v="0.45"/>
    <n v="9.6704999999999988"/>
    <n v="0"/>
  </r>
  <r>
    <n v="234"/>
    <s v="CLI-00650"/>
    <x v="7"/>
    <n v="89"/>
    <s v="Pro Monde"/>
    <s v="B2B"/>
    <n v="203"/>
    <n v="80.680000000000007"/>
    <n v="0.1"/>
    <n v="8.0680000000000014"/>
    <n v="5"/>
  </r>
  <r>
    <n v="235"/>
    <s v="CLI-00655"/>
    <x v="11"/>
    <n v="18"/>
    <s v="Bloqué 5Go"/>
    <s v="B2C"/>
    <n v="291"/>
    <n v="97.98"/>
    <n v="0.45"/>
    <n v="44.091000000000001"/>
    <n v="1"/>
  </r>
  <r>
    <n v="236"/>
    <s v="CLI-00662"/>
    <x v="16"/>
    <n v="12"/>
    <s v="Illimité 50Go"/>
    <s v="B2C"/>
    <n v="138"/>
    <n v="17"/>
    <n v="0"/>
    <n v="0"/>
    <n v="2"/>
  </r>
  <r>
    <n v="237"/>
    <s v="CLI-00663"/>
    <x v="4"/>
    <n v="96"/>
    <s v="Illimité 50Go"/>
    <s v="B2C"/>
    <n v="381"/>
    <n v="90.78"/>
    <n v="0.45"/>
    <n v="40.850999999999999"/>
    <n v="2"/>
  </r>
  <r>
    <n v="238"/>
    <s v="CLI-00666"/>
    <x v="2"/>
    <n v="120"/>
    <s v="Bloqué 5Go"/>
    <s v="B2C"/>
    <n v="27"/>
    <n v="24.46"/>
    <n v="0"/>
    <n v="0"/>
    <n v="3"/>
  </r>
  <r>
    <n v="239"/>
    <s v="CLI-00670"/>
    <x v="9"/>
    <n v="65"/>
    <s v="Bloqué 5Go"/>
    <s v="B2C"/>
    <n v="118"/>
    <n v="72.430000000000007"/>
    <n v="0"/>
    <n v="0"/>
    <n v="1"/>
  </r>
  <r>
    <n v="240"/>
    <s v="CLI-00671"/>
    <x v="13"/>
    <n v="13"/>
    <s v="Pro Monde"/>
    <s v="B2B"/>
    <n v="347"/>
    <n v="32.35"/>
    <n v="0.1"/>
    <n v="3.2350000000000003"/>
    <n v="2"/>
  </r>
  <r>
    <n v="241"/>
    <s v="CLI-00674"/>
    <x v="17"/>
    <n v="120"/>
    <s v="Pro Monde"/>
    <s v="B2B"/>
    <n v="72"/>
    <n v="29.07"/>
    <n v="0.1"/>
    <n v="2.907"/>
    <n v="3"/>
  </r>
  <r>
    <n v="242"/>
    <s v="CLI-00675"/>
    <x v="15"/>
    <n v="114"/>
    <s v="Premium 5G 150Go"/>
    <s v="B2C"/>
    <n v="283"/>
    <n v="29.15"/>
    <n v="0.45"/>
    <n v="13.1175"/>
    <n v="3"/>
  </r>
  <r>
    <n v="243"/>
    <s v="CLI-00682"/>
    <x v="14"/>
    <n v="58"/>
    <s v="Bloqué 5Go"/>
    <s v="B2C"/>
    <n v="405"/>
    <n v="18.39"/>
    <n v="0.45"/>
    <n v="8.275500000000001"/>
    <n v="0"/>
  </r>
  <r>
    <n v="244"/>
    <s v="CLI-00684"/>
    <x v="17"/>
    <n v="94"/>
    <s v="Illimité 50Go"/>
    <s v="B2C"/>
    <n v="261"/>
    <n v="70.09"/>
    <n v="0.45"/>
    <n v="31.540500000000002"/>
    <n v="3"/>
  </r>
  <r>
    <n v="245"/>
    <s v="CLI-00695"/>
    <x v="14"/>
    <n v="74"/>
    <s v="Illimité 50Go"/>
    <s v="B2C"/>
    <n v="253"/>
    <n v="36.94"/>
    <n v="0.45"/>
    <n v="16.623000000000001"/>
    <n v="5"/>
  </r>
  <r>
    <n v="246"/>
    <s v="CLI-00700"/>
    <x v="2"/>
    <n v="50"/>
    <s v="Illimité 50Go"/>
    <s v="B2C"/>
    <n v="177"/>
    <n v="74.569999999999993"/>
    <n v="0"/>
    <n v="0"/>
    <n v="4"/>
  </r>
  <r>
    <n v="247"/>
    <s v="CLI-00705"/>
    <x v="7"/>
    <n v="26"/>
    <s v="Illimité 50Go"/>
    <s v="B2C"/>
    <n v="378"/>
    <n v="88.59"/>
    <n v="0.45"/>
    <n v="39.865500000000004"/>
    <n v="4"/>
  </r>
  <r>
    <n v="248"/>
    <s v="CLI-00711"/>
    <x v="13"/>
    <n v="26"/>
    <s v="Premium 5G 150Go"/>
    <s v="B2C"/>
    <n v="391"/>
    <n v="18.28"/>
    <n v="0.45"/>
    <n v="8.2260000000000009"/>
    <n v="3"/>
  </r>
  <r>
    <n v="249"/>
    <s v="CLI-00716"/>
    <x v="3"/>
    <n v="104"/>
    <s v="Pro Monde"/>
    <s v="B2B"/>
    <n v="421"/>
    <n v="26.24"/>
    <n v="0.1"/>
    <n v="2.6240000000000001"/>
    <n v="3"/>
  </r>
  <r>
    <n v="250"/>
    <s v="CLI-00721"/>
    <x v="6"/>
    <n v="108"/>
    <s v="Premium 5G 150Go"/>
    <s v="B2C"/>
    <n v="230"/>
    <n v="16.3"/>
    <n v="0"/>
    <n v="0"/>
    <n v="5"/>
  </r>
  <r>
    <n v="251"/>
    <s v="CLI-00726"/>
    <x v="6"/>
    <n v="103"/>
    <s v="Pro Monde"/>
    <s v="B2B"/>
    <n v="270"/>
    <n v="67.87"/>
    <n v="0.1"/>
    <n v="6.7870000000000008"/>
    <n v="3"/>
  </r>
  <r>
    <n v="252"/>
    <s v="CLI-00728"/>
    <x v="23"/>
    <n v="93"/>
    <s v="Pro Monde"/>
    <s v="B2B"/>
    <n v="56"/>
    <n v="96.31"/>
    <n v="0.1"/>
    <n v="9.6310000000000002"/>
    <n v="4"/>
  </r>
  <r>
    <n v="253"/>
    <s v="CLI-00731"/>
    <x v="8"/>
    <n v="86"/>
    <s v="Premium 5G 150Go"/>
    <s v="B2C"/>
    <n v="452"/>
    <n v="75.680000000000007"/>
    <n v="0.45"/>
    <n v="34.056000000000004"/>
    <n v="0"/>
  </r>
  <r>
    <n v="254"/>
    <s v="CLI-00736"/>
    <x v="17"/>
    <n v="47"/>
    <s v="Illimité 50Go"/>
    <s v="B2C"/>
    <n v="385"/>
    <n v="41.33"/>
    <n v="0.45"/>
    <n v="18.598500000000001"/>
    <n v="0"/>
  </r>
  <r>
    <n v="255"/>
    <s v="CLI-00739"/>
    <x v="1"/>
    <n v="83"/>
    <s v="Premium 5G 150Go"/>
    <s v="B2C"/>
    <n v="105"/>
    <n v="20.46"/>
    <n v="0"/>
    <n v="0"/>
    <n v="1"/>
  </r>
  <r>
    <n v="256"/>
    <s v="CLI-00744"/>
    <x v="15"/>
    <n v="84"/>
    <s v="Bloqué 5Go"/>
    <s v="B2C"/>
    <n v="317"/>
    <n v="36.200000000000003"/>
    <n v="0.45"/>
    <n v="16.290000000000003"/>
    <n v="3"/>
  </r>
  <r>
    <n v="257"/>
    <s v="CLI-00745"/>
    <x v="20"/>
    <n v="6"/>
    <s v="Premium 5G 150Go"/>
    <s v="B2C"/>
    <n v="207"/>
    <n v="61.55"/>
    <n v="0"/>
    <n v="0"/>
    <n v="0"/>
  </r>
  <r>
    <n v="258"/>
    <s v="CLI-00753"/>
    <x v="8"/>
    <n v="40"/>
    <s v="Premium 5G 150Go"/>
    <s v="B2C"/>
    <n v="102"/>
    <n v="96.59"/>
    <n v="0"/>
    <n v="0"/>
    <n v="5"/>
  </r>
  <r>
    <n v="259"/>
    <s v="CLI-00754"/>
    <x v="2"/>
    <n v="42"/>
    <s v="Illimité 50Go"/>
    <s v="B2C"/>
    <n v="173"/>
    <n v="69.19"/>
    <n v="0"/>
    <n v="0"/>
    <n v="4"/>
  </r>
  <r>
    <n v="260"/>
    <s v="CLI-00755"/>
    <x v="9"/>
    <n v="51"/>
    <s v="Bloqué 5Go"/>
    <s v="B2C"/>
    <n v="337"/>
    <n v="68.67"/>
    <n v="0.45"/>
    <n v="30.901500000000002"/>
    <n v="5"/>
  </r>
  <r>
    <n v="261"/>
    <s v="CLI-00758"/>
    <x v="1"/>
    <n v="108"/>
    <s v="Illimité 50Go"/>
    <s v="B2C"/>
    <n v="123"/>
    <n v="83.1"/>
    <n v="0"/>
    <n v="0"/>
    <n v="1"/>
  </r>
  <r>
    <n v="262"/>
    <s v="CLI-00760"/>
    <x v="11"/>
    <n v="113"/>
    <s v="Premium 5G 150Go"/>
    <s v="B2C"/>
    <n v="89"/>
    <n v="54.28"/>
    <n v="0"/>
    <n v="0"/>
    <n v="0"/>
  </r>
  <r>
    <n v="263"/>
    <s v="CLI-00766"/>
    <x v="6"/>
    <n v="101"/>
    <s v="Bloqué 5Go"/>
    <s v="B2C"/>
    <n v="416"/>
    <n v="83.49"/>
    <n v="0.45"/>
    <n v="37.570499999999996"/>
    <n v="2"/>
  </r>
  <r>
    <n v="264"/>
    <s v="CLI-00768"/>
    <x v="20"/>
    <n v="74"/>
    <s v="Premium 5G 150Go"/>
    <s v="B2C"/>
    <n v="208"/>
    <n v="39.56"/>
    <n v="0"/>
    <n v="0"/>
    <n v="0"/>
  </r>
  <r>
    <n v="265"/>
    <s v="CLI-00773"/>
    <x v="14"/>
    <n v="10"/>
    <s v="Bloqué 5Go"/>
    <s v="B2C"/>
    <n v="93"/>
    <n v="78.12"/>
    <n v="0"/>
    <n v="0"/>
    <n v="4"/>
  </r>
  <r>
    <n v="266"/>
    <s v="CLI-00781"/>
    <x v="0"/>
    <n v="16"/>
    <s v="Premium 5G 150Go"/>
    <s v="B2C"/>
    <n v="391"/>
    <n v="90.12"/>
    <n v="0.45"/>
    <n v="40.554000000000002"/>
    <n v="5"/>
  </r>
  <r>
    <n v="267"/>
    <s v="CLI-00782"/>
    <x v="12"/>
    <n v="59"/>
    <s v="Pro Monde"/>
    <s v="B2B"/>
    <n v="72"/>
    <n v="94.51"/>
    <n v="0.1"/>
    <n v="9.4510000000000005"/>
    <n v="2"/>
  </r>
  <r>
    <n v="268"/>
    <s v="CLI-00783"/>
    <x v="7"/>
    <n v="41"/>
    <s v="Pro Monde"/>
    <s v="B2B"/>
    <n v="474"/>
    <n v="54.03"/>
    <n v="0.1"/>
    <n v="5.4030000000000005"/>
    <n v="4"/>
  </r>
  <r>
    <n v="269"/>
    <s v="CLI-00786"/>
    <x v="9"/>
    <n v="5"/>
    <s v="Illimité 50Go"/>
    <s v="B2C"/>
    <n v="337"/>
    <n v="21.07"/>
    <n v="0.45"/>
    <n v="9.4815000000000005"/>
    <n v="4"/>
  </r>
  <r>
    <n v="270"/>
    <s v="CLI-00788"/>
    <x v="22"/>
    <n v="118"/>
    <s v="Illimité 50Go"/>
    <s v="B2C"/>
    <n v="430"/>
    <n v="36.97"/>
    <n v="0.45"/>
    <n v="16.636500000000002"/>
    <n v="2"/>
  </r>
  <r>
    <n v="271"/>
    <s v="CLI-00795"/>
    <x v="1"/>
    <n v="53"/>
    <s v="Premium 5G 150Go"/>
    <s v="B2C"/>
    <n v="243"/>
    <n v="55.19"/>
    <n v="0.45"/>
    <n v="24.8355"/>
    <n v="4"/>
  </r>
  <r>
    <n v="272"/>
    <s v="CLI-00796"/>
    <x v="23"/>
    <n v="95"/>
    <s v="Pro Monde"/>
    <s v="B2B"/>
    <n v="95"/>
    <n v="82.65"/>
    <n v="0.1"/>
    <n v="8.2650000000000006"/>
    <n v="2"/>
  </r>
  <r>
    <n v="273"/>
    <s v="CLI-00799"/>
    <x v="23"/>
    <n v="83"/>
    <s v="Illimité 50Go"/>
    <s v="B2C"/>
    <n v="14"/>
    <n v="58.07"/>
    <n v="0"/>
    <n v="0"/>
    <n v="3"/>
  </r>
  <r>
    <n v="274"/>
    <s v="CLI-00800"/>
    <x v="9"/>
    <n v="4"/>
    <s v="Bloqué 5Go"/>
    <s v="B2C"/>
    <n v="21"/>
    <n v="45.8"/>
    <n v="0"/>
    <n v="0"/>
    <n v="1"/>
  </r>
  <r>
    <n v="275"/>
    <s v="CLI-00803"/>
    <x v="5"/>
    <n v="35"/>
    <s v="Pro Monde"/>
    <s v="B2B"/>
    <n v="299"/>
    <n v="96.32"/>
    <n v="0.1"/>
    <n v="9.6319999999999997"/>
    <n v="4"/>
  </r>
  <r>
    <n v="276"/>
    <s v="CLI-00805"/>
    <x v="16"/>
    <n v="97"/>
    <s v="Bloqué 5Go"/>
    <s v="B2C"/>
    <n v="484"/>
    <n v="61.98"/>
    <n v="0.45"/>
    <n v="27.890999999999998"/>
    <n v="1"/>
  </r>
  <r>
    <n v="277"/>
    <s v="CLI-00806"/>
    <x v="17"/>
    <n v="76"/>
    <s v="Illimité 50Go"/>
    <s v="B2C"/>
    <n v="383"/>
    <n v="53.73"/>
    <n v="0.45"/>
    <n v="24.1785"/>
    <n v="2"/>
  </r>
  <r>
    <n v="278"/>
    <s v="CLI-00808"/>
    <x v="9"/>
    <n v="10"/>
    <s v="Premium 5G 150Go"/>
    <s v="B2C"/>
    <n v="425"/>
    <n v="85.75"/>
    <n v="0.45"/>
    <n v="38.587499999999999"/>
    <n v="0"/>
  </r>
  <r>
    <n v="279"/>
    <s v="CLI-00809"/>
    <x v="15"/>
    <n v="68"/>
    <s v="Pro Monde"/>
    <s v="B2B"/>
    <n v="462"/>
    <n v="41.91"/>
    <n v="0.1"/>
    <n v="4.1909999999999998"/>
    <n v="1"/>
  </r>
  <r>
    <n v="280"/>
    <s v="CLI-00813"/>
    <x v="8"/>
    <n v="16"/>
    <s v="Bloqué 5Go"/>
    <s v="B2C"/>
    <n v="43"/>
    <n v="56.48"/>
    <n v="0"/>
    <n v="0"/>
    <n v="0"/>
  </r>
  <r>
    <n v="281"/>
    <s v="CLI-00815"/>
    <x v="22"/>
    <n v="109"/>
    <s v="Pro Monde"/>
    <s v="B2B"/>
    <n v="397"/>
    <n v="63.92"/>
    <n v="0.1"/>
    <n v="6.3920000000000003"/>
    <n v="1"/>
  </r>
  <r>
    <n v="282"/>
    <s v="CLI-00817"/>
    <x v="17"/>
    <n v="61"/>
    <s v="Premium 5G 150Go"/>
    <s v="B2C"/>
    <n v="140"/>
    <n v="76.3"/>
    <n v="0"/>
    <n v="0"/>
    <n v="4"/>
  </r>
  <r>
    <n v="283"/>
    <s v="CLI-00819"/>
    <x v="22"/>
    <n v="96"/>
    <s v="Pro Monde"/>
    <s v="B2B"/>
    <n v="280"/>
    <n v="80.36"/>
    <n v="0.1"/>
    <n v="8.0359999999999996"/>
    <n v="5"/>
  </r>
  <r>
    <n v="284"/>
    <s v="CLI-00821"/>
    <x v="22"/>
    <n v="25"/>
    <s v="Bloqué 5Go"/>
    <s v="B2C"/>
    <n v="33"/>
    <n v="30.93"/>
    <n v="0"/>
    <n v="0"/>
    <n v="1"/>
  </r>
  <r>
    <n v="285"/>
    <s v="CLI-00822"/>
    <x v="24"/>
    <n v="45"/>
    <s v="Illimité 50Go"/>
    <s v="B2C"/>
    <n v="43"/>
    <n v="12.31"/>
    <n v="0"/>
    <n v="0"/>
    <n v="0"/>
  </r>
  <r>
    <n v="286"/>
    <s v="CLI-00825"/>
    <x v="9"/>
    <n v="63"/>
    <s v="Illimité 50Go"/>
    <s v="B2C"/>
    <n v="109"/>
    <n v="10.33"/>
    <n v="0"/>
    <n v="0"/>
    <n v="3"/>
  </r>
  <r>
    <n v="287"/>
    <s v="CLI-00830"/>
    <x v="21"/>
    <n v="41"/>
    <s v="Illimité 50Go"/>
    <s v="B2C"/>
    <n v="90"/>
    <n v="97.26"/>
    <n v="0"/>
    <n v="0"/>
    <n v="1"/>
  </r>
  <r>
    <n v="288"/>
    <s v="CLI-00833"/>
    <x v="3"/>
    <n v="35"/>
    <s v="Illimité 50Go"/>
    <s v="B2C"/>
    <n v="107"/>
    <n v="66.69"/>
    <n v="0"/>
    <n v="0"/>
    <n v="4"/>
  </r>
  <r>
    <n v="289"/>
    <s v="CLI-00834"/>
    <x v="13"/>
    <n v="106"/>
    <s v="Bloqué 5Go"/>
    <s v="B2C"/>
    <n v="400"/>
    <n v="70.02"/>
    <n v="0.45"/>
    <n v="31.509"/>
    <n v="4"/>
  </r>
  <r>
    <n v="290"/>
    <s v="CLI-00837"/>
    <x v="9"/>
    <n v="16"/>
    <s v="Bloqué 5Go"/>
    <s v="B2C"/>
    <n v="390"/>
    <n v="98.17"/>
    <n v="0.45"/>
    <n v="44.176500000000004"/>
    <n v="5"/>
  </r>
  <r>
    <n v="291"/>
    <s v="CLI-00841"/>
    <x v="18"/>
    <n v="92"/>
    <s v="Bloqué 5Go"/>
    <s v="B2C"/>
    <n v="472"/>
    <n v="78.44"/>
    <n v="0.45"/>
    <n v="35.298000000000002"/>
    <n v="1"/>
  </r>
  <r>
    <n v="292"/>
    <s v="CLI-00846"/>
    <x v="3"/>
    <n v="115"/>
    <s v="Bloqué 5Go"/>
    <s v="B2C"/>
    <n v="236"/>
    <n v="50.64"/>
    <n v="0"/>
    <n v="0"/>
    <n v="1"/>
  </r>
  <r>
    <n v="293"/>
    <s v="CLI-00849"/>
    <x v="4"/>
    <n v="63"/>
    <s v="Illimité 50Go"/>
    <s v="B2C"/>
    <n v="95"/>
    <n v="56.81"/>
    <n v="0"/>
    <n v="0"/>
    <n v="0"/>
  </r>
  <r>
    <n v="294"/>
    <s v="CLI-00852"/>
    <x v="19"/>
    <n v="119"/>
    <s v="Bloqué 5Go"/>
    <s v="B2C"/>
    <n v="133"/>
    <n v="30.27"/>
    <n v="0"/>
    <n v="0"/>
    <n v="5"/>
  </r>
  <r>
    <n v="295"/>
    <s v="CLI-00853"/>
    <x v="23"/>
    <n v="14"/>
    <s v="Illimité 50Go"/>
    <s v="B2C"/>
    <n v="304"/>
    <n v="48.13"/>
    <n v="0.45"/>
    <n v="21.6585"/>
    <n v="2"/>
  </r>
  <r>
    <n v="296"/>
    <s v="CLI-00855"/>
    <x v="19"/>
    <n v="18"/>
    <s v="Bloqué 5Go"/>
    <s v="B2C"/>
    <n v="463"/>
    <n v="41.66"/>
    <n v="0.45"/>
    <n v="18.747"/>
    <n v="4"/>
  </r>
  <r>
    <n v="297"/>
    <s v="CLI-00857"/>
    <x v="4"/>
    <n v="76"/>
    <s v="Illimité 50Go"/>
    <s v="B2C"/>
    <n v="332"/>
    <n v="68.010000000000005"/>
    <n v="0.45"/>
    <n v="30.604500000000002"/>
    <n v="4"/>
  </r>
  <r>
    <n v="298"/>
    <s v="CLI-00862"/>
    <x v="16"/>
    <n v="48"/>
    <s v="Bloqué 5Go"/>
    <s v="B2C"/>
    <n v="436"/>
    <n v="15.17"/>
    <n v="0.45"/>
    <n v="6.8265000000000002"/>
    <n v="0"/>
  </r>
  <r>
    <n v="299"/>
    <s v="CLI-00865"/>
    <x v="2"/>
    <n v="34"/>
    <s v="Pro Monde"/>
    <s v="B2B"/>
    <n v="453"/>
    <n v="56.84"/>
    <n v="0.1"/>
    <n v="5.6840000000000011"/>
    <n v="0"/>
  </r>
  <r>
    <n v="300"/>
    <s v="CLI-00866"/>
    <x v="17"/>
    <n v="31"/>
    <s v="Bloqué 5Go"/>
    <s v="B2C"/>
    <n v="160"/>
    <n v="59.76"/>
    <n v="0"/>
    <n v="0"/>
    <n v="4"/>
  </r>
  <r>
    <n v="301"/>
    <s v="CLI-00867"/>
    <x v="8"/>
    <n v="74"/>
    <s v="Illimité 50Go"/>
    <s v="B2C"/>
    <n v="9"/>
    <n v="99.89"/>
    <n v="0"/>
    <n v="0"/>
    <n v="0"/>
  </r>
  <r>
    <n v="302"/>
    <s v="CLI-00868"/>
    <x v="5"/>
    <n v="88"/>
    <s v="Illimité 50Go"/>
    <s v="B2C"/>
    <n v="319"/>
    <n v="56.18"/>
    <n v="0.45"/>
    <n v="25.280999999999999"/>
    <n v="0"/>
  </r>
  <r>
    <n v="303"/>
    <s v="CLI-00871"/>
    <x v="21"/>
    <n v="81"/>
    <s v="Illimité 50Go"/>
    <s v="B2C"/>
    <n v="64"/>
    <n v="43.45"/>
    <n v="0"/>
    <n v="0"/>
    <n v="2"/>
  </r>
  <r>
    <n v="304"/>
    <s v="CLI-00873"/>
    <x v="11"/>
    <n v="74"/>
    <s v="Illimité 50Go"/>
    <s v="B2C"/>
    <n v="16"/>
    <n v="93.01"/>
    <n v="0"/>
    <n v="0"/>
    <n v="3"/>
  </r>
  <r>
    <n v="305"/>
    <s v="CLI-00876"/>
    <x v="14"/>
    <n v="108"/>
    <s v="Bloqué 5Go"/>
    <s v="B2C"/>
    <n v="460"/>
    <n v="88.95"/>
    <n v="0.45"/>
    <n v="40.027500000000003"/>
    <n v="3"/>
  </r>
  <r>
    <n v="306"/>
    <s v="CLI-00879"/>
    <x v="24"/>
    <n v="91"/>
    <s v="Illimité 50Go"/>
    <s v="B2C"/>
    <n v="63"/>
    <n v="57.76"/>
    <n v="0"/>
    <n v="0"/>
    <n v="5"/>
  </r>
  <r>
    <n v="307"/>
    <s v="CLI-00881"/>
    <x v="10"/>
    <n v="7"/>
    <s v="Illimité 50Go"/>
    <s v="B2C"/>
    <n v="94"/>
    <n v="68.38"/>
    <n v="0"/>
    <n v="0"/>
    <n v="3"/>
  </r>
  <r>
    <n v="308"/>
    <s v="CLI-00884"/>
    <x v="22"/>
    <n v="47"/>
    <s v="Premium 5G 150Go"/>
    <s v="B2C"/>
    <n v="49"/>
    <n v="55.88"/>
    <n v="0"/>
    <n v="0"/>
    <n v="3"/>
  </r>
  <r>
    <n v="309"/>
    <s v="CLI-00885"/>
    <x v="9"/>
    <n v="54"/>
    <s v="Illimité 50Go"/>
    <s v="B2C"/>
    <n v="215"/>
    <n v="54.69"/>
    <n v="0"/>
    <n v="0"/>
    <n v="0"/>
  </r>
  <r>
    <n v="310"/>
    <s v="CLI-00886"/>
    <x v="2"/>
    <n v="80"/>
    <s v="Pro Monde"/>
    <s v="B2B"/>
    <n v="458"/>
    <n v="98.11"/>
    <n v="0.1"/>
    <n v="9.8109999999999999"/>
    <n v="0"/>
  </r>
  <r>
    <n v="311"/>
    <s v="CLI-00887"/>
    <x v="10"/>
    <n v="115"/>
    <s v="Illimité 50Go"/>
    <s v="B2C"/>
    <n v="467"/>
    <n v="24.57"/>
    <n v="0.45"/>
    <n v="11.0565"/>
    <n v="3"/>
  </r>
  <r>
    <n v="312"/>
    <s v="CLI-00890"/>
    <x v="5"/>
    <n v="103"/>
    <s v="Premium 5G 150Go"/>
    <s v="B2C"/>
    <n v="310"/>
    <n v="49.25"/>
    <n v="0.45"/>
    <n v="22.162500000000001"/>
    <n v="2"/>
  </r>
  <r>
    <n v="313"/>
    <s v="CLI-00892"/>
    <x v="15"/>
    <n v="32"/>
    <s v="Pro Monde"/>
    <s v="B2B"/>
    <n v="4"/>
    <n v="39"/>
    <n v="0.1"/>
    <n v="3.9000000000000004"/>
    <n v="0"/>
  </r>
  <r>
    <n v="314"/>
    <s v="CLI-00893"/>
    <x v="14"/>
    <n v="54"/>
    <s v="Bloqué 5Go"/>
    <s v="B2C"/>
    <n v="450"/>
    <n v="90.85"/>
    <n v="0.45"/>
    <n v="40.8825"/>
    <n v="1"/>
  </r>
  <r>
    <n v="315"/>
    <s v="CLI-00894"/>
    <x v="6"/>
    <n v="63"/>
    <s v="Pro Monde"/>
    <s v="B2B"/>
    <n v="205"/>
    <n v="89.19"/>
    <n v="0.1"/>
    <n v="8.9190000000000005"/>
    <n v="0"/>
  </r>
  <r>
    <n v="316"/>
    <s v="CLI-00896"/>
    <x v="14"/>
    <n v="16"/>
    <s v="Premium 5G 150Go"/>
    <s v="B2C"/>
    <n v="274"/>
    <n v="27.97"/>
    <n v="0.45"/>
    <n v="12.586499999999999"/>
    <n v="4"/>
  </r>
  <r>
    <n v="317"/>
    <s v="CLI-00898"/>
    <x v="25"/>
    <n v="95"/>
    <s v="Premium 5G 150Go"/>
    <s v="B2C"/>
    <n v="313"/>
    <n v="32.49"/>
    <n v="0.45"/>
    <n v="14.620500000000002"/>
    <n v="1"/>
  </r>
  <r>
    <n v="318"/>
    <s v="CLI-00899"/>
    <x v="0"/>
    <n v="48"/>
    <s v="Pro Monde"/>
    <s v="B2B"/>
    <n v="76"/>
    <n v="39.35"/>
    <n v="0.1"/>
    <n v="3.9350000000000005"/>
    <n v="2"/>
  </r>
  <r>
    <n v="319"/>
    <s v="CLI-00901"/>
    <x v="14"/>
    <n v="83"/>
    <s v="Bloqué 5Go"/>
    <s v="B2C"/>
    <n v="126"/>
    <n v="67.17"/>
    <n v="0"/>
    <n v="0"/>
    <n v="1"/>
  </r>
  <r>
    <n v="320"/>
    <s v="CLI-00902"/>
    <x v="2"/>
    <n v="96"/>
    <s v="Illimité 50Go"/>
    <s v="B2C"/>
    <n v="155"/>
    <n v="69.16"/>
    <n v="0"/>
    <n v="0"/>
    <n v="4"/>
  </r>
  <r>
    <n v="321"/>
    <s v="CLI-00905"/>
    <x v="9"/>
    <n v="13"/>
    <s v="Illimité 50Go"/>
    <s v="B2C"/>
    <n v="482"/>
    <n v="50.15"/>
    <n v="0.45"/>
    <n v="22.567499999999999"/>
    <n v="0"/>
  </r>
  <r>
    <n v="322"/>
    <s v="CLI-00907"/>
    <x v="6"/>
    <n v="4"/>
    <s v="Bloqué 5Go"/>
    <s v="B2C"/>
    <n v="227"/>
    <n v="83.32"/>
    <n v="0"/>
    <n v="0"/>
    <n v="2"/>
  </r>
  <r>
    <n v="323"/>
    <s v="CLI-00909"/>
    <x v="12"/>
    <n v="49"/>
    <s v="Illimité 50Go"/>
    <s v="B2C"/>
    <n v="6"/>
    <n v="44.41"/>
    <n v="0"/>
    <n v="0"/>
    <n v="3"/>
  </r>
  <r>
    <n v="324"/>
    <s v="CLI-00912"/>
    <x v="8"/>
    <n v="37"/>
    <s v="Premium 5G 150Go"/>
    <s v="B2C"/>
    <n v="420"/>
    <n v="67.260000000000005"/>
    <n v="0.45"/>
    <n v="30.267000000000003"/>
    <n v="4"/>
  </r>
  <r>
    <n v="325"/>
    <s v="CLI-00913"/>
    <x v="5"/>
    <n v="88"/>
    <s v="Bloqué 5Go"/>
    <s v="B2C"/>
    <n v="246"/>
    <n v="90.7"/>
    <n v="0.45"/>
    <n v="40.815000000000005"/>
    <n v="3"/>
  </r>
  <r>
    <n v="326"/>
    <s v="CLI-00919"/>
    <x v="21"/>
    <n v="26"/>
    <s v="Bloqué 5Go"/>
    <s v="B2C"/>
    <n v="413"/>
    <n v="10.9"/>
    <n v="0.45"/>
    <n v="4.9050000000000002"/>
    <n v="5"/>
  </r>
  <r>
    <n v="327"/>
    <s v="CLI-00921"/>
    <x v="14"/>
    <n v="86"/>
    <s v="Pro Monde"/>
    <s v="B2B"/>
    <n v="353"/>
    <n v="25.37"/>
    <n v="0.1"/>
    <n v="2.5370000000000004"/>
    <n v="1"/>
  </r>
  <r>
    <n v="328"/>
    <s v="CLI-00922"/>
    <x v="7"/>
    <n v="101"/>
    <s v="Pro Monde"/>
    <s v="B2B"/>
    <n v="108"/>
    <n v="76.05"/>
    <n v="0.1"/>
    <n v="7.6050000000000004"/>
    <n v="3"/>
  </r>
  <r>
    <n v="329"/>
    <s v="CLI-00924"/>
    <x v="21"/>
    <n v="105"/>
    <s v="Premium 5G 150Go"/>
    <s v="B2C"/>
    <n v="17"/>
    <n v="60.05"/>
    <n v="0"/>
    <n v="0"/>
    <n v="4"/>
  </r>
  <r>
    <n v="330"/>
    <s v="CLI-00925"/>
    <x v="19"/>
    <n v="61"/>
    <s v="Illimité 50Go"/>
    <s v="B2C"/>
    <n v="87"/>
    <n v="68.319999999999993"/>
    <n v="0"/>
    <n v="0"/>
    <n v="2"/>
  </r>
  <r>
    <n v="331"/>
    <s v="CLI-00928"/>
    <x v="20"/>
    <n v="94"/>
    <s v="Illimité 50Go"/>
    <s v="B2C"/>
    <n v="6"/>
    <n v="67.459999999999994"/>
    <n v="0"/>
    <n v="0"/>
    <n v="5"/>
  </r>
  <r>
    <n v="332"/>
    <s v="CLI-00929"/>
    <x v="16"/>
    <n v="6"/>
    <s v="Pro Monde"/>
    <s v="B2B"/>
    <n v="109"/>
    <n v="39.880000000000003"/>
    <n v="0.1"/>
    <n v="3.9880000000000004"/>
    <n v="4"/>
  </r>
  <r>
    <n v="333"/>
    <s v="CLI-00930"/>
    <x v="23"/>
    <n v="62"/>
    <s v="Illimité 50Go"/>
    <s v="B2C"/>
    <n v="136"/>
    <n v="88.61"/>
    <n v="0"/>
    <n v="0"/>
    <n v="2"/>
  </r>
  <r>
    <n v="334"/>
    <s v="CLI-00932"/>
    <x v="24"/>
    <n v="34"/>
    <s v="Illimité 50Go"/>
    <s v="B2C"/>
    <n v="181"/>
    <n v="35.92"/>
    <n v="0"/>
    <n v="0"/>
    <n v="2"/>
  </r>
  <r>
    <n v="335"/>
    <s v="CLI-00938"/>
    <x v="2"/>
    <n v="99"/>
    <s v="Pro Monde"/>
    <s v="B2B"/>
    <n v="138"/>
    <n v="54.64"/>
    <n v="0.1"/>
    <n v="5.4640000000000004"/>
    <n v="5"/>
  </r>
  <r>
    <n v="336"/>
    <s v="CLI-00939"/>
    <x v="19"/>
    <n v="59"/>
    <s v="Premium 5G 150Go"/>
    <s v="B2C"/>
    <n v="352"/>
    <n v="74.239999999999995"/>
    <n v="0.45"/>
    <n v="33.408000000000001"/>
    <n v="0"/>
  </r>
  <r>
    <n v="337"/>
    <s v="CLI-00943"/>
    <x v="1"/>
    <n v="19"/>
    <s v="Bloqué 5Go"/>
    <s v="B2C"/>
    <n v="71"/>
    <n v="68.2"/>
    <n v="0"/>
    <n v="0"/>
    <n v="0"/>
  </r>
  <r>
    <n v="338"/>
    <s v="CLI-00948"/>
    <x v="18"/>
    <n v="56"/>
    <s v="Pro Monde"/>
    <s v="B2B"/>
    <n v="55"/>
    <n v="82.56"/>
    <n v="0.1"/>
    <n v="8.2560000000000002"/>
    <n v="2"/>
  </r>
  <r>
    <n v="339"/>
    <s v="CLI-00950"/>
    <x v="0"/>
    <n v="94"/>
    <s v="Pro Monde"/>
    <s v="B2B"/>
    <n v="247"/>
    <n v="96.57"/>
    <n v="0.1"/>
    <n v="9.657"/>
    <n v="0"/>
  </r>
  <r>
    <n v="340"/>
    <s v="CLI-00952"/>
    <x v="23"/>
    <n v="14"/>
    <s v="Pro Monde"/>
    <s v="B2B"/>
    <n v="236"/>
    <n v="54.43"/>
    <n v="0.1"/>
    <n v="5.4430000000000005"/>
    <n v="3"/>
  </r>
  <r>
    <n v="341"/>
    <s v="CLI-00957"/>
    <x v="23"/>
    <n v="63"/>
    <s v="Pro Monde"/>
    <s v="B2B"/>
    <n v="121"/>
    <n v="39.18"/>
    <n v="0.1"/>
    <n v="3.9180000000000001"/>
    <n v="2"/>
  </r>
  <r>
    <n v="342"/>
    <s v="CLI-00959"/>
    <x v="8"/>
    <n v="111"/>
    <s v="Bloqué 5Go"/>
    <s v="B2C"/>
    <n v="194"/>
    <n v="48.55"/>
    <n v="0"/>
    <n v="0"/>
    <n v="2"/>
  </r>
  <r>
    <n v="343"/>
    <s v="CLI-00960"/>
    <x v="1"/>
    <n v="25"/>
    <s v="Pro Monde"/>
    <s v="B2B"/>
    <n v="66"/>
    <n v="90.14"/>
    <n v="0.1"/>
    <n v="9.0140000000000011"/>
    <n v="5"/>
  </r>
  <r>
    <n v="344"/>
    <s v="CLI-00961"/>
    <x v="22"/>
    <n v="37"/>
    <s v="Pro Monde"/>
    <s v="B2B"/>
    <n v="88"/>
    <n v="77.77"/>
    <n v="0.1"/>
    <n v="7.7770000000000001"/>
    <n v="1"/>
  </r>
  <r>
    <n v="345"/>
    <s v="CLI-00962"/>
    <x v="5"/>
    <n v="29"/>
    <s v="Bloqué 5Go"/>
    <s v="B2C"/>
    <n v="306"/>
    <n v="82.16"/>
    <n v="0.45"/>
    <n v="36.972000000000001"/>
    <n v="1"/>
  </r>
  <r>
    <n v="346"/>
    <s v="CLI-00964"/>
    <x v="10"/>
    <n v="13"/>
    <s v="Pro Monde"/>
    <s v="B2B"/>
    <n v="87"/>
    <n v="66.36"/>
    <n v="0.1"/>
    <n v="6.6360000000000001"/>
    <n v="0"/>
  </r>
  <r>
    <n v="347"/>
    <s v="CLI-00965"/>
    <x v="7"/>
    <n v="27"/>
    <s v="Premium 5G 150Go"/>
    <s v="B2C"/>
    <n v="369"/>
    <n v="19.78"/>
    <n v="0.45"/>
    <n v="8.9010000000000016"/>
    <n v="1"/>
  </r>
  <r>
    <n v="348"/>
    <s v="CLI-00966"/>
    <x v="12"/>
    <n v="110"/>
    <s v="Premium 5G 150Go"/>
    <s v="B2C"/>
    <n v="289"/>
    <n v="83.67"/>
    <n v="0.45"/>
    <n v="37.651499999999999"/>
    <n v="4"/>
  </r>
  <r>
    <n v="349"/>
    <s v="CLI-00970"/>
    <x v="3"/>
    <n v="82"/>
    <s v="Pro Monde"/>
    <s v="B2B"/>
    <n v="312"/>
    <n v="40.880000000000003"/>
    <n v="0.1"/>
    <n v="4.0880000000000001"/>
    <n v="0"/>
  </r>
  <r>
    <n v="350"/>
    <s v="CLI-00971"/>
    <x v="22"/>
    <n v="1"/>
    <s v="Pro Monde"/>
    <s v="B2B"/>
    <n v="424"/>
    <n v="59.2"/>
    <n v="0.1"/>
    <n v="5.9200000000000008"/>
    <n v="2"/>
  </r>
  <r>
    <n v="351"/>
    <s v="CLI-00973"/>
    <x v="11"/>
    <n v="72"/>
    <s v="Premium 5G 150Go"/>
    <s v="B2C"/>
    <n v="5"/>
    <n v="68.650000000000006"/>
    <n v="0"/>
    <n v="0"/>
    <n v="0"/>
  </r>
  <r>
    <n v="352"/>
    <s v="CLI-00974"/>
    <x v="23"/>
    <n v="7"/>
    <s v="Premium 5G 150Go"/>
    <s v="B2C"/>
    <n v="317"/>
    <n v="97.32"/>
    <n v="0.45"/>
    <n v="43.793999999999997"/>
    <n v="1"/>
  </r>
  <r>
    <n v="353"/>
    <s v="CLI-00976"/>
    <x v="12"/>
    <n v="65"/>
    <s v="Pro Monde"/>
    <s v="B2B"/>
    <n v="274"/>
    <n v="88.1"/>
    <n v="0.1"/>
    <n v="8.81"/>
    <n v="4"/>
  </r>
  <r>
    <n v="354"/>
    <s v="CLI-00978"/>
    <x v="1"/>
    <n v="16"/>
    <s v="Premium 5G 150Go"/>
    <s v="B2C"/>
    <n v="96"/>
    <n v="86.78"/>
    <n v="0"/>
    <n v="0"/>
    <n v="1"/>
  </r>
  <r>
    <n v="355"/>
    <s v="CLI-00979"/>
    <x v="6"/>
    <n v="74"/>
    <s v="Bloqué 5Go"/>
    <s v="B2C"/>
    <n v="265"/>
    <n v="90.81"/>
    <n v="0.45"/>
    <n v="40.8645"/>
    <n v="3"/>
  </r>
  <r>
    <n v="356"/>
    <s v="CLI-00980"/>
    <x v="25"/>
    <n v="106"/>
    <s v="Illimité 50Go"/>
    <s v="B2C"/>
    <n v="128"/>
    <n v="35.96"/>
    <n v="0"/>
    <n v="0"/>
    <n v="2"/>
  </r>
  <r>
    <n v="357"/>
    <s v="CLI-00983"/>
    <x v="19"/>
    <n v="50"/>
    <s v="Illimité 50Go"/>
    <s v="B2C"/>
    <n v="357"/>
    <n v="17"/>
    <n v="0.45"/>
    <n v="7.65"/>
    <n v="3"/>
  </r>
  <r>
    <n v="358"/>
    <s v="CLI-00986"/>
    <x v="13"/>
    <n v="37"/>
    <s v="Illimité 50Go"/>
    <s v="B2C"/>
    <n v="3"/>
    <n v="20.89"/>
    <n v="0"/>
    <n v="0"/>
    <n v="5"/>
  </r>
  <r>
    <n v="359"/>
    <s v="CLI-00994"/>
    <x v="0"/>
    <n v="71"/>
    <s v="Illimité 50Go"/>
    <s v="B2C"/>
    <n v="68"/>
    <n v="53.11"/>
    <n v="0"/>
    <n v="0"/>
    <n v="2"/>
  </r>
  <r>
    <n v="360"/>
    <s v="CLI-00996"/>
    <x v="1"/>
    <n v="119"/>
    <s v="Illimité 50Go"/>
    <s v="B2C"/>
    <n v="228"/>
    <n v="94.72"/>
    <n v="0"/>
    <n v="0"/>
    <n v="3"/>
  </r>
  <r>
    <n v="361"/>
    <s v="CLI-00997"/>
    <x v="4"/>
    <n v="20"/>
    <s v="Bloqué 5Go"/>
    <s v="B2C"/>
    <n v="297"/>
    <n v="14.77"/>
    <n v="0.45"/>
    <n v="6.6464999999999996"/>
    <n v="0"/>
  </r>
  <r>
    <n v="362"/>
    <s v="CLI-00999"/>
    <x v="13"/>
    <n v="109"/>
    <s v="Illimité 50Go"/>
    <s v="B2C"/>
    <n v="104"/>
    <n v="12.37"/>
    <n v="0"/>
    <n v="0"/>
    <n v="5"/>
  </r>
  <r>
    <n v="363"/>
    <s v="CLI-01000"/>
    <x v="20"/>
    <n v="78"/>
    <s v="Premium 5G 150Go"/>
    <s v="B2C"/>
    <n v="387"/>
    <n v="11.63"/>
    <n v="0.45"/>
    <n v="5.2335000000000003"/>
    <n v="2"/>
  </r>
  <r>
    <n v="364"/>
    <s v="CLI-01003"/>
    <x v="19"/>
    <n v="11"/>
    <s v="Pro Monde"/>
    <s v="B2B"/>
    <n v="214"/>
    <n v="11.46"/>
    <n v="0.1"/>
    <n v="1.1460000000000001"/>
    <n v="5"/>
  </r>
  <r>
    <n v="365"/>
    <s v="CLI-01005"/>
    <x v="25"/>
    <n v="80"/>
    <s v="Illimité 50Go"/>
    <s v="B2C"/>
    <n v="155"/>
    <n v="28.96"/>
    <n v="0"/>
    <n v="0"/>
    <n v="2"/>
  </r>
  <r>
    <n v="366"/>
    <s v="CLI-01006"/>
    <x v="22"/>
    <n v="110"/>
    <s v="Illimité 50Go"/>
    <s v="B2C"/>
    <n v="47"/>
    <n v="29.68"/>
    <n v="0"/>
    <n v="0"/>
    <n v="0"/>
  </r>
  <r>
    <n v="367"/>
    <s v="CLI-01007"/>
    <x v="17"/>
    <n v="5"/>
    <s v="Bloqué 5Go"/>
    <s v="B2C"/>
    <n v="239"/>
    <n v="26.95"/>
    <n v="0"/>
    <n v="0"/>
    <n v="2"/>
  </r>
  <r>
    <n v="368"/>
    <s v="CLI-01010"/>
    <x v="7"/>
    <n v="90"/>
    <s v="Bloqué 5Go"/>
    <s v="B2C"/>
    <n v="216"/>
    <n v="45.58"/>
    <n v="0"/>
    <n v="0"/>
    <n v="0"/>
  </r>
  <r>
    <n v="369"/>
    <s v="CLI-01013"/>
    <x v="4"/>
    <n v="105"/>
    <s v="Illimité 50Go"/>
    <s v="B2C"/>
    <n v="3"/>
    <n v="71.010000000000005"/>
    <n v="0"/>
    <n v="0"/>
    <n v="1"/>
  </r>
  <r>
    <n v="370"/>
    <s v="CLI-01014"/>
    <x v="19"/>
    <n v="39"/>
    <s v="Illimité 50Go"/>
    <s v="B2C"/>
    <n v="327"/>
    <n v="87.24"/>
    <n v="0.45"/>
    <n v="39.257999999999996"/>
    <n v="4"/>
  </r>
  <r>
    <n v="371"/>
    <s v="CLI-01015"/>
    <x v="14"/>
    <n v="21"/>
    <s v="Bloqué 5Go"/>
    <s v="B2C"/>
    <n v="267"/>
    <n v="74.989999999999995"/>
    <n v="0.45"/>
    <n v="33.7455"/>
    <n v="1"/>
  </r>
  <r>
    <n v="372"/>
    <s v="CLI-01016"/>
    <x v="2"/>
    <n v="9"/>
    <s v="Illimité 50Go"/>
    <s v="B2C"/>
    <n v="102"/>
    <n v="41.52"/>
    <n v="0"/>
    <n v="0"/>
    <n v="0"/>
  </r>
  <r>
    <n v="373"/>
    <s v="CLI-01017"/>
    <x v="14"/>
    <n v="53"/>
    <s v="Pro Monde"/>
    <s v="B2B"/>
    <n v="385"/>
    <n v="68.78"/>
    <n v="0.1"/>
    <n v="6.8780000000000001"/>
    <n v="3"/>
  </r>
  <r>
    <n v="374"/>
    <s v="CLI-01021"/>
    <x v="21"/>
    <n v="64"/>
    <s v="Pro Monde"/>
    <s v="B2B"/>
    <n v="15"/>
    <n v="56.94"/>
    <n v="0.1"/>
    <n v="5.694"/>
    <n v="4"/>
  </r>
  <r>
    <n v="375"/>
    <s v="CLI-01023"/>
    <x v="19"/>
    <n v="45"/>
    <s v="Bloqué 5Go"/>
    <s v="B2C"/>
    <n v="439"/>
    <n v="13.62"/>
    <n v="0.45"/>
    <n v="6.1289999999999996"/>
    <n v="4"/>
  </r>
  <r>
    <n v="376"/>
    <s v="CLI-01025"/>
    <x v="3"/>
    <n v="86"/>
    <s v="Bloqué 5Go"/>
    <s v="B2C"/>
    <n v="460"/>
    <n v="22.81"/>
    <n v="0.45"/>
    <n v="10.2645"/>
    <n v="4"/>
  </r>
  <r>
    <n v="377"/>
    <s v="CLI-01032"/>
    <x v="17"/>
    <n v="45"/>
    <s v="Illimité 50Go"/>
    <s v="B2C"/>
    <n v="26"/>
    <n v="30.35"/>
    <n v="0"/>
    <n v="0"/>
    <n v="1"/>
  </r>
  <r>
    <n v="378"/>
    <s v="CLI-01034"/>
    <x v="10"/>
    <n v="101"/>
    <s v="Premium 5G 150Go"/>
    <s v="B2C"/>
    <n v="476"/>
    <n v="41.85"/>
    <n v="0.45"/>
    <n v="18.8325"/>
    <n v="4"/>
  </r>
  <r>
    <n v="379"/>
    <s v="CLI-01037"/>
    <x v="5"/>
    <n v="21"/>
    <s v="Illimité 50Go"/>
    <s v="B2C"/>
    <n v="107"/>
    <n v="30.97"/>
    <n v="0"/>
    <n v="0"/>
    <n v="4"/>
  </r>
  <r>
    <n v="380"/>
    <s v="CLI-01040"/>
    <x v="25"/>
    <n v="56"/>
    <s v="Illimité 50Go"/>
    <s v="B2C"/>
    <n v="41"/>
    <n v="15.1"/>
    <n v="0"/>
    <n v="0"/>
    <n v="5"/>
  </r>
  <r>
    <n v="381"/>
    <s v="CLI-01042"/>
    <x v="18"/>
    <n v="55"/>
    <s v="Illimité 50Go"/>
    <s v="B2C"/>
    <n v="494"/>
    <n v="77.599999999999994"/>
    <n v="0.45"/>
    <n v="34.92"/>
    <n v="4"/>
  </r>
  <r>
    <n v="382"/>
    <s v="CLI-01046"/>
    <x v="8"/>
    <n v="2"/>
    <s v="Pro Monde"/>
    <s v="B2B"/>
    <n v="481"/>
    <n v="29.37"/>
    <n v="0.1"/>
    <n v="2.9370000000000003"/>
    <n v="4"/>
  </r>
  <r>
    <n v="383"/>
    <s v="CLI-01050"/>
    <x v="14"/>
    <n v="41"/>
    <s v="Premium 5G 150Go"/>
    <s v="B2C"/>
    <n v="178"/>
    <n v="11.29"/>
    <n v="0"/>
    <n v="0"/>
    <n v="4"/>
  </r>
  <r>
    <n v="384"/>
    <s v="CLI-01052"/>
    <x v="8"/>
    <n v="82"/>
    <s v="Illimité 50Go"/>
    <s v="B2C"/>
    <n v="175"/>
    <n v="86.14"/>
    <n v="0"/>
    <n v="0"/>
    <n v="1"/>
  </r>
  <r>
    <n v="385"/>
    <s v="CLI-01058"/>
    <x v="24"/>
    <n v="86"/>
    <s v="Premium 5G 150Go"/>
    <s v="B2C"/>
    <n v="111"/>
    <n v="23.65"/>
    <n v="0"/>
    <n v="0"/>
    <n v="0"/>
  </r>
  <r>
    <n v="386"/>
    <s v="CLI-01059"/>
    <x v="5"/>
    <n v="45"/>
    <s v="Illimité 50Go"/>
    <s v="B2C"/>
    <n v="356"/>
    <n v="33.76"/>
    <n v="0.45"/>
    <n v="15.192"/>
    <n v="0"/>
  </r>
  <r>
    <n v="387"/>
    <s v="CLI-01069"/>
    <x v="1"/>
    <n v="111"/>
    <s v="Premium 5G 150Go"/>
    <s v="B2C"/>
    <n v="103"/>
    <n v="32.06"/>
    <n v="0"/>
    <n v="0"/>
    <n v="0"/>
  </r>
  <r>
    <n v="388"/>
    <s v="CLI-01072"/>
    <x v="17"/>
    <n v="34"/>
    <s v="Pro Monde"/>
    <s v="B2B"/>
    <n v="58"/>
    <n v="64.349999999999994"/>
    <n v="0.1"/>
    <n v="6.4349999999999996"/>
    <n v="0"/>
  </r>
  <r>
    <n v="389"/>
    <s v="CLI-01075"/>
    <x v="10"/>
    <n v="91"/>
    <s v="Bloqué 5Go"/>
    <s v="B2C"/>
    <n v="62"/>
    <n v="34.450000000000003"/>
    <n v="0"/>
    <n v="0"/>
    <n v="5"/>
  </r>
  <r>
    <n v="390"/>
    <s v="CLI-01076"/>
    <x v="5"/>
    <n v="86"/>
    <s v="Pro Monde"/>
    <s v="B2B"/>
    <n v="252"/>
    <n v="96.5"/>
    <n v="0.1"/>
    <n v="9.65"/>
    <n v="5"/>
  </r>
  <r>
    <n v="391"/>
    <s v="CLI-01077"/>
    <x v="17"/>
    <n v="95"/>
    <s v="Premium 5G 150Go"/>
    <s v="B2C"/>
    <n v="51"/>
    <n v="94.77"/>
    <n v="0"/>
    <n v="0"/>
    <n v="5"/>
  </r>
  <r>
    <n v="392"/>
    <s v="CLI-01078"/>
    <x v="20"/>
    <n v="37"/>
    <s v="Pro Monde"/>
    <s v="B2B"/>
    <n v="37"/>
    <n v="92.72"/>
    <n v="0.1"/>
    <n v="9.2720000000000002"/>
    <n v="0"/>
  </r>
  <r>
    <n v="393"/>
    <s v="CLI-01080"/>
    <x v="21"/>
    <n v="56"/>
    <s v="Bloqué 5Go"/>
    <s v="B2C"/>
    <n v="379"/>
    <n v="49.01"/>
    <n v="0.45"/>
    <n v="22.054500000000001"/>
    <n v="0"/>
  </r>
  <r>
    <n v="394"/>
    <s v="CLI-01082"/>
    <x v="0"/>
    <n v="4"/>
    <s v="Pro Monde"/>
    <s v="B2B"/>
    <n v="449"/>
    <n v="43.95"/>
    <n v="0.1"/>
    <n v="4.3950000000000005"/>
    <n v="2"/>
  </r>
  <r>
    <n v="395"/>
    <s v="CLI-01087"/>
    <x v="19"/>
    <n v="13"/>
    <s v="Pro Monde"/>
    <s v="B2B"/>
    <n v="173"/>
    <n v="85.54"/>
    <n v="0.1"/>
    <n v="8.5540000000000003"/>
    <n v="3"/>
  </r>
  <r>
    <n v="396"/>
    <s v="CLI-01093"/>
    <x v="17"/>
    <n v="70"/>
    <s v="Pro Monde"/>
    <s v="B2B"/>
    <n v="290"/>
    <n v="96.31"/>
    <n v="0.1"/>
    <n v="9.6310000000000002"/>
    <n v="1"/>
  </r>
  <r>
    <n v="397"/>
    <s v="CLI-01095"/>
    <x v="24"/>
    <n v="49"/>
    <s v="Illimité 50Go"/>
    <s v="B2C"/>
    <n v="25"/>
    <n v="22.77"/>
    <n v="0"/>
    <n v="0"/>
    <n v="3"/>
  </r>
  <r>
    <n v="398"/>
    <s v="CLI-01096"/>
    <x v="4"/>
    <n v="11"/>
    <s v="Bloqué 5Go"/>
    <s v="B2C"/>
    <n v="215"/>
    <n v="51.99"/>
    <n v="0"/>
    <n v="0"/>
    <n v="1"/>
  </r>
  <r>
    <n v="399"/>
    <s v="CLI-01104"/>
    <x v="22"/>
    <n v="40"/>
    <s v="Premium 5G 150Go"/>
    <s v="B2C"/>
    <n v="235"/>
    <n v="15.01"/>
    <n v="0"/>
    <n v="0"/>
    <n v="3"/>
  </r>
  <r>
    <n v="400"/>
    <s v="CLI-01118"/>
    <x v="21"/>
    <n v="33"/>
    <s v="Illimité 50Go"/>
    <s v="B2C"/>
    <n v="337"/>
    <n v="62.61"/>
    <n v="0.45"/>
    <n v="28.174500000000002"/>
    <n v="2"/>
  </r>
  <r>
    <n v="401"/>
    <s v="CLI-01121"/>
    <x v="25"/>
    <n v="91"/>
    <s v="Illimité 50Go"/>
    <s v="B2C"/>
    <n v="90"/>
    <n v="39.14"/>
    <n v="0"/>
    <n v="0"/>
    <n v="3"/>
  </r>
  <r>
    <n v="402"/>
    <s v="CLI-01122"/>
    <x v="9"/>
    <n v="18"/>
    <s v="Pro Monde"/>
    <s v="B2B"/>
    <n v="71"/>
    <n v="46.98"/>
    <n v="0.1"/>
    <n v="4.6979999999999995"/>
    <n v="2"/>
  </r>
  <r>
    <n v="403"/>
    <s v="CLI-01128"/>
    <x v="5"/>
    <n v="112"/>
    <s v="Premium 5G 150Go"/>
    <s v="B2C"/>
    <n v="460"/>
    <n v="55.47"/>
    <n v="0.45"/>
    <n v="24.961500000000001"/>
    <n v="4"/>
  </r>
  <r>
    <n v="404"/>
    <s v="CLI-01129"/>
    <x v="16"/>
    <n v="27"/>
    <s v="Bloqué 5Go"/>
    <s v="B2C"/>
    <n v="70"/>
    <n v="20.32"/>
    <n v="0"/>
    <n v="0"/>
    <n v="3"/>
  </r>
  <r>
    <n v="405"/>
    <s v="CLI-01132"/>
    <x v="19"/>
    <n v="-36"/>
    <s v="Bloqué 5Go"/>
    <s v="B2C"/>
    <n v="404"/>
    <n v="40.21"/>
    <n v="0.45"/>
    <n v="18.0945"/>
    <n v="1"/>
  </r>
  <r>
    <n v="406"/>
    <s v="CLI-01134"/>
    <x v="22"/>
    <n v="90"/>
    <s v="Illimité 50Go"/>
    <s v="B2C"/>
    <n v="412"/>
    <n v="20.62"/>
    <n v="0.45"/>
    <n v="9.2789999999999999"/>
    <n v="2"/>
  </r>
  <r>
    <n v="407"/>
    <s v="CLI-01136"/>
    <x v="5"/>
    <n v="33"/>
    <s v="Pro Monde"/>
    <s v="B2B"/>
    <n v="391"/>
    <n v="88.88"/>
    <n v="0.1"/>
    <n v="8.8879999999999999"/>
    <n v="4"/>
  </r>
  <r>
    <n v="408"/>
    <s v="CLI-01139"/>
    <x v="13"/>
    <n v="1"/>
    <s v="Premium 5G 150Go"/>
    <s v="B2C"/>
    <n v="368"/>
    <n v="35.17"/>
    <n v="0.45"/>
    <n v="15.826500000000001"/>
    <n v="1"/>
  </r>
  <r>
    <n v="409"/>
    <s v="CLI-01141"/>
    <x v="2"/>
    <n v="117"/>
    <s v="Illimité 50Go"/>
    <s v="B2C"/>
    <n v="338"/>
    <n v="29.18"/>
    <n v="0.45"/>
    <n v="13.131"/>
    <n v="5"/>
  </r>
  <r>
    <n v="410"/>
    <s v="CLI-01144"/>
    <x v="19"/>
    <n v="50"/>
    <s v="Illimité 50Go"/>
    <s v="B2C"/>
    <n v="446"/>
    <n v="31.56"/>
    <n v="0.45"/>
    <n v="14.202"/>
    <n v="5"/>
  </r>
  <r>
    <n v="411"/>
    <s v="CLI-01146"/>
    <x v="6"/>
    <n v="76"/>
    <s v="Premium 5G 150Go"/>
    <s v="B2C"/>
    <n v="187"/>
    <n v="56.29"/>
    <n v="0"/>
    <n v="0"/>
    <n v="1"/>
  </r>
  <r>
    <n v="412"/>
    <s v="CLI-01147"/>
    <x v="8"/>
    <n v="29"/>
    <s v="Premium 5G 150Go"/>
    <s v="B2C"/>
    <n v="214"/>
    <n v="74.7"/>
    <n v="0"/>
    <n v="0"/>
    <n v="3"/>
  </r>
  <r>
    <n v="413"/>
    <s v="CLI-01149"/>
    <x v="24"/>
    <n v="88"/>
    <s v="Bloqué 5Go"/>
    <s v="B2C"/>
    <n v="474"/>
    <n v="23.35"/>
    <n v="0.45"/>
    <n v="10.5075"/>
    <n v="5"/>
  </r>
  <r>
    <n v="414"/>
    <s v="CLI-01154"/>
    <x v="23"/>
    <n v="115"/>
    <s v="Pro Monde"/>
    <s v="B2B"/>
    <n v="190"/>
    <n v="10.98"/>
    <n v="0.1"/>
    <n v="1.0980000000000001"/>
    <n v="0"/>
  </r>
  <r>
    <n v="415"/>
    <s v="CLI-01162"/>
    <x v="17"/>
    <n v="84"/>
    <s v="Bloqué 5Go"/>
    <s v="B2C"/>
    <n v="244"/>
    <n v="56.34"/>
    <n v="0.45"/>
    <n v="25.353000000000002"/>
    <n v="5"/>
  </r>
  <r>
    <n v="416"/>
    <s v="CLI-01165"/>
    <x v="20"/>
    <n v="21"/>
    <s v="Bloqué 5Go"/>
    <s v="B2C"/>
    <n v="15"/>
    <n v="57.74"/>
    <n v="0"/>
    <n v="0"/>
    <n v="0"/>
  </r>
  <r>
    <n v="417"/>
    <s v="CLI-01166"/>
    <x v="25"/>
    <n v="21"/>
    <s v="Illimité 50Go"/>
    <s v="B2C"/>
    <n v="444"/>
    <n v="41.92"/>
    <n v="0.45"/>
    <n v="18.864000000000001"/>
    <n v="3"/>
  </r>
  <r>
    <n v="418"/>
    <s v="CLI-01167"/>
    <x v="23"/>
    <n v="92"/>
    <s v="Bloqué 5Go"/>
    <s v="B2C"/>
    <n v="379"/>
    <n v="70.08"/>
    <n v="0.45"/>
    <n v="31.536000000000001"/>
    <n v="5"/>
  </r>
  <r>
    <n v="419"/>
    <s v="CLI-01169"/>
    <x v="23"/>
    <n v="114"/>
    <s v="Bloqué 5Go"/>
    <s v="B2C"/>
    <n v="388"/>
    <n v="40.29"/>
    <n v="0.45"/>
    <n v="18.130500000000001"/>
    <n v="5"/>
  </r>
  <r>
    <n v="420"/>
    <s v="CLI-01170"/>
    <x v="22"/>
    <n v="98"/>
    <s v="Pro Monde"/>
    <s v="B2B"/>
    <n v="482"/>
    <n v="55.04"/>
    <n v="0.1"/>
    <n v="5.5040000000000004"/>
    <n v="5"/>
  </r>
  <r>
    <n v="421"/>
    <s v="CLI-01180"/>
    <x v="21"/>
    <n v="15"/>
    <s v="Bloqué 5Go"/>
    <s v="B2C"/>
    <n v="319"/>
    <n v="78.150000000000006"/>
    <n v="0.45"/>
    <n v="35.167500000000004"/>
    <n v="4"/>
  </r>
  <r>
    <n v="422"/>
    <s v="CLI-01181"/>
    <x v="22"/>
    <n v="42"/>
    <s v="Bloqué 5Go"/>
    <s v="B2C"/>
    <n v="252"/>
    <n v="59.46"/>
    <n v="0.45"/>
    <n v="26.757000000000001"/>
    <n v="4"/>
  </r>
  <r>
    <n v="423"/>
    <s v="CLI-01186"/>
    <x v="5"/>
    <n v="8"/>
    <s v="Bloqué 5Go"/>
    <s v="B2C"/>
    <n v="171"/>
    <n v="52.98"/>
    <n v="0"/>
    <n v="0"/>
    <n v="0"/>
  </r>
  <r>
    <n v="424"/>
    <s v="CLI-01189"/>
    <x v="11"/>
    <n v="12"/>
    <s v="Pro Monde"/>
    <s v="B2B"/>
    <n v="305"/>
    <n v="59.96"/>
    <n v="0.1"/>
    <n v="5.9960000000000004"/>
    <n v="3"/>
  </r>
  <r>
    <n v="425"/>
    <s v="CLI-01194"/>
    <x v="24"/>
    <n v="29"/>
    <s v="Pro Monde"/>
    <s v="B2B"/>
    <n v="203"/>
    <n v="53.97"/>
    <n v="0.1"/>
    <n v="5.3970000000000002"/>
    <n v="5"/>
  </r>
  <r>
    <n v="426"/>
    <s v="CLI-01196"/>
    <x v="24"/>
    <n v="80"/>
    <s v="Pro Monde"/>
    <s v="B2B"/>
    <n v="339"/>
    <n v="59.87"/>
    <n v="0.1"/>
    <n v="5.9870000000000001"/>
    <n v="0"/>
  </r>
  <r>
    <n v="427"/>
    <s v="CLI-01197"/>
    <x v="4"/>
    <n v="95"/>
    <s v="Bloqué 5Go"/>
    <s v="B2C"/>
    <n v="33"/>
    <n v="35.32"/>
    <n v="0"/>
    <n v="0"/>
    <n v="0"/>
  </r>
  <r>
    <n v="428"/>
    <s v="CLI-01199"/>
    <x v="14"/>
    <n v="99"/>
    <s v="Pro Monde"/>
    <s v="B2B"/>
    <n v="169"/>
    <n v="76.75"/>
    <n v="0.1"/>
    <n v="7.6750000000000007"/>
    <n v="5"/>
  </r>
  <r>
    <n v="429"/>
    <s v="CLI-01200"/>
    <x v="1"/>
    <n v="88"/>
    <s v="Premium 5G 150Go"/>
    <s v="B2C"/>
    <n v="359"/>
    <n v="71.19"/>
    <n v="0.45"/>
    <n v="32.035499999999999"/>
    <n v="3"/>
  </r>
  <r>
    <n v="430"/>
    <s v="CLI-01203"/>
    <x v="4"/>
    <n v="7"/>
    <s v="Bloqué 5Go"/>
    <s v="B2C"/>
    <n v="43"/>
    <n v="41.29"/>
    <n v="0"/>
    <n v="0"/>
    <n v="4"/>
  </r>
  <r>
    <n v="431"/>
    <s v="CLI-01204"/>
    <x v="4"/>
    <n v="68"/>
    <s v="Pro Monde"/>
    <s v="B2B"/>
    <n v="282"/>
    <n v="35.43"/>
    <n v="0.1"/>
    <n v="3.5430000000000001"/>
    <n v="1"/>
  </r>
  <r>
    <n v="432"/>
    <s v="CLI-01208"/>
    <x v="16"/>
    <n v="11"/>
    <s v="Bloqué 5Go"/>
    <s v="B2C"/>
    <n v="402"/>
    <n v="69.599999999999994"/>
    <n v="0.45"/>
    <n v="31.319999999999997"/>
    <n v="5"/>
  </r>
  <r>
    <n v="433"/>
    <s v="CLI-01210"/>
    <x v="0"/>
    <n v="1"/>
    <s v="Illimité 50Go"/>
    <s v="B2C"/>
    <n v="213"/>
    <n v="52.16"/>
    <n v="0"/>
    <n v="0"/>
    <n v="3"/>
  </r>
  <r>
    <n v="434"/>
    <s v="CLI-01211"/>
    <x v="25"/>
    <n v="98"/>
    <s v="Pro Monde"/>
    <s v="B2B"/>
    <n v="168"/>
    <n v="44.14"/>
    <n v="0.1"/>
    <n v="4.4140000000000006"/>
    <n v="3"/>
  </r>
  <r>
    <n v="435"/>
    <s v="CLI-01215"/>
    <x v="8"/>
    <n v="3"/>
    <s v="Illimité 50Go"/>
    <s v="B2C"/>
    <n v="356"/>
    <n v="91.6"/>
    <n v="0.45"/>
    <n v="41.22"/>
    <n v="3"/>
  </r>
  <r>
    <n v="436"/>
    <s v="CLI-01217"/>
    <x v="8"/>
    <n v="85"/>
    <s v="Premium 5G 150Go"/>
    <s v="B2C"/>
    <n v="274"/>
    <n v="35.03"/>
    <n v="0.45"/>
    <n v="15.763500000000001"/>
    <n v="1"/>
  </r>
  <r>
    <n v="437"/>
    <s v="CLI-01221"/>
    <x v="9"/>
    <n v="79"/>
    <s v="Premium 5G 150Go"/>
    <s v="B2C"/>
    <n v="454"/>
    <n v="80.34"/>
    <n v="0.45"/>
    <n v="36.153000000000006"/>
    <n v="2"/>
  </r>
  <r>
    <n v="438"/>
    <s v="CLI-01224"/>
    <x v="24"/>
    <n v="65"/>
    <s v="Bloqué 5Go"/>
    <s v="B2C"/>
    <n v="442"/>
    <n v="60.62"/>
    <n v="0.45"/>
    <n v="27.279"/>
    <n v="5"/>
  </r>
  <r>
    <n v="439"/>
    <s v="CLI-01226"/>
    <x v="17"/>
    <n v="2"/>
    <s v="Premium 5G 150Go"/>
    <s v="B2C"/>
    <n v="21"/>
    <n v="51.68"/>
    <n v="0"/>
    <n v="0"/>
    <n v="3"/>
  </r>
  <r>
    <n v="440"/>
    <s v="CLI-01229"/>
    <x v="22"/>
    <n v="51"/>
    <s v="Illimité 50Go"/>
    <s v="B2C"/>
    <n v="58"/>
    <n v="34.6"/>
    <n v="0"/>
    <n v="0"/>
    <n v="5"/>
  </r>
  <r>
    <n v="441"/>
    <s v="CLI-01230"/>
    <x v="9"/>
    <n v="63"/>
    <s v="Pro Monde"/>
    <s v="B2B"/>
    <n v="141"/>
    <n v="95.6"/>
    <n v="0.1"/>
    <n v="9.56"/>
    <n v="4"/>
  </r>
  <r>
    <n v="442"/>
    <s v="CLI-01233"/>
    <x v="3"/>
    <n v="101"/>
    <s v="Pro Monde"/>
    <s v="B2B"/>
    <n v="333"/>
    <n v="74.319999999999993"/>
    <n v="0.1"/>
    <n v="7.4319999999999995"/>
    <n v="1"/>
  </r>
  <r>
    <n v="443"/>
    <s v="CLI-01234"/>
    <x v="19"/>
    <n v="33"/>
    <s v="Premium 5G 150Go"/>
    <s v="B2C"/>
    <n v="285"/>
    <n v="56.67"/>
    <n v="0.45"/>
    <n v="25.5015"/>
    <n v="2"/>
  </r>
  <r>
    <n v="444"/>
    <s v="CLI-01236"/>
    <x v="14"/>
    <n v="17"/>
    <s v="Pro Monde"/>
    <s v="B2B"/>
    <n v="175"/>
    <n v="24.95"/>
    <n v="0.1"/>
    <n v="2.4950000000000001"/>
    <n v="4"/>
  </r>
  <r>
    <n v="445"/>
    <s v="CLI-01238"/>
    <x v="5"/>
    <n v="89"/>
    <s v="Pro Monde"/>
    <s v="B2B"/>
    <n v="225"/>
    <n v="38.36"/>
    <n v="0.1"/>
    <n v="3.8360000000000003"/>
    <n v="2"/>
  </r>
  <r>
    <n v="446"/>
    <s v="CLI-01241"/>
    <x v="5"/>
    <n v="88"/>
    <s v="Premium 5G 150Go"/>
    <s v="B2C"/>
    <n v="232"/>
    <n v="40.94"/>
    <n v="0"/>
    <n v="0"/>
    <n v="2"/>
  </r>
  <r>
    <n v="447"/>
    <s v="CLI-01242"/>
    <x v="8"/>
    <n v="29"/>
    <s v="Premium 5G 150Go"/>
    <s v="B2C"/>
    <n v="350"/>
    <n v="84.32"/>
    <n v="0.45"/>
    <n v="37.943999999999996"/>
    <n v="3"/>
  </r>
  <r>
    <n v="448"/>
    <s v="CLI-01253"/>
    <x v="6"/>
    <n v="48"/>
    <s v="Premium 5G 150Go"/>
    <s v="B2C"/>
    <n v="473"/>
    <n v="71.52"/>
    <n v="0.45"/>
    <n v="32.183999999999997"/>
    <n v="5"/>
  </r>
  <r>
    <n v="449"/>
    <s v="CLI-01254"/>
    <x v="24"/>
    <n v="73"/>
    <s v="Illimité 50Go"/>
    <s v="B2C"/>
    <n v="225"/>
    <n v="45.86"/>
    <n v="0"/>
    <n v="0"/>
    <n v="0"/>
  </r>
  <r>
    <n v="450"/>
    <s v="CLI-01256"/>
    <x v="6"/>
    <n v="35"/>
    <s v="Pro Monde"/>
    <s v="B2B"/>
    <n v="292"/>
    <n v="39.21"/>
    <n v="0.1"/>
    <n v="3.9210000000000003"/>
    <n v="1"/>
  </r>
  <r>
    <n v="451"/>
    <s v="CLI-01258"/>
    <x v="1"/>
    <n v="107"/>
    <s v="Illimité 50Go"/>
    <s v="B2C"/>
    <n v="290"/>
    <n v="52.03"/>
    <n v="0.45"/>
    <n v="23.413500000000003"/>
    <n v="0"/>
  </r>
  <r>
    <n v="452"/>
    <s v="CLI-01264"/>
    <x v="11"/>
    <n v="80"/>
    <s v="Bloqué 5Go"/>
    <s v="B2C"/>
    <n v="65"/>
    <n v="76.64"/>
    <n v="0"/>
    <n v="0"/>
    <n v="3"/>
  </r>
  <r>
    <n v="453"/>
    <s v="CLI-01266"/>
    <x v="12"/>
    <n v="66"/>
    <s v="Premium 5G 150Go"/>
    <s v="B2C"/>
    <n v="193"/>
    <n v="21.06"/>
    <n v="0"/>
    <n v="0"/>
    <n v="3"/>
  </r>
  <r>
    <n v="454"/>
    <s v="CLI-01267"/>
    <x v="8"/>
    <n v="38"/>
    <s v="Illimité 50Go"/>
    <s v="B2C"/>
    <n v="191"/>
    <n v="22.97"/>
    <n v="0"/>
    <n v="0"/>
    <n v="3"/>
  </r>
  <r>
    <n v="455"/>
    <s v="CLI-01270"/>
    <x v="2"/>
    <n v="119"/>
    <s v="Pro Monde"/>
    <s v="B2B"/>
    <n v="451"/>
    <n v="10.46"/>
    <n v="0.1"/>
    <n v="1.046"/>
    <n v="5"/>
  </r>
  <r>
    <n v="456"/>
    <s v="CLI-01275"/>
    <x v="8"/>
    <n v="55"/>
    <s v="Bloqué 5Go"/>
    <s v="B2C"/>
    <n v="355"/>
    <n v="59.65"/>
    <n v="0.45"/>
    <n v="26.842500000000001"/>
    <n v="0"/>
  </r>
  <r>
    <n v="457"/>
    <s v="CLI-01278"/>
    <x v="25"/>
    <n v="6"/>
    <s v="Illimité 50Go"/>
    <s v="B2C"/>
    <n v="77"/>
    <n v="18.48"/>
    <n v="0"/>
    <n v="0"/>
    <n v="2"/>
  </r>
  <r>
    <n v="458"/>
    <s v="CLI-01283"/>
    <x v="9"/>
    <n v="63"/>
    <s v="Illimité 50Go"/>
    <s v="B2C"/>
    <n v="265"/>
    <n v="49.94"/>
    <n v="0.45"/>
    <n v="22.472999999999999"/>
    <n v="1"/>
  </r>
  <r>
    <n v="459"/>
    <s v="CLI-01284"/>
    <x v="16"/>
    <n v="21"/>
    <s v="Pro Monde"/>
    <s v="B2B"/>
    <n v="320"/>
    <n v="64.97"/>
    <n v="0.1"/>
    <n v="6.4969999999999999"/>
    <n v="1"/>
  </r>
  <r>
    <n v="460"/>
    <s v="CLI-01287"/>
    <x v="9"/>
    <n v="5"/>
    <s v="Premium 5G 150Go"/>
    <s v="B2C"/>
    <n v="417"/>
    <n v="90.71"/>
    <n v="0.45"/>
    <n v="40.819499999999998"/>
    <n v="1"/>
  </r>
  <r>
    <n v="461"/>
    <s v="CLI-01290"/>
    <x v="20"/>
    <n v="30"/>
    <s v="Bloqué 5Go"/>
    <s v="B2C"/>
    <n v="130"/>
    <n v="50.15"/>
    <n v="0"/>
    <n v="0"/>
    <n v="4"/>
  </r>
  <r>
    <n v="462"/>
    <s v="CLI-01291"/>
    <x v="8"/>
    <n v="60"/>
    <s v="Illimité 50Go"/>
    <s v="B2C"/>
    <n v="161"/>
    <n v="62.65"/>
    <n v="0"/>
    <n v="0"/>
    <n v="0"/>
  </r>
  <r>
    <n v="463"/>
    <s v="CLI-01292"/>
    <x v="1"/>
    <n v="120"/>
    <s v="Illimité 50Go"/>
    <s v="B2C"/>
    <n v="437"/>
    <n v="95.17"/>
    <n v="0.45"/>
    <n v="42.826500000000003"/>
    <n v="1"/>
  </r>
  <r>
    <n v="464"/>
    <s v="CLI-01294"/>
    <x v="11"/>
    <n v="68"/>
    <s v="Premium 5G 150Go"/>
    <s v="B2C"/>
    <n v="443"/>
    <n v="12.09"/>
    <n v="0.45"/>
    <n v="5.4405000000000001"/>
    <n v="3"/>
  </r>
  <r>
    <n v="465"/>
    <s v="CLI-01304"/>
    <x v="22"/>
    <n v="85"/>
    <s v="Illimité 50Go"/>
    <s v="B2C"/>
    <n v="132"/>
    <n v="11.41"/>
    <n v="0"/>
    <n v="0"/>
    <n v="0"/>
  </r>
  <r>
    <n v="466"/>
    <s v="CLI-01309"/>
    <x v="4"/>
    <n v="69"/>
    <s v="Pro Monde"/>
    <s v="B2B"/>
    <n v="463"/>
    <n v="19.440000000000001"/>
    <n v="0.1"/>
    <n v="1.9440000000000002"/>
    <n v="0"/>
  </r>
  <r>
    <n v="467"/>
    <s v="CLI-01313"/>
    <x v="6"/>
    <n v="96"/>
    <s v="Illimité 50Go"/>
    <s v="B2C"/>
    <n v="108"/>
    <n v="30.92"/>
    <n v="0"/>
    <n v="0"/>
    <n v="1"/>
  </r>
  <r>
    <n v="468"/>
    <s v="CLI-01314"/>
    <x v="13"/>
    <n v="89"/>
    <s v="Illimité 50Go"/>
    <s v="B2C"/>
    <n v="7"/>
    <n v="53.39"/>
    <n v="0"/>
    <n v="0"/>
    <n v="3"/>
  </r>
  <r>
    <n v="469"/>
    <s v="CLI-01319"/>
    <x v="20"/>
    <n v="47"/>
    <s v="Premium 5G 150Go"/>
    <s v="B2C"/>
    <n v="350"/>
    <n v="80.48"/>
    <n v="0.45"/>
    <n v="36.216000000000001"/>
    <n v="3"/>
  </r>
  <r>
    <n v="470"/>
    <s v="CLI-01320"/>
    <x v="13"/>
    <n v="78"/>
    <s v="Bloqué 5Go"/>
    <s v="B2C"/>
    <n v="312"/>
    <n v="85.74"/>
    <n v="0.45"/>
    <n v="38.582999999999998"/>
    <n v="2"/>
  </r>
  <r>
    <n v="471"/>
    <s v="CLI-01322"/>
    <x v="22"/>
    <n v="36"/>
    <s v="Premium 5G 150Go"/>
    <s v="B2C"/>
    <n v="400"/>
    <n v="60.35"/>
    <n v="0.45"/>
    <n v="27.157500000000002"/>
    <n v="1"/>
  </r>
  <r>
    <n v="472"/>
    <s v="CLI-01325"/>
    <x v="4"/>
    <n v="44"/>
    <s v="Bloqué 5Go"/>
    <s v="B2C"/>
    <n v="348"/>
    <n v="58.67"/>
    <n v="0.45"/>
    <n v="26.401500000000002"/>
    <n v="0"/>
  </r>
  <r>
    <n v="473"/>
    <s v="CLI-01326"/>
    <x v="25"/>
    <n v="120"/>
    <s v="Pro Monde"/>
    <s v="B2B"/>
    <n v="209"/>
    <n v="42.51"/>
    <n v="0.1"/>
    <n v="4.2510000000000003"/>
    <n v="4"/>
  </r>
  <r>
    <n v="474"/>
    <s v="CLI-01327"/>
    <x v="9"/>
    <n v="116"/>
    <s v="Premium 5G 150Go"/>
    <s v="B2C"/>
    <n v="279"/>
    <n v="62.88"/>
    <n v="0.45"/>
    <n v="28.296000000000003"/>
    <n v="4"/>
  </r>
  <r>
    <n v="475"/>
    <s v="CLI-01329"/>
    <x v="10"/>
    <n v="106"/>
    <s v="Illimité 50Go"/>
    <s v="B2C"/>
    <n v="236"/>
    <n v="18.72"/>
    <n v="0"/>
    <n v="0"/>
    <n v="4"/>
  </r>
  <r>
    <n v="476"/>
    <s v="CLI-01330"/>
    <x v="4"/>
    <n v="60"/>
    <s v="Bloqué 5Go"/>
    <s v="B2C"/>
    <n v="306"/>
    <n v="63.83"/>
    <n v="0.45"/>
    <n v="28.723500000000001"/>
    <n v="2"/>
  </r>
  <r>
    <n v="477"/>
    <s v="CLI-01339"/>
    <x v="8"/>
    <n v="1"/>
    <s v="Premium 5G 150Go"/>
    <s v="B2C"/>
    <n v="429"/>
    <n v="20.96"/>
    <n v="0.45"/>
    <n v="9.4320000000000004"/>
    <n v="5"/>
  </r>
  <r>
    <n v="478"/>
    <s v="CLI-01340"/>
    <x v="16"/>
    <n v="110"/>
    <s v="Bloqué 5Go"/>
    <s v="B2C"/>
    <n v="132"/>
    <n v="21.31"/>
    <n v="0"/>
    <n v="0"/>
    <n v="5"/>
  </r>
  <r>
    <n v="479"/>
    <s v="CLI-01344"/>
    <x v="13"/>
    <n v="74"/>
    <s v="Illimité 50Go"/>
    <s v="B2C"/>
    <n v="330"/>
    <n v="37.82"/>
    <n v="0.45"/>
    <n v="17.019000000000002"/>
    <n v="5"/>
  </r>
  <r>
    <n v="480"/>
    <s v="CLI-01347"/>
    <x v="14"/>
    <n v="14"/>
    <s v="Pro Monde"/>
    <s v="B2B"/>
    <n v="101"/>
    <n v="43.99"/>
    <n v="0.1"/>
    <n v="4.399"/>
    <n v="1"/>
  </r>
  <r>
    <n v="481"/>
    <s v="CLI-01349"/>
    <x v="6"/>
    <n v="89"/>
    <s v="Premium 5G 150Go"/>
    <s v="B2C"/>
    <n v="143"/>
    <n v="48.05"/>
    <n v="0"/>
    <n v="0"/>
    <n v="4"/>
  </r>
  <r>
    <n v="482"/>
    <s v="CLI-01351"/>
    <x v="11"/>
    <n v="19"/>
    <s v="Premium 5G 150Go"/>
    <s v="B2C"/>
    <n v="270"/>
    <n v="19.760000000000002"/>
    <n v="0.45"/>
    <n v="8.8920000000000012"/>
    <n v="3"/>
  </r>
  <r>
    <n v="483"/>
    <s v="CLI-01354"/>
    <x v="2"/>
    <n v="42"/>
    <s v="Bloqué 5Go"/>
    <s v="B2C"/>
    <n v="448"/>
    <n v="49.02"/>
    <n v="0.45"/>
    <n v="22.059000000000001"/>
    <n v="0"/>
  </r>
  <r>
    <n v="484"/>
    <s v="CLI-01355"/>
    <x v="20"/>
    <n v="116"/>
    <s v="Premium 5G 150Go"/>
    <s v="B2C"/>
    <n v="14"/>
    <n v="30.38"/>
    <n v="0"/>
    <n v="0"/>
    <n v="1"/>
  </r>
  <r>
    <n v="485"/>
    <s v="CLI-01357"/>
    <x v="6"/>
    <n v="47"/>
    <s v="Bloqué 5Go"/>
    <s v="B2C"/>
    <n v="98"/>
    <n v="16.16"/>
    <n v="0"/>
    <n v="0"/>
    <n v="5"/>
  </r>
  <r>
    <n v="486"/>
    <s v="CLI-01359"/>
    <x v="3"/>
    <n v="86"/>
    <s v="Premium 5G 150Go"/>
    <s v="B2C"/>
    <n v="27"/>
    <n v="84.94"/>
    <n v="0"/>
    <n v="0"/>
    <n v="4"/>
  </r>
  <r>
    <n v="487"/>
    <s v="CLI-01360"/>
    <x v="4"/>
    <n v="86"/>
    <s v="Premium 5G 150Go"/>
    <s v="B2C"/>
    <n v="278"/>
    <n v="30.12"/>
    <n v="0.45"/>
    <n v="13.554"/>
    <n v="0"/>
  </r>
  <r>
    <n v="488"/>
    <s v="CLI-01361"/>
    <x v="11"/>
    <n v="94"/>
    <s v="Illimité 50Go"/>
    <s v="B2C"/>
    <n v="122"/>
    <n v="95.74"/>
    <n v="0"/>
    <n v="0"/>
    <n v="5"/>
  </r>
  <r>
    <n v="489"/>
    <s v="CLI-01363"/>
    <x v="25"/>
    <n v="66"/>
    <s v="Pro Monde"/>
    <s v="B2B"/>
    <n v="152"/>
    <n v="95.71"/>
    <n v="0.1"/>
    <n v="9.5709999999999997"/>
    <n v="3"/>
  </r>
  <r>
    <n v="490"/>
    <s v="CLI-01373"/>
    <x v="10"/>
    <n v="114"/>
    <s v="Pro Monde"/>
    <s v="B2B"/>
    <n v="220"/>
    <n v="63.67"/>
    <n v="0.1"/>
    <n v="6.3670000000000009"/>
    <n v="5"/>
  </r>
  <r>
    <n v="491"/>
    <s v="CLI-01374"/>
    <x v="0"/>
    <n v="36"/>
    <s v="Bloqué 5Go"/>
    <s v="B2C"/>
    <n v="311"/>
    <n v="13.19"/>
    <n v="0.45"/>
    <n v="5.9355000000000002"/>
    <n v="4"/>
  </r>
  <r>
    <n v="492"/>
    <s v="CLI-01375"/>
    <x v="0"/>
    <n v="94"/>
    <s v="Illimité 50Go"/>
    <s v="B2C"/>
    <n v="115"/>
    <n v="19.12"/>
    <n v="0"/>
    <n v="0"/>
    <n v="0"/>
  </r>
  <r>
    <n v="493"/>
    <s v="CLI-01376"/>
    <x v="3"/>
    <n v="65"/>
    <s v="Premium 5G 150Go"/>
    <s v="B2C"/>
    <n v="397"/>
    <n v="22.6"/>
    <n v="0.45"/>
    <n v="10.170000000000002"/>
    <n v="5"/>
  </r>
  <r>
    <n v="494"/>
    <s v="CLI-01380"/>
    <x v="4"/>
    <n v="118"/>
    <s v="Illimité 50Go"/>
    <s v="B2C"/>
    <n v="489"/>
    <n v="76.22"/>
    <n v="0.45"/>
    <n v="34.298999999999999"/>
    <n v="2"/>
  </r>
  <r>
    <n v="495"/>
    <s v="CLI-01386"/>
    <x v="14"/>
    <n v="23"/>
    <s v="Premium 5G 150Go"/>
    <s v="B2C"/>
    <n v="314"/>
    <n v="19.260000000000002"/>
    <n v="0.45"/>
    <n v="8.6670000000000016"/>
    <n v="3"/>
  </r>
  <r>
    <n v="496"/>
    <s v="CLI-01387"/>
    <x v="0"/>
    <n v="85"/>
    <s v="Pro Monde"/>
    <s v="B2B"/>
    <n v="60"/>
    <n v="26.3"/>
    <n v="0.1"/>
    <n v="2.6300000000000003"/>
    <n v="2"/>
  </r>
  <r>
    <n v="497"/>
    <s v="CLI-01394"/>
    <x v="21"/>
    <n v="92"/>
    <s v="Bloqué 5Go"/>
    <s v="B2C"/>
    <n v="6"/>
    <n v="77.14"/>
    <n v="0"/>
    <n v="0"/>
    <n v="5"/>
  </r>
  <r>
    <n v="498"/>
    <s v="CLI-01396"/>
    <x v="24"/>
    <n v="117"/>
    <s v="Illimité 50Go"/>
    <s v="B2C"/>
    <n v="39"/>
    <n v="26.53"/>
    <n v="0"/>
    <n v="0"/>
    <n v="1"/>
  </r>
  <r>
    <n v="499"/>
    <s v="CLI-01399"/>
    <x v="3"/>
    <n v="114"/>
    <s v="Premium 5G 150Go"/>
    <s v="B2C"/>
    <n v="232"/>
    <n v="42.2"/>
    <n v="0"/>
    <n v="0"/>
    <n v="2"/>
  </r>
  <r>
    <n v="500"/>
    <s v="CLI-01402"/>
    <x v="19"/>
    <n v="64"/>
    <s v="Bloqué 5Go"/>
    <s v="B2C"/>
    <n v="250"/>
    <n v="56.7"/>
    <n v="0.45"/>
    <n v="25.515000000000001"/>
    <n v="0"/>
  </r>
  <r>
    <n v="501"/>
    <s v="CLI-01403"/>
    <x v="1"/>
    <n v="88"/>
    <s v="Premium 5G 150Go"/>
    <s v="B2C"/>
    <n v="219"/>
    <n v="59.15"/>
    <n v="0"/>
    <n v="0"/>
    <n v="0"/>
  </r>
  <r>
    <n v="502"/>
    <s v="CLI-01404"/>
    <x v="21"/>
    <n v="25"/>
    <s v="Bloqué 5Go"/>
    <s v="B2C"/>
    <n v="131"/>
    <n v="67.489999999999995"/>
    <n v="0"/>
    <n v="0"/>
    <n v="0"/>
  </r>
  <r>
    <n v="503"/>
    <s v="CLI-01405"/>
    <x v="25"/>
    <n v="32"/>
    <s v="Illimité 50Go"/>
    <s v="B2C"/>
    <n v="405"/>
    <n v="67.92"/>
    <n v="0.45"/>
    <n v="30.564"/>
    <n v="3"/>
  </r>
  <r>
    <n v="504"/>
    <s v="CLI-01406"/>
    <x v="23"/>
    <n v="41"/>
    <s v="Bloqué 5Go"/>
    <s v="B2C"/>
    <n v="2"/>
    <n v="24.91"/>
    <n v="0"/>
    <n v="0"/>
    <n v="1"/>
  </r>
  <r>
    <n v="505"/>
    <s v="CLI-01407"/>
    <x v="11"/>
    <n v="103"/>
    <s v="Premium 5G 150Go"/>
    <s v="B2C"/>
    <n v="354"/>
    <n v="26.19"/>
    <n v="0.45"/>
    <n v="11.785500000000001"/>
    <n v="4"/>
  </r>
  <r>
    <n v="506"/>
    <s v="CLI-01408"/>
    <x v="7"/>
    <n v="108"/>
    <s v="Premium 5G 150Go"/>
    <s v="B2C"/>
    <n v="323"/>
    <n v="58.54"/>
    <n v="0.45"/>
    <n v="26.343"/>
    <n v="2"/>
  </r>
  <r>
    <n v="507"/>
    <s v="CLI-01410"/>
    <x v="14"/>
    <n v="111"/>
    <s v="Illimité 50Go"/>
    <s v="B2C"/>
    <n v="54"/>
    <n v="71.3"/>
    <n v="0"/>
    <n v="0"/>
    <n v="0"/>
  </r>
  <r>
    <n v="508"/>
    <s v="CLI-01415"/>
    <x v="6"/>
    <n v="6"/>
    <s v="Bloqué 5Go"/>
    <s v="B2C"/>
    <n v="6"/>
    <n v="72.27"/>
    <n v="0"/>
    <n v="0"/>
    <n v="4"/>
  </r>
  <r>
    <n v="509"/>
    <s v="CLI-01419"/>
    <x v="23"/>
    <n v="81"/>
    <s v="Pro Monde"/>
    <s v="B2B"/>
    <n v="443"/>
    <n v="32.78"/>
    <n v="0.1"/>
    <n v="3.2780000000000005"/>
    <n v="1"/>
  </r>
  <r>
    <n v="510"/>
    <s v="CLI-01420"/>
    <x v="1"/>
    <n v="86"/>
    <s v="Pro Monde"/>
    <s v="B2B"/>
    <n v="192"/>
    <n v="26.26"/>
    <n v="0.1"/>
    <n v="2.6260000000000003"/>
    <n v="1"/>
  </r>
  <r>
    <n v="511"/>
    <s v="CLI-01424"/>
    <x v="14"/>
    <n v="60"/>
    <s v="Illimité 50Go"/>
    <s v="B2C"/>
    <n v="54"/>
    <n v="67.180000000000007"/>
    <n v="0"/>
    <n v="0"/>
    <n v="3"/>
  </r>
  <r>
    <n v="512"/>
    <s v="CLI-01431"/>
    <x v="19"/>
    <n v="49"/>
    <s v="Premium 5G 150Go"/>
    <s v="B2C"/>
    <n v="357"/>
    <n v="96.67"/>
    <n v="0.45"/>
    <n v="43.5015"/>
    <n v="3"/>
  </r>
  <r>
    <n v="513"/>
    <s v="CLI-01432"/>
    <x v="19"/>
    <n v="69"/>
    <s v="Bloqué 5Go"/>
    <s v="B2C"/>
    <n v="180"/>
    <n v="76.05"/>
    <n v="0"/>
    <n v="0"/>
    <n v="2"/>
  </r>
  <r>
    <n v="514"/>
    <s v="CLI-01433"/>
    <x v="14"/>
    <n v="87"/>
    <s v="Pro Monde"/>
    <s v="B2B"/>
    <n v="442"/>
    <n v="22.39"/>
    <n v="0.1"/>
    <n v="2.2390000000000003"/>
    <n v="3"/>
  </r>
  <r>
    <n v="515"/>
    <s v="CLI-01435"/>
    <x v="19"/>
    <n v="58"/>
    <s v="Bloqué 5Go"/>
    <s v="B2C"/>
    <n v="293"/>
    <n v="88.85"/>
    <n v="0.45"/>
    <n v="39.982500000000002"/>
    <n v="5"/>
  </r>
  <r>
    <n v="516"/>
    <s v="CLI-01436"/>
    <x v="15"/>
    <n v="85"/>
    <s v="Pro Monde"/>
    <s v="B2B"/>
    <n v="28"/>
    <n v="83.82"/>
    <n v="0.1"/>
    <n v="8.3819999999999997"/>
    <n v="0"/>
  </r>
  <r>
    <n v="517"/>
    <s v="CLI-01437"/>
    <x v="10"/>
    <n v="117"/>
    <s v="Bloqué 5Go"/>
    <s v="B2C"/>
    <n v="85"/>
    <n v="46.16"/>
    <n v="0"/>
    <n v="0"/>
    <n v="3"/>
  </r>
  <r>
    <n v="518"/>
    <s v="CLI-01438"/>
    <x v="13"/>
    <n v="4"/>
    <s v="Pro Monde"/>
    <s v="B2B"/>
    <n v="372"/>
    <n v="26.73"/>
    <n v="0.1"/>
    <n v="2.673"/>
    <n v="3"/>
  </r>
  <r>
    <n v="519"/>
    <s v="CLI-01442"/>
    <x v="24"/>
    <n v="97"/>
    <s v="Bloqué 5Go"/>
    <s v="B2C"/>
    <n v="173"/>
    <n v="19.37"/>
    <n v="0"/>
    <n v="0"/>
    <n v="5"/>
  </r>
  <r>
    <n v="520"/>
    <s v="CLI-01446"/>
    <x v="8"/>
    <n v="33"/>
    <s v="Bloqué 5Go"/>
    <s v="B2C"/>
    <n v="273"/>
    <n v="49.8"/>
    <n v="0.45"/>
    <n v="22.41"/>
    <n v="0"/>
  </r>
  <r>
    <n v="521"/>
    <s v="CLI-01450"/>
    <x v="24"/>
    <n v="41"/>
    <s v="Premium 5G 150Go"/>
    <s v="B2C"/>
    <n v="383"/>
    <n v="27.53"/>
    <n v="0.45"/>
    <n v="12.388500000000001"/>
    <n v="4"/>
  </r>
  <r>
    <n v="522"/>
    <s v="CLI-01451"/>
    <x v="22"/>
    <n v="77"/>
    <s v="Illimité 50Go"/>
    <s v="B2C"/>
    <n v="45"/>
    <n v="21.59"/>
    <n v="0"/>
    <n v="0"/>
    <n v="2"/>
  </r>
  <r>
    <n v="523"/>
    <s v="CLI-01453"/>
    <x v="20"/>
    <n v="2"/>
    <s v="Bloqué 5Go"/>
    <s v="B2C"/>
    <n v="142"/>
    <n v="49.05"/>
    <n v="0"/>
    <n v="0"/>
    <n v="4"/>
  </r>
  <r>
    <n v="524"/>
    <s v="CLI-01454"/>
    <x v="18"/>
    <n v="13"/>
    <s v="Illimité 50Go"/>
    <s v="B2C"/>
    <n v="310"/>
    <n v="65.599999999999994"/>
    <n v="0.45"/>
    <n v="29.52"/>
    <n v="5"/>
  </r>
  <r>
    <n v="525"/>
    <s v="CLI-01455"/>
    <x v="21"/>
    <n v="78"/>
    <s v="Bloqué 5Go"/>
    <s v="B2C"/>
    <n v="57"/>
    <n v="49.47"/>
    <n v="0"/>
    <n v="0"/>
    <n v="0"/>
  </r>
  <r>
    <n v="526"/>
    <s v="CLI-01461"/>
    <x v="7"/>
    <n v="90"/>
    <s v="Illimité 50Go"/>
    <s v="B2C"/>
    <n v="343"/>
    <n v="82.05"/>
    <n v="0.45"/>
    <n v="36.922499999999999"/>
    <n v="1"/>
  </r>
  <r>
    <n v="527"/>
    <s v="CLI-01462"/>
    <x v="6"/>
    <n v="96"/>
    <s v="Illimité 50Go"/>
    <s v="B2C"/>
    <n v="210"/>
    <n v="28.39"/>
    <n v="0"/>
    <n v="0"/>
    <n v="3"/>
  </r>
  <r>
    <n v="528"/>
    <s v="CLI-01463"/>
    <x v="13"/>
    <n v="12"/>
    <s v="Premium 5G 150Go"/>
    <s v="B2C"/>
    <n v="138"/>
    <n v="99.83"/>
    <n v="0"/>
    <n v="0"/>
    <n v="1"/>
  </r>
  <r>
    <n v="529"/>
    <s v="CLI-01466"/>
    <x v="15"/>
    <n v="110"/>
    <s v="Premium 5G 150Go"/>
    <s v="B2C"/>
    <n v="51"/>
    <n v="56.59"/>
    <n v="0"/>
    <n v="0"/>
    <n v="5"/>
  </r>
  <r>
    <n v="530"/>
    <s v="CLI-01470"/>
    <x v="10"/>
    <n v="111"/>
    <s v="Premium 5G 150Go"/>
    <s v="B2C"/>
    <n v="43"/>
    <n v="19.39"/>
    <n v="0"/>
    <n v="0"/>
    <n v="3"/>
  </r>
  <r>
    <n v="531"/>
    <s v="CLI-01472"/>
    <x v="15"/>
    <n v="55"/>
    <s v="Pro Monde"/>
    <s v="B2B"/>
    <n v="389"/>
    <n v="67.430000000000007"/>
    <n v="0.1"/>
    <n v="6.7430000000000012"/>
    <n v="3"/>
  </r>
  <r>
    <n v="532"/>
    <s v="CLI-01473"/>
    <x v="24"/>
    <n v="13"/>
    <s v="Pro Monde"/>
    <s v="B2B"/>
    <n v="474"/>
    <n v="63.67"/>
    <n v="0.1"/>
    <n v="6.3670000000000009"/>
    <n v="2"/>
  </r>
  <r>
    <n v="533"/>
    <s v="CLI-01475"/>
    <x v="7"/>
    <n v="43"/>
    <s v="Illimité 50Go"/>
    <s v="B2C"/>
    <n v="26"/>
    <n v="25.85"/>
    <n v="0"/>
    <n v="0"/>
    <n v="1"/>
  </r>
  <r>
    <n v="534"/>
    <s v="CLI-01479"/>
    <x v="6"/>
    <n v="63"/>
    <s v="Premium 5G 150Go"/>
    <s v="B2C"/>
    <n v="177"/>
    <n v="77.73"/>
    <n v="0"/>
    <n v="0"/>
    <n v="3"/>
  </r>
  <r>
    <n v="535"/>
    <s v="CLI-01480"/>
    <x v="5"/>
    <n v="7"/>
    <s v="Premium 5G 150Go"/>
    <s v="B2C"/>
    <n v="206"/>
    <n v="78.09"/>
    <n v="0"/>
    <n v="0"/>
    <n v="3"/>
  </r>
  <r>
    <n v="536"/>
    <s v="CLI-01484"/>
    <x v="21"/>
    <n v="117"/>
    <s v="Illimité 50Go"/>
    <s v="B2C"/>
    <n v="171"/>
    <n v="50.89"/>
    <n v="0"/>
    <n v="0"/>
    <n v="4"/>
  </r>
  <r>
    <n v="537"/>
    <s v="CLI-01485"/>
    <x v="16"/>
    <n v="57"/>
    <s v="Bloqué 5Go"/>
    <s v="B2C"/>
    <n v="447"/>
    <n v="23.27"/>
    <n v="0.45"/>
    <n v="10.471500000000001"/>
    <n v="3"/>
  </r>
  <r>
    <n v="538"/>
    <s v="CLI-01488"/>
    <x v="21"/>
    <n v="102"/>
    <s v="Bloqué 5Go"/>
    <s v="B2C"/>
    <n v="484"/>
    <n v="64.22"/>
    <n v="0.45"/>
    <n v="28.899000000000001"/>
    <n v="2"/>
  </r>
  <r>
    <n v="539"/>
    <s v="CLI-01489"/>
    <x v="9"/>
    <n v="67"/>
    <s v="Pro Monde"/>
    <s v="B2B"/>
    <n v="26"/>
    <n v="81.489999999999995"/>
    <n v="0.1"/>
    <n v="8.1489999999999991"/>
    <n v="4"/>
  </r>
  <r>
    <n v="540"/>
    <s v="CLI-01494"/>
    <x v="13"/>
    <n v="71"/>
    <s v="Premium 5G 150Go"/>
    <s v="B2C"/>
    <n v="15"/>
    <n v="25.46"/>
    <n v="0"/>
    <n v="0"/>
    <n v="5"/>
  </r>
  <r>
    <n v="541"/>
    <s v="CLI-01496"/>
    <x v="18"/>
    <n v="10"/>
    <s v="Illimité 50Go"/>
    <s v="B2C"/>
    <n v="260"/>
    <n v="37.479999999999997"/>
    <n v="0.45"/>
    <n v="16.866"/>
    <n v="2"/>
  </r>
  <r>
    <n v="542"/>
    <s v="CLI-01499"/>
    <x v="17"/>
    <n v="38"/>
    <s v="Bloqué 5Go"/>
    <s v="B2C"/>
    <n v="108"/>
    <n v="72.7"/>
    <n v="0"/>
    <n v="0"/>
    <n v="3"/>
  </r>
  <r>
    <n v="543"/>
    <s v="CLI-01503"/>
    <x v="16"/>
    <n v="59"/>
    <s v="Bloqué 5Go"/>
    <s v="B2C"/>
    <n v="150"/>
    <n v="71.13"/>
    <n v="0"/>
    <n v="0"/>
    <n v="0"/>
  </r>
  <r>
    <n v="544"/>
    <s v="CLI-01505"/>
    <x v="24"/>
    <n v="58"/>
    <s v="Bloqué 5Go"/>
    <s v="B2C"/>
    <n v="423"/>
    <n v="80.459999999999994"/>
    <n v="0.45"/>
    <n v="36.207000000000001"/>
    <n v="0"/>
  </r>
  <r>
    <n v="545"/>
    <s v="CLI-01506"/>
    <x v="1"/>
    <n v="36"/>
    <s v="Bloqué 5Go"/>
    <s v="B2C"/>
    <n v="491"/>
    <n v="12.13"/>
    <n v="0.45"/>
    <n v="5.4585000000000008"/>
    <n v="4"/>
  </r>
  <r>
    <n v="546"/>
    <s v="CLI-01507"/>
    <x v="3"/>
    <n v="111"/>
    <s v="Premium 5G 150Go"/>
    <s v="B2C"/>
    <n v="304"/>
    <n v="62.48"/>
    <n v="0.45"/>
    <n v="28.116"/>
    <n v="5"/>
  </r>
  <r>
    <n v="547"/>
    <s v="CLI-01508"/>
    <x v="23"/>
    <n v="40"/>
    <s v="Premium 5G 150Go"/>
    <s v="B2C"/>
    <n v="237"/>
    <n v="24.51"/>
    <n v="0"/>
    <n v="0"/>
    <n v="1"/>
  </r>
  <r>
    <n v="548"/>
    <s v="CLI-01510"/>
    <x v="5"/>
    <n v="36"/>
    <s v="Bloqué 5Go"/>
    <s v="B2C"/>
    <n v="247"/>
    <n v="24.53"/>
    <n v="0.45"/>
    <n v="11.038500000000001"/>
    <n v="2"/>
  </r>
  <r>
    <n v="549"/>
    <s v="CLI-01511"/>
    <x v="24"/>
    <n v="27"/>
    <s v="Premium 5G 150Go"/>
    <s v="B2C"/>
    <n v="61"/>
    <n v="97.51"/>
    <n v="0"/>
    <n v="0"/>
    <n v="5"/>
  </r>
  <r>
    <n v="550"/>
    <s v="CLI-01515"/>
    <x v="15"/>
    <n v="64"/>
    <s v="Pro Monde"/>
    <s v="B2B"/>
    <n v="300"/>
    <n v="28.11"/>
    <n v="0.1"/>
    <n v="2.8109999999999999"/>
    <n v="2"/>
  </r>
  <r>
    <n v="551"/>
    <s v="CLI-01520"/>
    <x v="3"/>
    <n v="102"/>
    <s v="Bloqué 5Go"/>
    <s v="B2C"/>
    <n v="189"/>
    <n v="26.86"/>
    <n v="0"/>
    <n v="0"/>
    <n v="5"/>
  </r>
  <r>
    <n v="552"/>
    <s v="CLI-01524"/>
    <x v="11"/>
    <n v="22"/>
    <s v="Illimité 50Go"/>
    <s v="B2C"/>
    <n v="119"/>
    <n v="72.86"/>
    <n v="0"/>
    <n v="0"/>
    <n v="3"/>
  </r>
  <r>
    <n v="553"/>
    <s v="CLI-01529"/>
    <x v="14"/>
    <n v="50"/>
    <s v="Pro Monde"/>
    <s v="B2B"/>
    <n v="430"/>
    <n v="20.8"/>
    <n v="0.1"/>
    <n v="2.08"/>
    <n v="2"/>
  </r>
  <r>
    <n v="554"/>
    <s v="CLI-01530"/>
    <x v="24"/>
    <n v="18"/>
    <s v="Pro Monde"/>
    <s v="B2B"/>
    <n v="75"/>
    <n v="57.66"/>
    <n v="0.1"/>
    <n v="5.766"/>
    <n v="1"/>
  </r>
  <r>
    <n v="555"/>
    <s v="CLI-01533"/>
    <x v="18"/>
    <n v="111"/>
    <s v="Illimité 50Go"/>
    <s v="B2C"/>
    <n v="324"/>
    <n v="18.07"/>
    <n v="0.45"/>
    <n v="8.1315000000000008"/>
    <n v="2"/>
  </r>
  <r>
    <n v="556"/>
    <s v="CLI-01535"/>
    <x v="1"/>
    <n v="120"/>
    <s v="Pro Monde"/>
    <s v="B2B"/>
    <n v="60"/>
    <n v="34.14"/>
    <n v="0.1"/>
    <n v="3.4140000000000001"/>
    <n v="3"/>
  </r>
  <r>
    <n v="557"/>
    <s v="CLI-01536"/>
    <x v="2"/>
    <n v="87"/>
    <s v="Premium 5G 150Go"/>
    <s v="B2C"/>
    <n v="356"/>
    <n v="12.89"/>
    <n v="0.45"/>
    <n v="5.8005000000000004"/>
    <n v="0"/>
  </r>
  <r>
    <n v="558"/>
    <s v="CLI-01542"/>
    <x v="24"/>
    <n v="29"/>
    <s v="Premium 5G 150Go"/>
    <s v="B2C"/>
    <n v="8"/>
    <n v="14.78"/>
    <n v="0"/>
    <n v="0"/>
    <n v="2"/>
  </r>
  <r>
    <n v="559"/>
    <s v="CLI-01543"/>
    <x v="7"/>
    <n v="18"/>
    <s v="Illimité 50Go"/>
    <s v="B2C"/>
    <n v="170"/>
    <n v="87.34"/>
    <n v="0"/>
    <n v="0"/>
    <n v="1"/>
  </r>
  <r>
    <n v="560"/>
    <s v="CLI-01544"/>
    <x v="13"/>
    <n v="34"/>
    <s v="Illimité 50Go"/>
    <s v="B2C"/>
    <n v="401"/>
    <n v="68.400000000000006"/>
    <n v="0.45"/>
    <n v="30.780000000000005"/>
    <n v="5"/>
  </r>
  <r>
    <n v="561"/>
    <s v="CLI-01549"/>
    <x v="17"/>
    <n v="113"/>
    <s v="Illimité 50Go"/>
    <s v="B2C"/>
    <n v="428"/>
    <n v="73.84"/>
    <n v="0.45"/>
    <n v="33.228000000000002"/>
    <n v="0"/>
  </r>
  <r>
    <n v="562"/>
    <s v="CLI-01550"/>
    <x v="17"/>
    <n v="48"/>
    <s v="Bloqué 5Go"/>
    <s v="B2C"/>
    <n v="335"/>
    <n v="85.09"/>
    <n v="0.45"/>
    <n v="38.290500000000002"/>
    <n v="3"/>
  </r>
  <r>
    <n v="563"/>
    <s v="CLI-01555"/>
    <x v="3"/>
    <n v="107"/>
    <s v="Illimité 50Go"/>
    <s v="B2C"/>
    <n v="138"/>
    <n v="85.75"/>
    <n v="0"/>
    <n v="0"/>
    <n v="1"/>
  </r>
  <r>
    <n v="564"/>
    <s v="CLI-01560"/>
    <x v="8"/>
    <n v="47"/>
    <s v="Bloqué 5Go"/>
    <s v="B2C"/>
    <n v="111"/>
    <n v="95.18"/>
    <n v="0"/>
    <n v="0"/>
    <n v="0"/>
  </r>
  <r>
    <n v="565"/>
    <s v="CLI-01561"/>
    <x v="8"/>
    <n v="10"/>
    <s v="Bloqué 5Go"/>
    <s v="B2C"/>
    <n v="165"/>
    <n v="38.619999999999997"/>
    <n v="0"/>
    <n v="0"/>
    <n v="2"/>
  </r>
  <r>
    <n v="566"/>
    <s v="CLI-01563"/>
    <x v="4"/>
    <n v="9"/>
    <s v="Pro Monde"/>
    <s v="B2B"/>
    <n v="255"/>
    <n v="95.13"/>
    <n v="0.1"/>
    <n v="9.5129999999999999"/>
    <n v="1"/>
  </r>
  <r>
    <n v="567"/>
    <s v="CLI-01565"/>
    <x v="20"/>
    <n v="24"/>
    <s v="Bloqué 5Go"/>
    <s v="B2C"/>
    <n v="257"/>
    <n v="41.99"/>
    <n v="0.45"/>
    <n v="18.895500000000002"/>
    <n v="5"/>
  </r>
  <r>
    <n v="568"/>
    <s v="CLI-01566"/>
    <x v="4"/>
    <n v="72"/>
    <s v="Bloqué 5Go"/>
    <s v="B2C"/>
    <n v="427"/>
    <n v="31.44"/>
    <n v="0.45"/>
    <n v="14.148000000000001"/>
    <n v="2"/>
  </r>
  <r>
    <n v="569"/>
    <s v="CLI-01568"/>
    <x v="1"/>
    <n v="33"/>
    <s v="Illimité 50Go"/>
    <s v="B2C"/>
    <n v="18"/>
    <n v="47.18"/>
    <n v="0"/>
    <n v="0"/>
    <n v="4"/>
  </r>
  <r>
    <n v="570"/>
    <s v="CLI-01571"/>
    <x v="2"/>
    <n v="64"/>
    <s v="Pro Monde"/>
    <s v="B2B"/>
    <n v="370"/>
    <n v="95.74"/>
    <n v="0.1"/>
    <n v="9.5739999999999998"/>
    <n v="1"/>
  </r>
  <r>
    <n v="571"/>
    <s v="CLI-01573"/>
    <x v="19"/>
    <n v="60"/>
    <s v="Illimité 50Go"/>
    <s v="B2C"/>
    <n v="154"/>
    <n v="13.41"/>
    <n v="0"/>
    <n v="0"/>
    <n v="5"/>
  </r>
  <r>
    <n v="572"/>
    <s v="CLI-01578"/>
    <x v="23"/>
    <n v="51"/>
    <s v="Pro Monde"/>
    <s v="B2B"/>
    <n v="389"/>
    <n v="50.45"/>
    <n v="0.1"/>
    <n v="5.0450000000000008"/>
    <n v="3"/>
  </r>
  <r>
    <n v="573"/>
    <s v="CLI-01584"/>
    <x v="3"/>
    <n v="70"/>
    <s v="Bloqué 5Go"/>
    <s v="B2C"/>
    <n v="31"/>
    <n v="71.2"/>
    <n v="0"/>
    <n v="0"/>
    <n v="4"/>
  </r>
  <r>
    <n v="574"/>
    <s v="CLI-01588"/>
    <x v="24"/>
    <n v="103"/>
    <s v="Bloqué 5Go"/>
    <s v="B2C"/>
    <n v="300"/>
    <n v="13.76"/>
    <n v="0.45"/>
    <n v="6.1920000000000002"/>
    <n v="4"/>
  </r>
  <r>
    <n v="575"/>
    <s v="CLI-01589"/>
    <x v="11"/>
    <n v="14"/>
    <s v="Bloqué 5Go"/>
    <s v="B2C"/>
    <n v="37"/>
    <n v="20.399999999999999"/>
    <n v="0"/>
    <n v="0"/>
    <n v="2"/>
  </r>
  <r>
    <n v="576"/>
    <s v="CLI-01591"/>
    <x v="7"/>
    <n v="7"/>
    <s v="Pro Monde"/>
    <s v="B2B"/>
    <n v="447"/>
    <n v="84.95"/>
    <n v="0.1"/>
    <n v="8.495000000000001"/>
    <n v="2"/>
  </r>
  <r>
    <n v="577"/>
    <s v="CLI-01595"/>
    <x v="14"/>
    <n v="101"/>
    <s v="Pro Monde"/>
    <s v="B2B"/>
    <n v="148"/>
    <n v="26.63"/>
    <n v="0.1"/>
    <n v="2.6630000000000003"/>
    <n v="3"/>
  </r>
  <r>
    <n v="578"/>
    <s v="CLI-01597"/>
    <x v="14"/>
    <n v="84"/>
    <s v="Premium 5G 150Go"/>
    <s v="B2C"/>
    <n v="387"/>
    <n v="58.1"/>
    <n v="0.45"/>
    <n v="26.145"/>
    <n v="3"/>
  </r>
  <r>
    <n v="579"/>
    <s v="CLI-01598"/>
    <x v="4"/>
    <n v="46"/>
    <s v="Pro Monde"/>
    <s v="B2B"/>
    <n v="216"/>
    <n v="63.74"/>
    <n v="0.1"/>
    <n v="6.3740000000000006"/>
    <n v="4"/>
  </r>
  <r>
    <n v="580"/>
    <s v="CLI-01600"/>
    <x v="15"/>
    <n v="72"/>
    <s v="Pro Monde"/>
    <s v="B2B"/>
    <n v="317"/>
    <n v="54.58"/>
    <n v="0.1"/>
    <n v="5.4580000000000002"/>
    <n v="1"/>
  </r>
  <r>
    <n v="581"/>
    <s v="CLI-01602"/>
    <x v="4"/>
    <n v="69"/>
    <s v="Premium 5G 150Go"/>
    <s v="B2C"/>
    <n v="486"/>
    <n v="34.770000000000003"/>
    <n v="0.45"/>
    <n v="15.646500000000001"/>
    <n v="0"/>
  </r>
  <r>
    <n v="582"/>
    <s v="CLI-01603"/>
    <x v="14"/>
    <n v="57"/>
    <s v="Illimité 50Go"/>
    <s v="B2C"/>
    <n v="329"/>
    <n v="50.39"/>
    <n v="0.45"/>
    <n v="22.6755"/>
    <n v="5"/>
  </r>
  <r>
    <n v="583"/>
    <s v="CLI-01604"/>
    <x v="8"/>
    <n v="108"/>
    <s v="Premium 5G 150Go"/>
    <s v="B2C"/>
    <n v="78"/>
    <n v="90.05"/>
    <n v="0"/>
    <n v="0"/>
    <n v="2"/>
  </r>
  <r>
    <n v="584"/>
    <s v="CLI-01606"/>
    <x v="0"/>
    <n v="92"/>
    <s v="Bloqué 5Go"/>
    <s v="B2C"/>
    <n v="4"/>
    <n v="22.03"/>
    <n v="0"/>
    <n v="0"/>
    <n v="3"/>
  </r>
  <r>
    <n v="585"/>
    <s v="CLI-01607"/>
    <x v="0"/>
    <n v="83"/>
    <s v="Pro Monde"/>
    <s v="B2B"/>
    <n v="219"/>
    <n v="52.26"/>
    <n v="0.1"/>
    <n v="5.226"/>
    <n v="1"/>
  </r>
  <r>
    <n v="586"/>
    <s v="CLI-01616"/>
    <x v="6"/>
    <n v="114"/>
    <s v="Bloqué 5Go"/>
    <s v="B2C"/>
    <n v="304"/>
    <n v="52.07"/>
    <n v="0.45"/>
    <n v="23.4315"/>
    <n v="1"/>
  </r>
  <r>
    <n v="587"/>
    <s v="CLI-01617"/>
    <x v="25"/>
    <n v="75"/>
    <s v="Pro Monde"/>
    <s v="B2B"/>
    <n v="242"/>
    <n v="64.27"/>
    <n v="0.1"/>
    <n v="6.4269999999999996"/>
    <n v="2"/>
  </r>
  <r>
    <n v="588"/>
    <s v="CLI-01618"/>
    <x v="0"/>
    <n v="115"/>
    <s v="Bloqué 5Go"/>
    <s v="B2C"/>
    <n v="176"/>
    <n v="33.28"/>
    <n v="0"/>
    <n v="0"/>
    <n v="4"/>
  </r>
  <r>
    <n v="589"/>
    <s v="CLI-01619"/>
    <x v="9"/>
    <n v="12"/>
    <s v="Illimité 50Go"/>
    <s v="B2C"/>
    <n v="235"/>
    <n v="33.96"/>
    <n v="0"/>
    <n v="0"/>
    <n v="4"/>
  </r>
  <r>
    <n v="590"/>
    <s v="CLI-01621"/>
    <x v="9"/>
    <n v="44"/>
    <s v="Bloqué 5Go"/>
    <s v="B2C"/>
    <n v="199"/>
    <n v="67.650000000000006"/>
    <n v="0"/>
    <n v="0"/>
    <n v="0"/>
  </r>
  <r>
    <n v="591"/>
    <s v="CLI-01622"/>
    <x v="7"/>
    <n v="48"/>
    <s v="Premium 5G 150Go"/>
    <s v="B2C"/>
    <n v="338"/>
    <n v="74.42"/>
    <n v="0.45"/>
    <n v="33.489000000000004"/>
    <n v="0"/>
  </r>
  <r>
    <n v="592"/>
    <s v="CLI-01623"/>
    <x v="2"/>
    <n v="51"/>
    <s v="Premium 5G 150Go"/>
    <s v="B2C"/>
    <n v="222"/>
    <n v="18.95"/>
    <n v="0"/>
    <n v="0"/>
    <n v="4"/>
  </r>
  <r>
    <n v="593"/>
    <s v="CLI-01624"/>
    <x v="1"/>
    <n v="57"/>
    <s v="Illimité 50Go"/>
    <s v="B2C"/>
    <n v="435"/>
    <n v="56.88"/>
    <n v="0.45"/>
    <n v="25.596"/>
    <n v="4"/>
  </r>
  <r>
    <n v="594"/>
    <s v="CLI-01626"/>
    <x v="9"/>
    <n v="37"/>
    <s v="Bloqué 5Go"/>
    <s v="B2C"/>
    <n v="87"/>
    <n v="26.4"/>
    <n v="0"/>
    <n v="0"/>
    <n v="3"/>
  </r>
  <r>
    <n v="595"/>
    <s v="CLI-01629"/>
    <x v="5"/>
    <n v="22"/>
    <s v="Pro Monde"/>
    <s v="B2B"/>
    <n v="374"/>
    <n v="40.06"/>
    <n v="0.1"/>
    <n v="4.0060000000000002"/>
    <n v="5"/>
  </r>
  <r>
    <n v="596"/>
    <s v="CLI-01630"/>
    <x v="19"/>
    <n v="21"/>
    <s v="Illimité 50Go"/>
    <s v="B2C"/>
    <n v="460"/>
    <n v="70.81"/>
    <n v="0.45"/>
    <n v="31.864500000000003"/>
    <n v="2"/>
  </r>
  <r>
    <n v="597"/>
    <s v="CLI-01637"/>
    <x v="4"/>
    <n v="67"/>
    <s v="Pro Monde"/>
    <s v="B2B"/>
    <n v="55"/>
    <n v="27.04"/>
    <n v="0.1"/>
    <n v="2.7040000000000002"/>
    <n v="1"/>
  </r>
  <r>
    <n v="598"/>
    <s v="CLI-01638"/>
    <x v="10"/>
    <n v="23"/>
    <s v="Pro Monde"/>
    <s v="B2B"/>
    <n v="473"/>
    <n v="71.86"/>
    <n v="0.1"/>
    <n v="7.1859999999999999"/>
    <n v="3"/>
  </r>
  <r>
    <n v="599"/>
    <s v="CLI-01646"/>
    <x v="4"/>
    <n v="20"/>
    <s v="Illimité 50Go"/>
    <s v="B2C"/>
    <n v="4"/>
    <n v="84.9"/>
    <n v="0"/>
    <n v="0"/>
    <n v="3"/>
  </r>
  <r>
    <n v="600"/>
    <s v="CLI-01651"/>
    <x v="1"/>
    <n v="12"/>
    <s v="Premium 5G 150Go"/>
    <s v="B2C"/>
    <n v="208"/>
    <n v="16.29"/>
    <n v="0"/>
    <n v="0"/>
    <n v="4"/>
  </r>
  <r>
    <n v="601"/>
    <s v="CLI-01653"/>
    <x v="24"/>
    <n v="6"/>
    <s v="Premium 5G 150Go"/>
    <s v="B2C"/>
    <n v="162"/>
    <n v="99.93"/>
    <n v="0"/>
    <n v="0"/>
    <n v="0"/>
  </r>
  <r>
    <n v="602"/>
    <s v="CLI-01654"/>
    <x v="25"/>
    <n v="25"/>
    <s v="Bloqué 5Go"/>
    <s v="B2C"/>
    <n v="5"/>
    <n v="27.93"/>
    <n v="0"/>
    <n v="0"/>
    <n v="0"/>
  </r>
  <r>
    <n v="603"/>
    <s v="CLI-01658"/>
    <x v="18"/>
    <n v="39"/>
    <s v="Pro Monde"/>
    <s v="B2B"/>
    <n v="54"/>
    <n v="88.84"/>
    <n v="0.1"/>
    <n v="8.8840000000000003"/>
    <n v="0"/>
  </r>
  <r>
    <n v="604"/>
    <s v="CLI-01662"/>
    <x v="5"/>
    <n v="120"/>
    <s v="Premium 5G 150Go"/>
    <s v="B2C"/>
    <n v="391"/>
    <n v="67.77"/>
    <n v="0.45"/>
    <n v="30.496499999999997"/>
    <n v="4"/>
  </r>
  <r>
    <n v="605"/>
    <s v="CLI-01664"/>
    <x v="22"/>
    <n v="51"/>
    <s v="Bloqué 5Go"/>
    <s v="B2C"/>
    <n v="260"/>
    <n v="92.8"/>
    <n v="0.45"/>
    <n v="41.76"/>
    <n v="5"/>
  </r>
  <r>
    <n v="606"/>
    <s v="CLI-01666"/>
    <x v="20"/>
    <n v="11"/>
    <s v="Premium 5G 150Go"/>
    <s v="B2C"/>
    <n v="191"/>
    <n v="87.37"/>
    <n v="0"/>
    <n v="0"/>
    <n v="3"/>
  </r>
  <r>
    <n v="607"/>
    <s v="CLI-01668"/>
    <x v="15"/>
    <n v="47"/>
    <s v="Premium 5G 150Go"/>
    <s v="B2C"/>
    <n v="457"/>
    <n v="84.93"/>
    <n v="0.45"/>
    <n v="38.218500000000006"/>
    <n v="2"/>
  </r>
  <r>
    <n v="608"/>
    <s v="CLI-01669"/>
    <x v="3"/>
    <n v="98"/>
    <s v="Illimité 50Go"/>
    <s v="B2C"/>
    <n v="110"/>
    <n v="96.23"/>
    <n v="0"/>
    <n v="0"/>
    <n v="2"/>
  </r>
  <r>
    <n v="609"/>
    <s v="CLI-01680"/>
    <x v="22"/>
    <n v="28"/>
    <s v="Premium 5G 150Go"/>
    <s v="B2C"/>
    <n v="96"/>
    <n v="72.010000000000005"/>
    <n v="0"/>
    <n v="0"/>
    <n v="4"/>
  </r>
  <r>
    <n v="610"/>
    <s v="CLI-01682"/>
    <x v="0"/>
    <n v="77"/>
    <s v="Illimité 50Go"/>
    <s v="B2C"/>
    <n v="375"/>
    <n v="24.03"/>
    <n v="0.45"/>
    <n v="10.813500000000001"/>
    <n v="1"/>
  </r>
  <r>
    <n v="611"/>
    <s v="CLI-01683"/>
    <x v="9"/>
    <n v="56"/>
    <s v="Bloqué 5Go"/>
    <s v="B2C"/>
    <n v="333"/>
    <n v="23.01"/>
    <n v="0.45"/>
    <n v="10.354500000000002"/>
    <n v="2"/>
  </r>
  <r>
    <n v="612"/>
    <s v="CLI-01685"/>
    <x v="1"/>
    <n v="66"/>
    <s v="Illimité 50Go"/>
    <s v="B2C"/>
    <n v="387"/>
    <n v="82.94"/>
    <n v="0.45"/>
    <n v="37.323"/>
    <n v="3"/>
  </r>
  <r>
    <n v="613"/>
    <s v="CLI-01686"/>
    <x v="24"/>
    <n v="75"/>
    <s v="Bloqué 5Go"/>
    <s v="B2C"/>
    <n v="282"/>
    <n v="45.16"/>
    <n v="0.45"/>
    <n v="20.321999999999999"/>
    <n v="5"/>
  </r>
  <r>
    <n v="614"/>
    <s v="CLI-01687"/>
    <x v="0"/>
    <n v="39"/>
    <s v="Premium 5G 150Go"/>
    <s v="B2C"/>
    <n v="1"/>
    <n v="66.94"/>
    <n v="0"/>
    <n v="0"/>
    <n v="5"/>
  </r>
  <r>
    <n v="615"/>
    <s v="CLI-01688"/>
    <x v="2"/>
    <n v="102"/>
    <s v="Bloqué 5Go"/>
    <s v="B2C"/>
    <n v="91"/>
    <n v="34.64"/>
    <n v="0"/>
    <n v="0"/>
    <n v="2"/>
  </r>
  <r>
    <n v="616"/>
    <s v="CLI-01689"/>
    <x v="15"/>
    <n v="55"/>
    <s v="Premium 5G 150Go"/>
    <s v="B2C"/>
    <n v="394"/>
    <n v="26.8"/>
    <n v="0.45"/>
    <n v="12.06"/>
    <n v="4"/>
  </r>
  <r>
    <n v="617"/>
    <s v="CLI-01694"/>
    <x v="12"/>
    <n v="78"/>
    <s v="Illimité 50Go"/>
    <s v="B2C"/>
    <n v="198"/>
    <n v="69.849999999999994"/>
    <n v="0"/>
    <n v="0"/>
    <n v="0"/>
  </r>
  <r>
    <n v="618"/>
    <s v="CLI-01695"/>
    <x v="20"/>
    <n v="5"/>
    <s v="Premium 5G 150Go"/>
    <s v="B2C"/>
    <n v="384"/>
    <n v="97.26"/>
    <n v="0.45"/>
    <n v="43.767000000000003"/>
    <n v="3"/>
  </r>
  <r>
    <n v="619"/>
    <s v="CLI-01697"/>
    <x v="5"/>
    <n v="87"/>
    <s v="Pro Monde"/>
    <s v="B2B"/>
    <n v="486"/>
    <n v="58.26"/>
    <n v="0.1"/>
    <n v="5.8260000000000005"/>
    <n v="0"/>
  </r>
  <r>
    <n v="620"/>
    <s v="CLI-01698"/>
    <x v="24"/>
    <n v="42"/>
    <s v="Illimité 50Go"/>
    <s v="B2C"/>
    <n v="385"/>
    <n v="96.52"/>
    <n v="0.45"/>
    <n v="43.433999999999997"/>
    <n v="1"/>
  </r>
  <r>
    <n v="621"/>
    <s v="CLI-01701"/>
    <x v="10"/>
    <n v="103"/>
    <s v="Premium 5G 150Go"/>
    <s v="B2C"/>
    <n v="386"/>
    <n v="10.58"/>
    <n v="0.45"/>
    <n v="4.7610000000000001"/>
    <n v="0"/>
  </r>
  <r>
    <n v="622"/>
    <s v="CLI-01702"/>
    <x v="0"/>
    <n v="63"/>
    <s v="Bloqué 5Go"/>
    <s v="B2C"/>
    <n v="392"/>
    <n v="93.11"/>
    <n v="0.45"/>
    <n v="41.899500000000003"/>
    <n v="3"/>
  </r>
  <r>
    <n v="623"/>
    <s v="CLI-01704"/>
    <x v="4"/>
    <n v="52"/>
    <s v="Bloqué 5Go"/>
    <s v="B2C"/>
    <n v="307"/>
    <n v="81.38"/>
    <n v="0.45"/>
    <n v="36.621000000000002"/>
    <n v="2"/>
  </r>
  <r>
    <n v="624"/>
    <s v="CLI-01705"/>
    <x v="13"/>
    <n v="57"/>
    <s v="Bloqué 5Go"/>
    <s v="B2C"/>
    <n v="208"/>
    <n v="85.66"/>
    <n v="0"/>
    <n v="0"/>
    <n v="5"/>
  </r>
  <r>
    <n v="625"/>
    <s v="CLI-01706"/>
    <x v="0"/>
    <n v="55"/>
    <s v="Premium 5G 150Go"/>
    <s v="B2C"/>
    <n v="86"/>
    <n v="17.440000000000001"/>
    <n v="0"/>
    <n v="0"/>
    <n v="2"/>
  </r>
  <r>
    <n v="626"/>
    <s v="CLI-01709"/>
    <x v="16"/>
    <n v="58"/>
    <s v="Premium 5G 150Go"/>
    <s v="B2C"/>
    <n v="485"/>
    <n v="64.290000000000006"/>
    <n v="0.45"/>
    <n v="28.930500000000002"/>
    <n v="4"/>
  </r>
  <r>
    <n v="627"/>
    <s v="CLI-01710"/>
    <x v="5"/>
    <n v="-53"/>
    <s v="Bloqué 5Go"/>
    <s v="B2C"/>
    <n v="414"/>
    <n v="64.39"/>
    <n v="0.45"/>
    <n v="28.9755"/>
    <n v="1"/>
  </r>
  <r>
    <n v="628"/>
    <s v="CLI-01714"/>
    <x v="1"/>
    <n v="9"/>
    <s v="Bloqué 5Go"/>
    <s v="B2C"/>
    <n v="27"/>
    <n v="99.02"/>
    <n v="0"/>
    <n v="0"/>
    <n v="3"/>
  </r>
  <r>
    <n v="629"/>
    <s v="CLI-01719"/>
    <x v="8"/>
    <n v="84"/>
    <s v="Bloqué 5Go"/>
    <s v="B2C"/>
    <n v="364"/>
    <n v="87.79"/>
    <n v="0.45"/>
    <n v="39.505500000000005"/>
    <n v="3"/>
  </r>
  <r>
    <n v="630"/>
    <s v="CLI-01720"/>
    <x v="16"/>
    <n v="27"/>
    <s v="Bloqué 5Go"/>
    <s v="B2C"/>
    <n v="275"/>
    <n v="80.069999999999993"/>
    <n v="0.45"/>
    <n v="36.031500000000001"/>
    <n v="1"/>
  </r>
  <r>
    <n v="631"/>
    <s v="CLI-01721"/>
    <x v="15"/>
    <n v="56"/>
    <s v="Bloqué 5Go"/>
    <s v="B2C"/>
    <n v="114"/>
    <n v="64.39"/>
    <n v="0"/>
    <n v="0"/>
    <n v="1"/>
  </r>
  <r>
    <n v="632"/>
    <s v="CLI-01722"/>
    <x v="21"/>
    <n v="51"/>
    <s v="Illimité 50Go"/>
    <s v="B2C"/>
    <n v="152"/>
    <n v="34.630000000000003"/>
    <n v="0"/>
    <n v="0"/>
    <n v="2"/>
  </r>
  <r>
    <n v="633"/>
    <s v="CLI-01723"/>
    <x v="2"/>
    <n v="26"/>
    <s v="Bloqué 5Go"/>
    <s v="B2C"/>
    <n v="174"/>
    <n v="90.53"/>
    <n v="0"/>
    <n v="0"/>
    <n v="3"/>
  </r>
  <r>
    <n v="634"/>
    <s v="CLI-01724"/>
    <x v="18"/>
    <n v="60"/>
    <s v="Bloqué 5Go"/>
    <s v="B2C"/>
    <n v="168"/>
    <n v="67.650000000000006"/>
    <n v="0"/>
    <n v="0"/>
    <n v="1"/>
  </r>
  <r>
    <n v="635"/>
    <s v="CLI-01726"/>
    <x v="1"/>
    <n v="47"/>
    <s v="Bloqué 5Go"/>
    <s v="B2C"/>
    <n v="199"/>
    <n v="23.19"/>
    <n v="0"/>
    <n v="0"/>
    <n v="2"/>
  </r>
  <r>
    <n v="636"/>
    <s v="CLI-01728"/>
    <x v="9"/>
    <n v="7"/>
    <s v="Bloqué 5Go"/>
    <s v="B2C"/>
    <n v="257"/>
    <n v="73.040000000000006"/>
    <n v="0.45"/>
    <n v="32.868000000000002"/>
    <n v="3"/>
  </r>
  <r>
    <n v="637"/>
    <s v="CLI-01729"/>
    <x v="8"/>
    <n v="59"/>
    <s v="Pro Monde"/>
    <s v="B2B"/>
    <n v="369"/>
    <n v="26.64"/>
    <n v="0.1"/>
    <n v="2.6640000000000001"/>
    <n v="4"/>
  </r>
  <r>
    <n v="638"/>
    <s v="CLI-01731"/>
    <x v="3"/>
    <n v="104"/>
    <s v="Bloqué 5Go"/>
    <s v="B2C"/>
    <n v="243"/>
    <n v="65.819999999999993"/>
    <n v="0.45"/>
    <n v="29.618999999999996"/>
    <n v="0"/>
  </r>
  <r>
    <n v="639"/>
    <s v="CLI-01732"/>
    <x v="5"/>
    <n v="48"/>
    <s v="Illimité 50Go"/>
    <s v="B2C"/>
    <n v="15"/>
    <n v="50.67"/>
    <n v="0"/>
    <n v="0"/>
    <n v="1"/>
  </r>
  <r>
    <n v="640"/>
    <s v="CLI-01735"/>
    <x v="5"/>
    <n v="71"/>
    <s v="Bloqué 5Go"/>
    <s v="B2C"/>
    <n v="364"/>
    <n v="39.58"/>
    <n v="0.45"/>
    <n v="17.811"/>
    <n v="1"/>
  </r>
  <r>
    <n v="641"/>
    <s v="CLI-01736"/>
    <x v="1"/>
    <n v="88"/>
    <s v="Illimité 50Go"/>
    <s v="B2C"/>
    <n v="154"/>
    <n v="62.62"/>
    <n v="0"/>
    <n v="0"/>
    <n v="5"/>
  </r>
  <r>
    <n v="642"/>
    <s v="CLI-01739"/>
    <x v="3"/>
    <n v="119"/>
    <s v="Illimité 50Go"/>
    <s v="B2C"/>
    <n v="231"/>
    <n v="20.22"/>
    <n v="0"/>
    <n v="0"/>
    <n v="2"/>
  </r>
  <r>
    <n v="643"/>
    <s v="CLI-01740"/>
    <x v="5"/>
    <n v="81"/>
    <s v="Pro Monde"/>
    <s v="B2B"/>
    <n v="298"/>
    <n v="53.61"/>
    <n v="0.1"/>
    <n v="5.3610000000000007"/>
    <n v="2"/>
  </r>
  <r>
    <n v="644"/>
    <s v="CLI-01741"/>
    <x v="8"/>
    <n v="45"/>
    <s v="Premium 5G 150Go"/>
    <s v="B2C"/>
    <n v="244"/>
    <n v="55.17"/>
    <n v="0.45"/>
    <n v="24.826500000000003"/>
    <n v="2"/>
  </r>
  <r>
    <n v="645"/>
    <s v="CLI-01746"/>
    <x v="15"/>
    <n v="86"/>
    <s v="Premium 5G 150Go"/>
    <s v="B2C"/>
    <n v="471"/>
    <n v="33.380000000000003"/>
    <n v="0.45"/>
    <n v="15.021000000000001"/>
    <n v="4"/>
  </r>
  <r>
    <n v="646"/>
    <s v="CLI-01749"/>
    <x v="4"/>
    <n v="33"/>
    <s v="Premium 5G 150Go"/>
    <s v="B2C"/>
    <n v="444"/>
    <n v="10.28"/>
    <n v="0.45"/>
    <n v="4.6259999999999994"/>
    <n v="5"/>
  </r>
  <r>
    <n v="647"/>
    <s v="CLI-01757"/>
    <x v="15"/>
    <n v="104"/>
    <s v="Pro Monde"/>
    <s v="B2B"/>
    <n v="317"/>
    <n v="79.150000000000006"/>
    <n v="0.1"/>
    <n v="7.9150000000000009"/>
    <n v="1"/>
  </r>
  <r>
    <n v="648"/>
    <s v="CLI-01759"/>
    <x v="12"/>
    <n v="90"/>
    <s v="Pro Monde"/>
    <s v="B2B"/>
    <n v="195"/>
    <n v="52.71"/>
    <n v="0.1"/>
    <n v="5.2710000000000008"/>
    <n v="2"/>
  </r>
  <r>
    <n v="649"/>
    <s v="CLI-01761"/>
    <x v="24"/>
    <n v="108"/>
    <s v="Illimité 50Go"/>
    <s v="B2C"/>
    <n v="278"/>
    <n v="40.51"/>
    <n v="0.45"/>
    <n v="18.229499999999998"/>
    <n v="3"/>
  </r>
  <r>
    <n v="650"/>
    <s v="CLI-01765"/>
    <x v="20"/>
    <n v="57"/>
    <s v="Illimité 50Go"/>
    <s v="B2C"/>
    <n v="375"/>
    <n v="64.73"/>
    <n v="0.45"/>
    <n v="29.128500000000003"/>
    <n v="1"/>
  </r>
  <r>
    <n v="651"/>
    <s v="CLI-01766"/>
    <x v="11"/>
    <n v="101"/>
    <s v="Pro Monde"/>
    <s v="B2B"/>
    <n v="210"/>
    <n v="35.4"/>
    <n v="0.1"/>
    <n v="3.54"/>
    <n v="1"/>
  </r>
  <r>
    <n v="652"/>
    <s v="CLI-01768"/>
    <x v="4"/>
    <n v="72"/>
    <s v="Pro Monde"/>
    <s v="B2B"/>
    <n v="333"/>
    <n v="34.57"/>
    <n v="0.1"/>
    <n v="3.4570000000000003"/>
    <n v="2"/>
  </r>
  <r>
    <n v="653"/>
    <s v="CLI-01773"/>
    <x v="9"/>
    <n v="91"/>
    <s v="Illimité 50Go"/>
    <s v="B2C"/>
    <n v="404"/>
    <n v="76.53"/>
    <n v="0.45"/>
    <n v="34.438500000000005"/>
    <n v="5"/>
  </r>
  <r>
    <n v="654"/>
    <s v="CLI-01775"/>
    <x v="15"/>
    <n v="118"/>
    <s v="Bloqué 5Go"/>
    <s v="B2C"/>
    <n v="300"/>
    <n v="98.22"/>
    <n v="0.45"/>
    <n v="44.198999999999998"/>
    <n v="4"/>
  </r>
  <r>
    <n v="655"/>
    <s v="CLI-01776"/>
    <x v="11"/>
    <n v="79"/>
    <s v="Bloqué 5Go"/>
    <s v="B2C"/>
    <n v="357"/>
    <n v="69.900000000000006"/>
    <n v="0.45"/>
    <n v="31.455000000000002"/>
    <n v="5"/>
  </r>
  <r>
    <n v="656"/>
    <s v="CLI-01780"/>
    <x v="8"/>
    <n v="112"/>
    <s v="Illimité 50Go"/>
    <s v="B2C"/>
    <n v="281"/>
    <n v="80.72"/>
    <n v="0.45"/>
    <n v="36.323999999999998"/>
    <n v="2"/>
  </r>
  <r>
    <n v="657"/>
    <s v="CLI-01782"/>
    <x v="7"/>
    <n v="93"/>
    <s v="Pro Monde"/>
    <s v="B2B"/>
    <n v="153"/>
    <n v="86.19"/>
    <n v="0.1"/>
    <n v="8.6189999999999998"/>
    <n v="0"/>
  </r>
  <r>
    <n v="658"/>
    <s v="CLI-01783"/>
    <x v="14"/>
    <n v="48"/>
    <s v="Bloqué 5Go"/>
    <s v="B2C"/>
    <n v="482"/>
    <n v="83.24"/>
    <n v="0.45"/>
    <n v="37.457999999999998"/>
    <n v="0"/>
  </r>
  <r>
    <n v="659"/>
    <s v="CLI-01788"/>
    <x v="18"/>
    <n v="22"/>
    <s v="Pro Monde"/>
    <s v="B2B"/>
    <n v="127"/>
    <n v="49.06"/>
    <n v="0.1"/>
    <n v="4.9060000000000006"/>
    <n v="2"/>
  </r>
  <r>
    <n v="660"/>
    <s v="CLI-01793"/>
    <x v="16"/>
    <n v="87"/>
    <s v="Pro Monde"/>
    <s v="B2B"/>
    <n v="205"/>
    <n v="40.159999999999997"/>
    <n v="0.1"/>
    <n v="4.016"/>
    <n v="5"/>
  </r>
  <r>
    <n v="661"/>
    <s v="CLI-01794"/>
    <x v="9"/>
    <n v="100"/>
    <s v="Bloqué 5Go"/>
    <s v="B2C"/>
    <n v="471"/>
    <n v="61.2"/>
    <n v="0.45"/>
    <n v="27.540000000000003"/>
    <n v="3"/>
  </r>
  <r>
    <n v="662"/>
    <s v="CLI-01796"/>
    <x v="20"/>
    <n v="51"/>
    <s v="Illimité 50Go"/>
    <s v="B2C"/>
    <n v="433"/>
    <n v="12.89"/>
    <n v="0.45"/>
    <n v="5.8005000000000004"/>
    <n v="1"/>
  </r>
  <r>
    <n v="663"/>
    <s v="CLI-01797"/>
    <x v="16"/>
    <n v="15"/>
    <s v="Bloqué 5Go"/>
    <s v="B2C"/>
    <n v="30"/>
    <n v="30.5"/>
    <n v="0"/>
    <n v="0"/>
    <n v="1"/>
  </r>
  <r>
    <n v="664"/>
    <s v="CLI-01802"/>
    <x v="0"/>
    <n v="55"/>
    <s v="Bloqué 5Go"/>
    <s v="B2C"/>
    <n v="407"/>
    <n v="23.11"/>
    <n v="0.45"/>
    <n v="10.3995"/>
    <n v="0"/>
  </r>
  <r>
    <n v="665"/>
    <s v="CLI-01804"/>
    <x v="7"/>
    <n v="99"/>
    <s v="Pro Monde"/>
    <s v="B2B"/>
    <n v="42"/>
    <n v="98.77"/>
    <n v="0.1"/>
    <n v="9.8770000000000007"/>
    <n v="3"/>
  </r>
  <r>
    <n v="666"/>
    <s v="CLI-01812"/>
    <x v="17"/>
    <n v="50"/>
    <s v="Bloqué 5Go"/>
    <s v="B2C"/>
    <n v="258"/>
    <n v="25.06"/>
    <n v="0.45"/>
    <n v="11.276999999999999"/>
    <n v="4"/>
  </r>
  <r>
    <n v="667"/>
    <s v="CLI-01814"/>
    <x v="19"/>
    <n v="22"/>
    <s v="Illimité 50Go"/>
    <s v="B2C"/>
    <n v="451"/>
    <n v="76.38"/>
    <n v="0.45"/>
    <n v="34.371000000000002"/>
    <n v="3"/>
  </r>
  <r>
    <n v="668"/>
    <s v="CLI-01816"/>
    <x v="18"/>
    <n v="83"/>
    <s v="Pro Monde"/>
    <s v="B2B"/>
    <n v="91"/>
    <n v="73.73"/>
    <n v="0.1"/>
    <n v="7.3730000000000011"/>
    <n v="2"/>
  </r>
  <r>
    <n v="669"/>
    <s v="CLI-01818"/>
    <x v="12"/>
    <n v="35"/>
    <s v="Illimité 50Go"/>
    <s v="B2C"/>
    <n v="421"/>
    <n v="29.57"/>
    <n v="0.45"/>
    <n v="13.3065"/>
    <n v="5"/>
  </r>
  <r>
    <n v="670"/>
    <s v="CLI-01820"/>
    <x v="18"/>
    <n v="99"/>
    <s v="Illimité 50Go"/>
    <s v="B2C"/>
    <n v="137"/>
    <n v="23.05"/>
    <n v="0"/>
    <n v="0"/>
    <n v="4"/>
  </r>
  <r>
    <n v="671"/>
    <s v="CLI-01821"/>
    <x v="0"/>
    <n v="115"/>
    <s v="Pro Monde"/>
    <s v="B2B"/>
    <n v="262"/>
    <n v="66.34"/>
    <n v="0.1"/>
    <n v="6.6340000000000003"/>
    <n v="3"/>
  </r>
  <r>
    <n v="672"/>
    <s v="CLI-01822"/>
    <x v="10"/>
    <n v="112"/>
    <s v="Illimité 50Go"/>
    <s v="B2C"/>
    <n v="483"/>
    <n v="93.98"/>
    <n v="0.45"/>
    <n v="42.291000000000004"/>
    <n v="0"/>
  </r>
  <r>
    <n v="673"/>
    <s v="CLI-01823"/>
    <x v="4"/>
    <n v="7"/>
    <s v="Bloqué 5Go"/>
    <s v="B2C"/>
    <n v="233"/>
    <n v="10.94"/>
    <n v="0"/>
    <n v="0"/>
    <n v="0"/>
  </r>
  <r>
    <n v="674"/>
    <s v="CLI-01824"/>
    <x v="18"/>
    <n v="42"/>
    <s v="Pro Monde"/>
    <s v="B2B"/>
    <n v="389"/>
    <n v="80.08"/>
    <n v="0.1"/>
    <n v="8.0080000000000009"/>
    <n v="1"/>
  </r>
  <r>
    <n v="675"/>
    <s v="CLI-01830"/>
    <x v="14"/>
    <n v="104"/>
    <s v="Bloqué 5Go"/>
    <s v="B2C"/>
    <n v="245"/>
    <n v="38.270000000000003"/>
    <n v="0.45"/>
    <n v="17.221500000000002"/>
    <n v="0"/>
  </r>
  <r>
    <n v="676"/>
    <s v="CLI-01832"/>
    <x v="22"/>
    <n v="23"/>
    <s v="Pro Monde"/>
    <s v="B2B"/>
    <n v="120"/>
    <n v="73.12"/>
    <n v="0.1"/>
    <n v="7.3120000000000012"/>
    <n v="1"/>
  </r>
  <r>
    <n v="677"/>
    <s v="CLI-01835"/>
    <x v="2"/>
    <n v="76"/>
    <s v="Bloqué 5Go"/>
    <s v="B2C"/>
    <n v="192"/>
    <n v="68.53"/>
    <n v="0"/>
    <n v="0"/>
    <n v="0"/>
  </r>
  <r>
    <n v="678"/>
    <s v="CLI-01836"/>
    <x v="16"/>
    <n v="35"/>
    <s v="Pro Monde"/>
    <s v="B2B"/>
    <n v="496"/>
    <n v="19.78"/>
    <n v="0.1"/>
    <n v="1.9780000000000002"/>
    <n v="5"/>
  </r>
  <r>
    <n v="679"/>
    <s v="CLI-01837"/>
    <x v="21"/>
    <n v="97"/>
    <s v="Pro Monde"/>
    <s v="B2B"/>
    <n v="319"/>
    <n v="31.25"/>
    <n v="0.1"/>
    <n v="3.125"/>
    <n v="1"/>
  </r>
  <r>
    <n v="680"/>
    <s v="CLI-01839"/>
    <x v="4"/>
    <n v="114"/>
    <s v="Premium 5G 150Go"/>
    <s v="B2C"/>
    <n v="482"/>
    <n v="16.25"/>
    <n v="0.45"/>
    <n v="7.3125"/>
    <n v="3"/>
  </r>
  <r>
    <n v="681"/>
    <s v="CLI-01843"/>
    <x v="14"/>
    <n v="89"/>
    <s v="Bloqué 5Go"/>
    <s v="B2C"/>
    <n v="474"/>
    <n v="28.51"/>
    <n v="0.45"/>
    <n v="12.829500000000001"/>
    <n v="5"/>
  </r>
  <r>
    <n v="682"/>
    <s v="CLI-01844"/>
    <x v="14"/>
    <n v="41"/>
    <s v="Pro Monde"/>
    <s v="B2B"/>
    <n v="206"/>
    <n v="83.16"/>
    <n v="0.1"/>
    <n v="8.3160000000000007"/>
    <n v="2"/>
  </r>
  <r>
    <n v="683"/>
    <s v="CLI-01845"/>
    <x v="11"/>
    <n v="110"/>
    <s v="Illimité 50Go"/>
    <s v="B2C"/>
    <n v="454"/>
    <n v="31.05"/>
    <n v="0.45"/>
    <n v="13.9725"/>
    <n v="1"/>
  </r>
  <r>
    <n v="684"/>
    <s v="CLI-01846"/>
    <x v="8"/>
    <n v="85"/>
    <s v="Pro Monde"/>
    <s v="B2B"/>
    <n v="75"/>
    <n v="98.01"/>
    <n v="0.1"/>
    <n v="9.8010000000000019"/>
    <n v="1"/>
  </r>
  <r>
    <n v="685"/>
    <s v="CLI-01847"/>
    <x v="12"/>
    <n v="79"/>
    <s v="Bloqué 5Go"/>
    <s v="B2C"/>
    <n v="462"/>
    <n v="18.28"/>
    <n v="0.45"/>
    <n v="8.2260000000000009"/>
    <n v="0"/>
  </r>
  <r>
    <n v="686"/>
    <s v="CLI-01848"/>
    <x v="24"/>
    <n v="46"/>
    <s v="Premium 5G 150Go"/>
    <s v="B2C"/>
    <n v="43"/>
    <n v="98.44"/>
    <n v="0"/>
    <n v="0"/>
    <n v="2"/>
  </r>
  <r>
    <n v="687"/>
    <s v="CLI-01850"/>
    <x v="10"/>
    <n v="1"/>
    <s v="Pro Monde"/>
    <s v="B2B"/>
    <n v="326"/>
    <n v="54.63"/>
    <n v="0.1"/>
    <n v="5.463000000000001"/>
    <n v="3"/>
  </r>
  <r>
    <n v="688"/>
    <s v="CLI-01851"/>
    <x v="12"/>
    <n v="26"/>
    <s v="Premium 5G 150Go"/>
    <s v="B2C"/>
    <n v="378"/>
    <n v="45.21"/>
    <n v="0.45"/>
    <n v="20.3445"/>
    <n v="5"/>
  </r>
  <r>
    <n v="689"/>
    <s v="CLI-01852"/>
    <x v="6"/>
    <n v="73"/>
    <s v="Pro Monde"/>
    <s v="B2B"/>
    <n v="268"/>
    <n v="56.86"/>
    <n v="0.1"/>
    <n v="5.6859999999999999"/>
    <n v="5"/>
  </r>
  <r>
    <n v="690"/>
    <s v="CLI-01854"/>
    <x v="20"/>
    <n v="16"/>
    <s v="Bloqué 5Go"/>
    <s v="B2C"/>
    <n v="13"/>
    <n v="14.91"/>
    <n v="0"/>
    <n v="0"/>
    <n v="1"/>
  </r>
  <r>
    <n v="691"/>
    <s v="CLI-01855"/>
    <x v="11"/>
    <n v="101"/>
    <s v="Illimité 50Go"/>
    <s v="B2C"/>
    <n v="358"/>
    <n v="29.24"/>
    <n v="0.45"/>
    <n v="13.157999999999999"/>
    <n v="3"/>
  </r>
  <r>
    <n v="692"/>
    <s v="CLI-01858"/>
    <x v="6"/>
    <n v="103"/>
    <s v="Illimité 50Go"/>
    <s v="B2C"/>
    <n v="291"/>
    <n v="60.34"/>
    <n v="0.45"/>
    <n v="27.153000000000002"/>
    <n v="5"/>
  </r>
  <r>
    <n v="693"/>
    <s v="CLI-01860"/>
    <x v="8"/>
    <n v="92"/>
    <s v="Premium 5G 150Go"/>
    <s v="B2C"/>
    <n v="116"/>
    <n v="23.83"/>
    <n v="0"/>
    <n v="0"/>
    <n v="3"/>
  </r>
  <r>
    <n v="694"/>
    <s v="CLI-01861"/>
    <x v="23"/>
    <n v="116"/>
    <s v="Illimité 50Go"/>
    <s v="B2C"/>
    <n v="231"/>
    <n v="19.12"/>
    <n v="0"/>
    <n v="0"/>
    <n v="5"/>
  </r>
  <r>
    <n v="695"/>
    <s v="CLI-01868"/>
    <x v="22"/>
    <n v="89"/>
    <s v="Pro Monde"/>
    <s v="B2B"/>
    <n v="381"/>
    <n v="68.17"/>
    <n v="0.1"/>
    <n v="6.8170000000000002"/>
    <n v="0"/>
  </r>
  <r>
    <n v="696"/>
    <s v="CLI-01871"/>
    <x v="24"/>
    <n v="65"/>
    <s v="Premium 5G 150Go"/>
    <s v="B2C"/>
    <n v="15"/>
    <n v="44.47"/>
    <n v="0"/>
    <n v="0"/>
    <n v="0"/>
  </r>
  <r>
    <n v="697"/>
    <s v="CLI-01873"/>
    <x v="1"/>
    <n v="61"/>
    <s v="Pro Monde"/>
    <s v="B2B"/>
    <n v="362"/>
    <n v="75.03"/>
    <n v="0.1"/>
    <n v="7.5030000000000001"/>
    <n v="0"/>
  </r>
  <r>
    <n v="698"/>
    <s v="CLI-01876"/>
    <x v="23"/>
    <n v="17"/>
    <s v="Pro Monde"/>
    <s v="B2B"/>
    <n v="206"/>
    <n v="63.46"/>
    <n v="0.1"/>
    <n v="6.3460000000000001"/>
    <n v="3"/>
  </r>
  <r>
    <n v="699"/>
    <s v="CLI-01877"/>
    <x v="21"/>
    <n v="19"/>
    <s v="Bloqué 5Go"/>
    <s v="B2C"/>
    <n v="125"/>
    <n v="11.78"/>
    <n v="0"/>
    <n v="0"/>
    <n v="4"/>
  </r>
  <r>
    <n v="700"/>
    <s v="CLI-01880"/>
    <x v="13"/>
    <n v="13"/>
    <s v="Bloqué 5Go"/>
    <s v="B2C"/>
    <n v="180"/>
    <n v="24.01"/>
    <n v="0"/>
    <n v="0"/>
    <n v="0"/>
  </r>
  <r>
    <n v="701"/>
    <s v="CLI-01885"/>
    <x v="19"/>
    <n v="90"/>
    <s v="Pro Monde"/>
    <s v="B2B"/>
    <n v="299"/>
    <n v="71.760000000000005"/>
    <n v="0.1"/>
    <n v="7.176000000000001"/>
    <n v="1"/>
  </r>
  <r>
    <n v="702"/>
    <s v="CLI-01888"/>
    <x v="17"/>
    <n v="41"/>
    <s v="Premium 5G 150Go"/>
    <s v="B2C"/>
    <n v="64"/>
    <n v="91.95"/>
    <n v="0"/>
    <n v="0"/>
    <n v="1"/>
  </r>
  <r>
    <n v="703"/>
    <s v="CLI-01890"/>
    <x v="23"/>
    <n v="74"/>
    <s v="Illimité 50Go"/>
    <s v="B2C"/>
    <n v="359"/>
    <n v="92.63"/>
    <n v="0.45"/>
    <n v="41.683500000000002"/>
    <n v="0"/>
  </r>
  <r>
    <n v="704"/>
    <s v="CLI-01891"/>
    <x v="16"/>
    <n v="62"/>
    <s v="Premium 5G 150Go"/>
    <s v="B2C"/>
    <n v="116"/>
    <n v="92.99"/>
    <n v="0"/>
    <n v="0"/>
    <n v="5"/>
  </r>
  <r>
    <n v="705"/>
    <s v="CLI-01893"/>
    <x v="23"/>
    <n v="118"/>
    <s v="Pro Monde"/>
    <s v="B2B"/>
    <n v="80"/>
    <n v="97.58"/>
    <n v="0.1"/>
    <n v="9.7580000000000009"/>
    <n v="3"/>
  </r>
  <r>
    <n v="706"/>
    <s v="CLI-01906"/>
    <x v="21"/>
    <n v="99"/>
    <s v="Bloqué 5Go"/>
    <s v="B2C"/>
    <n v="28"/>
    <n v="70.19"/>
    <n v="0"/>
    <n v="0"/>
    <n v="1"/>
  </r>
  <r>
    <n v="707"/>
    <s v="CLI-01908"/>
    <x v="24"/>
    <n v="80"/>
    <s v="Premium 5G 150Go"/>
    <s v="B2C"/>
    <n v="121"/>
    <n v="83.14"/>
    <n v="0"/>
    <n v="0"/>
    <n v="5"/>
  </r>
  <r>
    <n v="708"/>
    <s v="CLI-01911"/>
    <x v="20"/>
    <n v="58"/>
    <s v="Illimité 50Go"/>
    <s v="B2C"/>
    <n v="61"/>
    <n v="58.64"/>
    <n v="0"/>
    <n v="0"/>
    <n v="3"/>
  </r>
  <r>
    <n v="709"/>
    <s v="CLI-01916"/>
    <x v="3"/>
    <n v="4"/>
    <s v="Bloqué 5Go"/>
    <s v="B2C"/>
    <n v="453"/>
    <n v="75.260000000000005"/>
    <n v="0.45"/>
    <n v="33.867000000000004"/>
    <n v="5"/>
  </r>
  <r>
    <n v="710"/>
    <s v="CLI-01917"/>
    <x v="4"/>
    <n v="41"/>
    <s v="Bloqué 5Go"/>
    <s v="B2C"/>
    <n v="398"/>
    <n v="28.56"/>
    <n v="0.45"/>
    <n v="12.852"/>
    <n v="2"/>
  </r>
  <r>
    <n v="711"/>
    <s v="CLI-01920"/>
    <x v="15"/>
    <n v="49"/>
    <s v="Pro Monde"/>
    <s v="B2B"/>
    <n v="229"/>
    <n v="53.94"/>
    <n v="0.1"/>
    <n v="5.3940000000000001"/>
    <n v="5"/>
  </r>
  <r>
    <n v="712"/>
    <s v="CLI-01923"/>
    <x v="21"/>
    <n v="29"/>
    <s v="Illimité 50Go"/>
    <s v="B2C"/>
    <n v="416"/>
    <n v="61.26"/>
    <n v="0.45"/>
    <n v="27.567"/>
    <n v="0"/>
  </r>
  <r>
    <n v="713"/>
    <s v="CLI-01926"/>
    <x v="16"/>
    <n v="9"/>
    <s v="Illimité 50Go"/>
    <s v="B2C"/>
    <n v="227"/>
    <n v="63.74"/>
    <n v="0"/>
    <n v="0"/>
    <n v="3"/>
  </r>
  <r>
    <n v="714"/>
    <s v="CLI-01927"/>
    <x v="6"/>
    <n v="97"/>
    <s v="Pro Monde"/>
    <s v="B2B"/>
    <n v="276"/>
    <n v="88.35"/>
    <n v="0.1"/>
    <n v="8.8349999999999991"/>
    <n v="0"/>
  </r>
  <r>
    <n v="715"/>
    <s v="CLI-01929"/>
    <x v="23"/>
    <n v="32"/>
    <s v="Illimité 50Go"/>
    <s v="B2C"/>
    <n v="31"/>
    <n v="67.040000000000006"/>
    <n v="0"/>
    <n v="0"/>
    <n v="1"/>
  </r>
  <r>
    <n v="716"/>
    <s v="CLI-01931"/>
    <x v="16"/>
    <n v="87"/>
    <s v="Illimité 50Go"/>
    <s v="B2C"/>
    <n v="498"/>
    <n v="61.57"/>
    <n v="0.45"/>
    <n v="27.706500000000002"/>
    <n v="0"/>
  </r>
  <r>
    <n v="717"/>
    <s v="CLI-01932"/>
    <x v="1"/>
    <n v="112"/>
    <s v="Pro Monde"/>
    <s v="B2B"/>
    <n v="18"/>
    <n v="27.33"/>
    <n v="0.1"/>
    <n v="2.7330000000000001"/>
    <n v="5"/>
  </r>
  <r>
    <n v="718"/>
    <s v="CLI-01933"/>
    <x v="19"/>
    <n v="97"/>
    <s v="Premium 5G 150Go"/>
    <s v="B2C"/>
    <n v="296"/>
    <n v="10.87"/>
    <n v="0.45"/>
    <n v="4.8914999999999997"/>
    <n v="4"/>
  </r>
  <r>
    <n v="719"/>
    <s v="CLI-01938"/>
    <x v="9"/>
    <n v="14"/>
    <s v="Pro Monde"/>
    <s v="B2B"/>
    <n v="303"/>
    <n v="61.43"/>
    <n v="0.1"/>
    <n v="6.1430000000000007"/>
    <n v="1"/>
  </r>
  <r>
    <n v="720"/>
    <s v="CLI-01940"/>
    <x v="20"/>
    <n v="104"/>
    <s v="Premium 5G 150Go"/>
    <s v="B2C"/>
    <n v="68"/>
    <n v="21.15"/>
    <n v="0"/>
    <n v="0"/>
    <n v="2"/>
  </r>
  <r>
    <n v="721"/>
    <s v="CLI-01949"/>
    <x v="2"/>
    <n v="38"/>
    <s v="Premium 5G 150Go"/>
    <s v="B2C"/>
    <n v="432"/>
    <n v="53.65"/>
    <n v="0.45"/>
    <n v="24.142499999999998"/>
    <n v="4"/>
  </r>
  <r>
    <n v="722"/>
    <s v="CLI-01950"/>
    <x v="19"/>
    <n v="91"/>
    <s v="Premium 5G 150Go"/>
    <s v="B2C"/>
    <n v="467"/>
    <n v="84.74"/>
    <n v="0.45"/>
    <n v="38.132999999999996"/>
    <n v="1"/>
  </r>
  <r>
    <n v="723"/>
    <s v="CLI-01957"/>
    <x v="6"/>
    <n v="14"/>
    <s v="Bloqué 5Go"/>
    <s v="B2C"/>
    <n v="415"/>
    <n v="36.93"/>
    <n v="0.45"/>
    <n v="16.618500000000001"/>
    <n v="5"/>
  </r>
  <r>
    <n v="724"/>
    <s v="CLI-01959"/>
    <x v="15"/>
    <n v="7"/>
    <s v="Pro Monde"/>
    <s v="B2B"/>
    <n v="268"/>
    <n v="33.04"/>
    <n v="0.1"/>
    <n v="3.3040000000000003"/>
    <n v="5"/>
  </r>
  <r>
    <n v="725"/>
    <s v="CLI-01960"/>
    <x v="16"/>
    <n v="93"/>
    <s v="Bloqué 5Go"/>
    <s v="B2C"/>
    <n v="365"/>
    <n v="72.319999999999993"/>
    <n v="0.45"/>
    <n v="32.543999999999997"/>
    <n v="1"/>
  </r>
  <r>
    <n v="726"/>
    <s v="CLI-01964"/>
    <x v="17"/>
    <n v="30"/>
    <s v="Premium 5G 150Go"/>
    <s v="B2C"/>
    <n v="197"/>
    <n v="15.42"/>
    <n v="0"/>
    <n v="0"/>
    <n v="0"/>
  </r>
  <r>
    <n v="727"/>
    <s v="CLI-01966"/>
    <x v="16"/>
    <n v="58"/>
    <s v="Premium 5G 150Go"/>
    <s v="B2C"/>
    <n v="485"/>
    <n v="65.41"/>
    <n v="0.45"/>
    <n v="29.4345"/>
    <n v="5"/>
  </r>
  <r>
    <n v="728"/>
    <s v="CLI-01967"/>
    <x v="14"/>
    <n v="113"/>
    <s v="Premium 5G 150Go"/>
    <s v="B2C"/>
    <n v="246"/>
    <n v="29.18"/>
    <n v="0.45"/>
    <n v="13.131"/>
    <n v="2"/>
  </r>
  <r>
    <n v="729"/>
    <s v="CLI-01969"/>
    <x v="23"/>
    <n v="19"/>
    <s v="Bloqué 5Go"/>
    <s v="B2C"/>
    <n v="141"/>
    <n v="53.95"/>
    <n v="0"/>
    <n v="0"/>
    <n v="1"/>
  </r>
  <r>
    <n v="730"/>
    <s v="CLI-01970"/>
    <x v="3"/>
    <n v="33"/>
    <s v="Bloqué 5Go"/>
    <s v="B2C"/>
    <n v="332"/>
    <n v="76.41"/>
    <n v="0.45"/>
    <n v="34.384500000000003"/>
    <n v="1"/>
  </r>
  <r>
    <n v="731"/>
    <s v="CLI-01971"/>
    <x v="6"/>
    <n v="103"/>
    <s v="Bloqué 5Go"/>
    <s v="B2C"/>
    <n v="98"/>
    <n v="38.69"/>
    <n v="0"/>
    <n v="0"/>
    <n v="4"/>
  </r>
  <r>
    <n v="732"/>
    <s v="CLI-01972"/>
    <x v="13"/>
    <n v="72"/>
    <s v="Bloqué 5Go"/>
    <s v="B2C"/>
    <n v="332"/>
    <n v="83.36"/>
    <n v="0.45"/>
    <n v="37.512"/>
    <n v="4"/>
  </r>
  <r>
    <n v="733"/>
    <s v="CLI-01973"/>
    <x v="15"/>
    <n v="23"/>
    <s v="Pro Monde"/>
    <s v="B2B"/>
    <n v="262"/>
    <n v="46.3"/>
    <n v="0.1"/>
    <n v="4.63"/>
    <n v="1"/>
  </r>
  <r>
    <n v="734"/>
    <s v="CLI-01974"/>
    <x v="16"/>
    <n v="91"/>
    <s v="Pro Monde"/>
    <s v="B2B"/>
    <n v="358"/>
    <n v="21.14"/>
    <n v="0.1"/>
    <n v="2.1140000000000003"/>
    <n v="5"/>
  </r>
  <r>
    <n v="735"/>
    <s v="CLI-01975"/>
    <x v="22"/>
    <n v="65"/>
    <s v="Pro Monde"/>
    <s v="B2B"/>
    <n v="246"/>
    <n v="69.17"/>
    <n v="0.1"/>
    <n v="6.9170000000000007"/>
    <n v="0"/>
  </r>
  <r>
    <n v="736"/>
    <s v="CLI-01977"/>
    <x v="0"/>
    <n v="10"/>
    <s v="Illimité 50Go"/>
    <s v="B2C"/>
    <n v="418"/>
    <n v="27.66"/>
    <n v="0.45"/>
    <n v="12.447000000000001"/>
    <n v="2"/>
  </r>
  <r>
    <n v="737"/>
    <s v="CLI-01979"/>
    <x v="2"/>
    <n v="10"/>
    <s v="Pro Monde"/>
    <s v="B2B"/>
    <n v="129"/>
    <n v="70.12"/>
    <n v="0.1"/>
    <n v="7.0120000000000005"/>
    <n v="0"/>
  </r>
  <r>
    <n v="738"/>
    <s v="CLI-01981"/>
    <x v="18"/>
    <n v="80"/>
    <s v="Illimité 50Go"/>
    <s v="B2C"/>
    <n v="101"/>
    <n v="61.92"/>
    <n v="0"/>
    <n v="0"/>
    <n v="4"/>
  </r>
  <r>
    <n v="739"/>
    <s v="CLI-01982"/>
    <x v="21"/>
    <n v="61"/>
    <s v="Bloqué 5Go"/>
    <s v="B2C"/>
    <n v="383"/>
    <n v="39.72"/>
    <n v="0.45"/>
    <n v="17.873999999999999"/>
    <n v="4"/>
  </r>
  <r>
    <n v="740"/>
    <s v="CLI-01986"/>
    <x v="5"/>
    <n v="1"/>
    <s v="Bloqué 5Go"/>
    <s v="B2C"/>
    <n v="237"/>
    <n v="58.7"/>
    <n v="0"/>
    <n v="0"/>
    <n v="4"/>
  </r>
  <r>
    <n v="741"/>
    <s v="CLI-01988"/>
    <x v="21"/>
    <n v="111"/>
    <s v="Pro Monde"/>
    <s v="B2B"/>
    <n v="447"/>
    <n v="51.35"/>
    <n v="0.1"/>
    <n v="5.1350000000000007"/>
    <n v="0"/>
  </r>
  <r>
    <n v="742"/>
    <s v="CLI-01990"/>
    <x v="1"/>
    <n v="100"/>
    <s v="Illimité 50Go"/>
    <s v="B2C"/>
    <n v="240"/>
    <n v="24.83"/>
    <n v="0.45"/>
    <n v="11.173499999999999"/>
    <n v="4"/>
  </r>
  <r>
    <n v="743"/>
    <s v="CLI-01992"/>
    <x v="1"/>
    <n v="20"/>
    <s v="Illimité 50Go"/>
    <s v="B2C"/>
    <n v="217"/>
    <n v="55.3"/>
    <n v="0"/>
    <n v="0"/>
    <n v="4"/>
  </r>
  <r>
    <n v="744"/>
    <s v="CLI-01995"/>
    <x v="6"/>
    <n v="5"/>
    <s v="Premium 5G 150Go"/>
    <s v="B2C"/>
    <n v="71"/>
    <n v="93.81"/>
    <n v="0"/>
    <n v="0"/>
    <n v="3"/>
  </r>
  <r>
    <n v="745"/>
    <s v="CLI-01998"/>
    <x v="20"/>
    <n v="7"/>
    <s v="Pro Monde"/>
    <s v="B2B"/>
    <n v="332"/>
    <n v="83.95"/>
    <n v="0.1"/>
    <n v="8.3950000000000014"/>
    <n v="4"/>
  </r>
  <r>
    <n v="746"/>
    <s v="CLI-01999"/>
    <x v="16"/>
    <n v="47"/>
    <s v="Pro Monde"/>
    <s v="B2B"/>
    <n v="149"/>
    <n v="28.35"/>
    <n v="0.1"/>
    <n v="2.835000000000000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B3EBED-A409-420E-8DB8-85E64AA1A7D0}" name="Tableau croisé dynamique2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48:C75" firstHeaderRow="1" firstDataRow="1" firstDataCol="1"/>
  <pivotFields count="11">
    <pivotField showAll="0"/>
    <pivotField dataField="1" showAll="0"/>
    <pivotField axis="axisRow" showAll="0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</pivotField>
    <pivotField showAll="0"/>
    <pivotField showAll="0"/>
    <pivotField showAll="0"/>
    <pivotField showAll="0"/>
    <pivotField numFmtId="165" showAll="0"/>
    <pivotField numFmtId="9" showAll="0"/>
    <pivotField numFmtId="165" showAll="0"/>
    <pivotField showAll="0"/>
  </pivotFields>
  <rowFields count="1">
    <field x="2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Nombre de ID_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2C9FC-4045-43D3-838C-301ABD7FA4B7}" name="Tableau croisé dynamique9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2:F41" firstHeaderRow="1" firstDataRow="2" firstDataCol="1"/>
  <pivotFields count="10">
    <pivotField axis="axisRow" showAll="0" sortType="descending">
      <items count="28">
        <item x="4"/>
        <item x="3"/>
        <item x="7"/>
        <item x="6"/>
        <item x="23"/>
        <item x="12"/>
        <item x="10"/>
        <item x="14"/>
        <item x="16"/>
        <item x="11"/>
        <item x="8"/>
        <item x="25"/>
        <item x="20"/>
        <item x="26"/>
        <item x="22"/>
        <item x="1"/>
        <item x="18"/>
        <item x="13"/>
        <item x="2"/>
        <item x="15"/>
        <item x="0"/>
        <item x="9"/>
        <item x="21"/>
        <item x="17"/>
        <item x="24"/>
        <item x="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</pivotFields>
  <rowFields count="1">
    <field x="0"/>
  </rowFields>
  <rowItems count="28">
    <i>
      <x v="18"/>
    </i>
    <i>
      <x v="19"/>
    </i>
    <i>
      <x v="22"/>
    </i>
    <i>
      <x v="10"/>
    </i>
    <i>
      <x v="23"/>
    </i>
    <i>
      <x v="20"/>
    </i>
    <i>
      <x/>
    </i>
    <i>
      <x v="24"/>
    </i>
    <i>
      <x v="25"/>
    </i>
    <i>
      <x v="16"/>
    </i>
    <i>
      <x v="4"/>
    </i>
    <i>
      <x v="14"/>
    </i>
    <i>
      <x v="1"/>
    </i>
    <i>
      <x v="2"/>
    </i>
    <i>
      <x v="7"/>
    </i>
    <i>
      <x v="3"/>
    </i>
    <i>
      <x v="5"/>
    </i>
    <i>
      <x v="12"/>
    </i>
    <i>
      <x v="9"/>
    </i>
    <i>
      <x v="6"/>
    </i>
    <i>
      <x v="26"/>
    </i>
    <i>
      <x v="15"/>
    </i>
    <i>
      <x v="11"/>
    </i>
    <i>
      <x v="21"/>
    </i>
    <i>
      <x v="17"/>
    </i>
    <i>
      <x v="13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Date_Heure_Panne" fld="2" subtotal="count" baseField="0" baseItem="0"/>
  </dataFields>
  <formats count="11"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collapsedLevelsAreSubtotals="1" fieldPosition="0">
        <references count="1">
          <reference field="0" count="3">
            <x v="18"/>
            <x v="19"/>
            <x v="22"/>
          </reference>
        </references>
      </pivotArea>
    </format>
    <format dxfId="5">
      <pivotArea dataOnly="0" labelOnly="1" fieldPosition="0">
        <references count="1">
          <reference field="0" count="3">
            <x v="18"/>
            <x v="19"/>
            <x v="22"/>
          </reference>
        </references>
      </pivotArea>
    </format>
    <format dxfId="4">
      <pivotArea collapsedLevelsAreSubtotals="1" fieldPosition="0">
        <references count="1">
          <reference field="0" count="3">
            <x v="18"/>
            <x v="19"/>
            <x v="22"/>
          </reference>
        </references>
      </pivotArea>
    </format>
    <format dxfId="3">
      <pivotArea dataOnly="0" labelOnly="1" fieldPosition="0">
        <references count="1">
          <reference field="0" count="3">
            <x v="18"/>
            <x v="19"/>
            <x v="22"/>
          </reference>
        </references>
      </pivotArea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dataOnly="0" fieldPosition="0">
        <references count="1">
          <reference field="0" count="1">
            <x v="10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E757FF9-1CC9-498D-876A-B27C2DDDBF7F}" autoFormatId="16" applyNumberFormats="0" applyBorderFormats="0" applyFontFormats="0" applyPatternFormats="0" applyAlignmentFormats="0" applyWidthHeightFormats="0">
  <queryTableRefresh nextId="21" unboundColumnsLeft="1">
    <queryTableFields count="11">
      <queryTableField id="18" dataBound="0" tableColumnId="12"/>
      <queryTableField id="1" name="ID_Client" tableColumnId="1"/>
      <queryTableField id="2" name="Province_Client" tableColumnId="2"/>
      <queryTableField id="3" name="Anciennete_Mois" tableColumnId="3"/>
      <queryTableField id="4" name="Type_Forfait" tableColumnId="4"/>
      <queryTableField id="15" dataBound="0" tableColumnId="9"/>
      <queryTableField id="5" name="Duree_Cumulee_Panne_Min" tableColumnId="5"/>
      <queryTableField id="6" name="Facture_Mensuelle" tableColumnId="6"/>
      <queryTableField id="14" dataBound="0" tableColumnId="8"/>
      <queryTableField id="16" dataBound="0" tableColumnId="10"/>
      <queryTableField id="7" name="Plaintes_Service_Clie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4" xr16:uid="{BA2435CC-9B89-47E0-9A86-17AB3A470223}" autoFormatId="16" applyNumberFormats="0" applyBorderFormats="0" applyFontFormats="0" applyPatternFormats="0" applyAlignmentFormats="0" applyWidthHeightFormats="0">
  <queryTableRefresh nextId="25" unboundColumnsLeft="1" unboundColumnsRight="4">
    <queryTableFields count="10">
      <queryTableField id="5" dataBound="0" tableColumnId="5"/>
      <queryTableField id="2" name="Cell_ID" tableColumnId="2"/>
      <queryTableField id="1" name="Date_Heure_Panne" tableColumnId="1"/>
      <queryTableField id="24" dataBound="0" tableColumnId="10"/>
      <queryTableField id="3" name="Duree_Panne_Min" tableColumnId="3"/>
      <queryTableField id="4" name="Statut_Resolution" tableColumnId="4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E175B-67C9-48C6-AE74-BD3BBDA1D902}" name="Client_churn3" displayName="Client_churn3" ref="A1:K747" tableType="queryTable" totalsRowShown="0" headerRowDxfId="28">
  <autoFilter ref="A1:K747" xr:uid="{EC6E175B-67C9-48C6-AE74-BD3BBDA1D902}"/>
  <tableColumns count="11">
    <tableColumn id="12" xr3:uid="{A43CCA52-D5A8-4656-A231-0B7EE897B4F9}" uniqueName="12" name="ID" queryTableFieldId="18"/>
    <tableColumn id="1" xr3:uid="{D529827F-B720-41CC-B305-68D913807B6F}" uniqueName="1" name="ID_Client" queryTableFieldId="1" dataDxfId="27"/>
    <tableColumn id="2" xr3:uid="{FBFDDB6A-B4BD-4272-9E26-A00A082A1E43}" uniqueName="2" name="Province_Client" queryTableFieldId="2" dataDxfId="26"/>
    <tableColumn id="3" xr3:uid="{A9342E4A-EB60-4DBC-AE9F-2D1B9E8211FF}" uniqueName="3" name="Anciennete_Mois" queryTableFieldId="3"/>
    <tableColumn id="4" xr3:uid="{108512F4-30DA-47BA-8945-D0A489747544}" uniqueName="4" name="Type_Forfait" queryTableFieldId="4" dataDxfId="25"/>
    <tableColumn id="9" xr3:uid="{DBF66126-9D22-474B-9A81-686EB09F7F4D}" uniqueName="9" name="Type Client" queryTableFieldId="15" dataDxfId="24">
      <calculatedColumnFormula>IF(Client_churn3[[#This Row],[Type_Forfait]]= "Pro Monde", "B2B", "B2C")</calculatedColumnFormula>
    </tableColumn>
    <tableColumn id="5" xr3:uid="{138E5DD4-9CA5-437C-9AD7-D34951E0C0B0}" uniqueName="5" name="Duree_Cumulee_Panne_Min" queryTableFieldId="5"/>
    <tableColumn id="6" xr3:uid="{E92733C4-CD01-422E-9DFF-6DAC0C75035D}" uniqueName="6" name="Facture_Mensuelle" queryTableFieldId="6" dataDxfId="23"/>
    <tableColumn id="8" xr3:uid="{FF854BBC-CBAE-4266-B5BF-65D7D5D2A6F0}" uniqueName="8" name="Remise Client" queryTableFieldId="14" dataCellStyle="Pourcentage">
      <calculatedColumnFormula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calculatedColumnFormula>
    </tableColumn>
    <tableColumn id="10" xr3:uid="{CB83DD57-442B-4EBF-9C02-8EB13057458F}" uniqueName="10" name="Perte financiere " queryTableFieldId="16" dataDxfId="22" dataCellStyle="Pourcentage">
      <calculatedColumnFormula>Client_churn3[[#This Row],[Facture_Mensuelle]]*Client_churn3[[#This Row],[Remise Client]]</calculatedColumnFormula>
    </tableColumn>
    <tableColumn id="7" xr3:uid="{6FFDF046-EFCF-4B6D-8BF6-DDCD4576655D}" uniqueName="7" name="Plaintes_Service_Client" queryTableField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14A4F-ECD4-4C17-930D-F1BEC113C1DB}" name="Logs_reseau" displayName="Logs_reseau" ref="A1:J1909" tableType="queryTable" totalsRowShown="0" headerRowDxfId="21">
  <autoFilter ref="A1:J1909" xr:uid="{A2714A4F-ECD4-4C17-930D-F1BEC113C1DB}"/>
  <tableColumns count="10">
    <tableColumn id="5" xr3:uid="{BA3CBC1A-E405-4DF6-9DE6-8BDAB9ADE29A}" uniqueName="5" name="Province_RDC" queryTableFieldId="5" dataDxfId="20">
      <calculatedColumnFormula>IFERROR(VLOOKUP(Logs_reseau[[#This Row],[Cell_ID]],'[1]Registre_Maintenance_combine '!A:B,2,FALSE),"Non trouvé")</calculatedColumnFormula>
    </tableColumn>
    <tableColumn id="2" xr3:uid="{45B48351-B9E7-48BA-BDC5-E8D7F1C19452}" uniqueName="2" name="Cell_ID" queryTableFieldId="2" dataDxfId="19"/>
    <tableColumn id="1" xr3:uid="{7FCE679F-46D4-486F-94FE-0EBFAE8ECBA0}" uniqueName="1" name="Date_Heure_Panne" queryTableFieldId="1" dataDxfId="18"/>
    <tableColumn id="10" xr3:uid="{5B11D8D2-5388-425D-BC14-4EB3DDEF6A64}" uniqueName="10" name="Durée_Panne_Heure" queryTableFieldId="24" dataDxfId="17">
      <calculatedColumnFormula>Logs_reseau[[#This Row],[Duree_Panne_Min]]/1440</calculatedColumnFormula>
    </tableColumn>
    <tableColumn id="3" xr3:uid="{80771DCB-EC21-4046-B10F-F8B6964CAA66}" uniqueName="3" name="Duree_Panne_Min" queryTableFieldId="3" dataDxfId="16"/>
    <tableColumn id="4" xr3:uid="{09F01C2B-91B1-4794-AEC0-57BFEE3D5D51}" uniqueName="4" name="Statut_Resolution" queryTableFieldId="4" dataDxfId="15"/>
    <tableColumn id="6" xr3:uid="{63B9C38F-9093-49B1-AC9C-CCA8CED8527B}" uniqueName="6" name="Latitude" queryTableFieldId="6" dataDxfId="14">
      <calculatedColumnFormula>IFERROR(VLOOKUP(Logs_reseau[[#This Row],[Cell_ID]],'[1]Registre_Maintenance_combine '!A:C,3,FALSE),"Non trouvé")</calculatedColumnFormula>
    </tableColumn>
    <tableColumn id="7" xr3:uid="{D9AE471C-7ED7-40A5-90BA-6F9121F7ED1D}" uniqueName="7" name="Longitude" queryTableFieldId="7" dataDxfId="13">
      <calculatedColumnFormula>IFERROR(VLOOKUP(Logs_reseau[[#This Row],[Cell_ID]],'[1]Registre_Maintenance_combine '!A:D,4,FALSE),"Non trouvé")</calculatedColumnFormula>
    </tableColumn>
    <tableColumn id="8" xr3:uid="{BCC358F1-87F2-4BA6-A675-2E29E99854C0}" uniqueName="8" name="Technologie" queryTableFieldId="8" dataDxfId="12">
      <calculatedColumnFormula>IFERROR(VLOOKUP(Logs_reseau[[#This Row],[Cell_ID]],'[1]Registre_Maintenance_combine '!A:E,5,FALSE),"Non trouvé")</calculatedColumnFormula>
    </tableColumn>
    <tableColumn id="9" xr3:uid="{F0EF2787-5B40-4F2D-A20E-D4F285FB05AC}" uniqueName="9" name="Equipementier" queryTableFieldId="9" dataDxfId="11">
      <calculatedColumnFormula>IFERROR(VLOOKUP(Logs_reseau[[#This Row],[Cell_ID]],'[1]Registre_Maintenance_combine '!A:F,6,FALSE),"Non trouvé")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5EA9-995D-4484-B9A5-B2F2824ED2CC}">
  <sheetPr>
    <tabColor rgb="FF0070C0"/>
  </sheetPr>
  <dimension ref="A1:L747"/>
  <sheetViews>
    <sheetView tabSelected="1" workbookViewId="0">
      <selection activeCell="D4" sqref="D4"/>
    </sheetView>
  </sheetViews>
  <sheetFormatPr baseColWidth="10" defaultRowHeight="13.3" x14ac:dyDescent="0.25"/>
  <cols>
    <col min="1" max="1" width="11.3828125" customWidth="1"/>
    <col min="2" max="2" width="11.3828125" bestFit="1" customWidth="1"/>
    <col min="4" max="4" width="17.07421875" bestFit="1" customWidth="1"/>
    <col min="5" max="5" width="18.3828125" bestFit="1" customWidth="1"/>
    <col min="6" max="6" width="17.15234375" bestFit="1" customWidth="1"/>
    <col min="7" max="8" width="17.15234375" customWidth="1"/>
    <col min="9" max="9" width="28.3828125" bestFit="1" customWidth="1"/>
    <col min="10" max="10" width="20.15234375" style="7" bestFit="1" customWidth="1"/>
    <col min="11" max="11" width="24.23046875" style="5" bestFit="1" customWidth="1"/>
    <col min="12" max="12" width="20.15234375" style="9" customWidth="1"/>
    <col min="13" max="13" width="24.23046875" bestFit="1" customWidth="1"/>
  </cols>
  <sheetData>
    <row r="1" spans="1:12" ht="15.9" x14ac:dyDescent="0.45">
      <c r="A1" s="1" t="s">
        <v>1530</v>
      </c>
      <c r="B1" s="1" t="s">
        <v>734</v>
      </c>
      <c r="C1" s="1" t="s">
        <v>735</v>
      </c>
      <c r="D1" s="1" t="s">
        <v>736</v>
      </c>
      <c r="E1" s="1" t="s">
        <v>737</v>
      </c>
      <c r="F1" s="1" t="s">
        <v>1519</v>
      </c>
      <c r="G1" s="1" t="s">
        <v>738</v>
      </c>
      <c r="H1" s="6" t="s">
        <v>739</v>
      </c>
      <c r="I1" s="4" t="s">
        <v>1518</v>
      </c>
      <c r="J1" s="8" t="s">
        <v>1520</v>
      </c>
      <c r="K1" s="1" t="s">
        <v>740</v>
      </c>
      <c r="L1"/>
    </row>
    <row r="2" spans="1:12" x14ac:dyDescent="0.25">
      <c r="A2">
        <v>1</v>
      </c>
      <c r="B2" t="s">
        <v>741</v>
      </c>
      <c r="C2" t="s">
        <v>742</v>
      </c>
      <c r="D2">
        <v>110</v>
      </c>
      <c r="E2" t="s">
        <v>743</v>
      </c>
      <c r="F2" t="str">
        <f>IF(Client_churn3[[#This Row],[Type_Forfait]]= "Pro Monde", "B2B", "B2C")</f>
        <v>B2C</v>
      </c>
      <c r="G2">
        <v>112</v>
      </c>
      <c r="H2" s="7">
        <v>98.95</v>
      </c>
      <c r="I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" s="9">
        <f>Client_churn3[[#This Row],[Facture_Mensuelle]]*Client_churn3[[#This Row],[Remise Client]]</f>
        <v>0</v>
      </c>
      <c r="K2">
        <v>5</v>
      </c>
      <c r="L2"/>
    </row>
    <row r="3" spans="1:12" x14ac:dyDescent="0.25">
      <c r="A3">
        <v>2</v>
      </c>
      <c r="B3" t="s">
        <v>744</v>
      </c>
      <c r="C3" t="s">
        <v>745</v>
      </c>
      <c r="D3">
        <v>105</v>
      </c>
      <c r="E3" t="s">
        <v>746</v>
      </c>
      <c r="F3" t="str">
        <f>IF(Client_churn3[[#This Row],[Type_Forfait]]= "Pro Monde", "B2B", "B2C")</f>
        <v>B2B</v>
      </c>
      <c r="G3">
        <v>297</v>
      </c>
      <c r="H3" s="7">
        <v>84.66</v>
      </c>
      <c r="I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" s="9">
        <f>Client_churn3[[#This Row],[Facture_Mensuelle]]*Client_churn3[[#This Row],[Remise Client]]</f>
        <v>8.4659999999999993</v>
      </c>
      <c r="K3">
        <v>2</v>
      </c>
      <c r="L3"/>
    </row>
    <row r="4" spans="1:12" x14ac:dyDescent="0.25">
      <c r="A4">
        <f>A3+1</f>
        <v>3</v>
      </c>
      <c r="B4" t="s">
        <v>747</v>
      </c>
      <c r="C4" t="s">
        <v>748</v>
      </c>
      <c r="D4">
        <v>49</v>
      </c>
      <c r="E4" t="s">
        <v>749</v>
      </c>
      <c r="F4" t="str">
        <f>IF(Client_churn3[[#This Row],[Type_Forfait]]= "Pro Monde", "B2B", "B2C")</f>
        <v>B2C</v>
      </c>
      <c r="G4">
        <v>86</v>
      </c>
      <c r="H4" s="7">
        <v>65.400000000000006</v>
      </c>
      <c r="I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" s="9">
        <f>Client_churn3[[#This Row],[Facture_Mensuelle]]*Client_churn3[[#This Row],[Remise Client]]</f>
        <v>0</v>
      </c>
      <c r="K4">
        <v>2</v>
      </c>
      <c r="L4"/>
    </row>
    <row r="5" spans="1:12" x14ac:dyDescent="0.25">
      <c r="A5">
        <f t="shared" ref="A5:A68" si="0">A4+1</f>
        <v>4</v>
      </c>
      <c r="B5" t="s">
        <v>750</v>
      </c>
      <c r="C5" t="s">
        <v>751</v>
      </c>
      <c r="D5">
        <v>105</v>
      </c>
      <c r="E5" t="s">
        <v>749</v>
      </c>
      <c r="F5" t="str">
        <f>IF(Client_churn3[[#This Row],[Type_Forfait]]= "Pro Monde", "B2B", "B2C")</f>
        <v>B2C</v>
      </c>
      <c r="G5">
        <v>172</v>
      </c>
      <c r="H5" s="7">
        <v>15.88</v>
      </c>
      <c r="I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" s="9">
        <f>Client_churn3[[#This Row],[Facture_Mensuelle]]*Client_churn3[[#This Row],[Remise Client]]</f>
        <v>0</v>
      </c>
      <c r="K5">
        <v>5</v>
      </c>
      <c r="L5"/>
    </row>
    <row r="6" spans="1:12" x14ac:dyDescent="0.25">
      <c r="A6">
        <f t="shared" si="0"/>
        <v>5</v>
      </c>
      <c r="B6" t="s">
        <v>752</v>
      </c>
      <c r="C6" t="s">
        <v>742</v>
      </c>
      <c r="D6">
        <v>29</v>
      </c>
      <c r="E6" t="s">
        <v>749</v>
      </c>
      <c r="F6" t="str">
        <f>IF(Client_churn3[[#This Row],[Type_Forfait]]= "Pro Monde", "B2B", "B2C")</f>
        <v>B2C</v>
      </c>
      <c r="G6">
        <v>124</v>
      </c>
      <c r="H6" s="7">
        <v>43.83</v>
      </c>
      <c r="I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" s="9">
        <f>Client_churn3[[#This Row],[Facture_Mensuelle]]*Client_churn3[[#This Row],[Remise Client]]</f>
        <v>0</v>
      </c>
      <c r="K6">
        <v>5</v>
      </c>
      <c r="L6"/>
    </row>
    <row r="7" spans="1:12" x14ac:dyDescent="0.25">
      <c r="A7">
        <f t="shared" si="0"/>
        <v>6</v>
      </c>
      <c r="B7" t="s">
        <v>753</v>
      </c>
      <c r="C7" t="s">
        <v>754</v>
      </c>
      <c r="D7">
        <v>77</v>
      </c>
      <c r="E7" t="s">
        <v>755</v>
      </c>
      <c r="F7" t="str">
        <f>IF(Client_churn3[[#This Row],[Type_Forfait]]= "Pro Monde", "B2B", "B2C")</f>
        <v>B2C</v>
      </c>
      <c r="G7">
        <v>488</v>
      </c>
      <c r="H7" s="7">
        <v>21</v>
      </c>
      <c r="I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" s="9">
        <f>Client_churn3[[#This Row],[Facture_Mensuelle]]*Client_churn3[[#This Row],[Remise Client]]</f>
        <v>9.4500000000000011</v>
      </c>
      <c r="K7">
        <v>0</v>
      </c>
      <c r="L7"/>
    </row>
    <row r="8" spans="1:12" x14ac:dyDescent="0.25">
      <c r="A8">
        <f t="shared" si="0"/>
        <v>7</v>
      </c>
      <c r="B8" t="s">
        <v>756</v>
      </c>
      <c r="C8" t="s">
        <v>745</v>
      </c>
      <c r="D8">
        <v>18</v>
      </c>
      <c r="E8" t="s">
        <v>746</v>
      </c>
      <c r="F8" t="str">
        <f>IF(Client_churn3[[#This Row],[Type_Forfait]]= "Pro Monde", "B2B", "B2C")</f>
        <v>B2B</v>
      </c>
      <c r="G8">
        <v>216</v>
      </c>
      <c r="H8" s="7">
        <v>33.74</v>
      </c>
      <c r="I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8" s="9">
        <f>Client_churn3[[#This Row],[Facture_Mensuelle]]*Client_churn3[[#This Row],[Remise Client]]</f>
        <v>3.3740000000000006</v>
      </c>
      <c r="K8">
        <v>5</v>
      </c>
      <c r="L8"/>
    </row>
    <row r="9" spans="1:12" x14ac:dyDescent="0.25">
      <c r="A9">
        <f t="shared" si="0"/>
        <v>8</v>
      </c>
      <c r="B9" t="s">
        <v>757</v>
      </c>
      <c r="C9" t="s">
        <v>758</v>
      </c>
      <c r="D9">
        <v>119</v>
      </c>
      <c r="E9" t="s">
        <v>746</v>
      </c>
      <c r="F9" t="str">
        <f>IF(Client_churn3[[#This Row],[Type_Forfait]]= "Pro Monde", "B2B", "B2C")</f>
        <v>B2B</v>
      </c>
      <c r="G9">
        <v>344</v>
      </c>
      <c r="H9" s="7">
        <v>10.28</v>
      </c>
      <c r="I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9" s="9">
        <f>Client_churn3[[#This Row],[Facture_Mensuelle]]*Client_churn3[[#This Row],[Remise Client]]</f>
        <v>1.028</v>
      </c>
      <c r="K9">
        <v>0</v>
      </c>
      <c r="L9"/>
    </row>
    <row r="10" spans="1:12" x14ac:dyDescent="0.25">
      <c r="A10">
        <f t="shared" si="0"/>
        <v>9</v>
      </c>
      <c r="B10" t="s">
        <v>759</v>
      </c>
      <c r="C10" t="s">
        <v>760</v>
      </c>
      <c r="D10">
        <v>2</v>
      </c>
      <c r="E10" t="s">
        <v>755</v>
      </c>
      <c r="F10" t="str">
        <f>IF(Client_churn3[[#This Row],[Type_Forfait]]= "Pro Monde", "B2B", "B2C")</f>
        <v>B2C</v>
      </c>
      <c r="G10">
        <v>201</v>
      </c>
      <c r="H10" s="7">
        <v>71.900000000000006</v>
      </c>
      <c r="I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0" s="9">
        <f>Client_churn3[[#This Row],[Facture_Mensuelle]]*Client_churn3[[#This Row],[Remise Client]]</f>
        <v>0</v>
      </c>
      <c r="K10">
        <v>2</v>
      </c>
      <c r="L10"/>
    </row>
    <row r="11" spans="1:12" x14ac:dyDescent="0.25">
      <c r="A11">
        <f t="shared" si="0"/>
        <v>10</v>
      </c>
      <c r="B11" t="s">
        <v>761</v>
      </c>
      <c r="C11" t="s">
        <v>751</v>
      </c>
      <c r="D11">
        <v>25</v>
      </c>
      <c r="E11" t="s">
        <v>743</v>
      </c>
      <c r="F11" t="str">
        <f>IF(Client_churn3[[#This Row],[Type_Forfait]]= "Pro Monde", "B2B", "B2C")</f>
        <v>B2C</v>
      </c>
      <c r="G11">
        <v>95</v>
      </c>
      <c r="H11" s="7">
        <v>15.93</v>
      </c>
      <c r="I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" s="9">
        <f>Client_churn3[[#This Row],[Facture_Mensuelle]]*Client_churn3[[#This Row],[Remise Client]]</f>
        <v>0</v>
      </c>
      <c r="K11">
        <v>4</v>
      </c>
      <c r="L11"/>
    </row>
    <row r="12" spans="1:12" x14ac:dyDescent="0.25">
      <c r="A12">
        <f t="shared" si="0"/>
        <v>11</v>
      </c>
      <c r="B12" t="s">
        <v>762</v>
      </c>
      <c r="C12" t="s">
        <v>742</v>
      </c>
      <c r="D12">
        <v>35</v>
      </c>
      <c r="E12" t="s">
        <v>755</v>
      </c>
      <c r="F12" t="str">
        <f>IF(Client_churn3[[#This Row],[Type_Forfait]]= "Pro Monde", "B2B", "B2C")</f>
        <v>B2C</v>
      </c>
      <c r="G12">
        <v>332</v>
      </c>
      <c r="H12" s="7">
        <v>11.15</v>
      </c>
      <c r="I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2" s="9">
        <f>Client_churn3[[#This Row],[Facture_Mensuelle]]*Client_churn3[[#This Row],[Remise Client]]</f>
        <v>5.0175000000000001</v>
      </c>
      <c r="K12">
        <v>0</v>
      </c>
      <c r="L12"/>
    </row>
    <row r="13" spans="1:12" x14ac:dyDescent="0.25">
      <c r="A13">
        <f t="shared" si="0"/>
        <v>12</v>
      </c>
      <c r="B13" t="s">
        <v>763</v>
      </c>
      <c r="C13" t="s">
        <v>764</v>
      </c>
      <c r="D13">
        <v>119</v>
      </c>
      <c r="E13" t="s">
        <v>746</v>
      </c>
      <c r="F13" t="str">
        <f>IF(Client_churn3[[#This Row],[Type_Forfait]]= "Pro Monde", "B2B", "B2C")</f>
        <v>B2B</v>
      </c>
      <c r="G13">
        <v>31</v>
      </c>
      <c r="H13" s="7">
        <v>21.27</v>
      </c>
      <c r="I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3" s="9">
        <f>Client_churn3[[#This Row],[Facture_Mensuelle]]*Client_churn3[[#This Row],[Remise Client]]</f>
        <v>2.1270000000000002</v>
      </c>
      <c r="K13">
        <v>5</v>
      </c>
      <c r="L13"/>
    </row>
    <row r="14" spans="1:12" x14ac:dyDescent="0.25">
      <c r="A14">
        <f t="shared" si="0"/>
        <v>13</v>
      </c>
      <c r="B14" t="s">
        <v>765</v>
      </c>
      <c r="C14" t="s">
        <v>766</v>
      </c>
      <c r="D14">
        <v>103</v>
      </c>
      <c r="E14" t="s">
        <v>746</v>
      </c>
      <c r="F14" t="str">
        <f>IF(Client_churn3[[#This Row],[Type_Forfait]]= "Pro Monde", "B2B", "B2C")</f>
        <v>B2B</v>
      </c>
      <c r="G14">
        <v>105</v>
      </c>
      <c r="H14" s="7">
        <v>61.52</v>
      </c>
      <c r="I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4" s="9">
        <f>Client_churn3[[#This Row],[Facture_Mensuelle]]*Client_churn3[[#This Row],[Remise Client]]</f>
        <v>6.152000000000001</v>
      </c>
      <c r="K14">
        <v>3</v>
      </c>
      <c r="L14"/>
    </row>
    <row r="15" spans="1:12" x14ac:dyDescent="0.25">
      <c r="A15">
        <f t="shared" si="0"/>
        <v>14</v>
      </c>
      <c r="B15" t="s">
        <v>767</v>
      </c>
      <c r="C15" t="s">
        <v>768</v>
      </c>
      <c r="D15">
        <v>118</v>
      </c>
      <c r="E15" t="s">
        <v>746</v>
      </c>
      <c r="F15" t="str">
        <f>IF(Client_churn3[[#This Row],[Type_Forfait]]= "Pro Monde", "B2B", "B2C")</f>
        <v>B2B</v>
      </c>
      <c r="G15">
        <v>132</v>
      </c>
      <c r="H15" s="7">
        <v>40.880000000000003</v>
      </c>
      <c r="I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5" s="9">
        <f>Client_churn3[[#This Row],[Facture_Mensuelle]]*Client_churn3[[#This Row],[Remise Client]]</f>
        <v>4.0880000000000001</v>
      </c>
      <c r="K15">
        <v>4</v>
      </c>
      <c r="L15"/>
    </row>
    <row r="16" spans="1:12" x14ac:dyDescent="0.25">
      <c r="A16">
        <f t="shared" si="0"/>
        <v>15</v>
      </c>
      <c r="B16" t="s">
        <v>769</v>
      </c>
      <c r="C16" t="s">
        <v>770</v>
      </c>
      <c r="D16">
        <v>53</v>
      </c>
      <c r="E16" t="s">
        <v>749</v>
      </c>
      <c r="F16" t="str">
        <f>IF(Client_churn3[[#This Row],[Type_Forfait]]= "Pro Monde", "B2B", "B2C")</f>
        <v>B2C</v>
      </c>
      <c r="G16">
        <v>345</v>
      </c>
      <c r="H16" s="7">
        <v>83.73</v>
      </c>
      <c r="I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" s="9">
        <f>Client_churn3[[#This Row],[Facture_Mensuelle]]*Client_churn3[[#This Row],[Remise Client]]</f>
        <v>37.6785</v>
      </c>
      <c r="K16">
        <v>0</v>
      </c>
      <c r="L16"/>
    </row>
    <row r="17" spans="1:12" x14ac:dyDescent="0.25">
      <c r="A17">
        <f t="shared" si="0"/>
        <v>16</v>
      </c>
      <c r="B17" t="s">
        <v>771</v>
      </c>
      <c r="C17" t="s">
        <v>742</v>
      </c>
      <c r="D17">
        <v>33</v>
      </c>
      <c r="E17" t="s">
        <v>743</v>
      </c>
      <c r="F17" t="str">
        <f>IF(Client_churn3[[#This Row],[Type_Forfait]]= "Pro Monde", "B2B", "B2C")</f>
        <v>B2C</v>
      </c>
      <c r="G17">
        <v>54</v>
      </c>
      <c r="H17" s="7">
        <v>71.319999999999993</v>
      </c>
      <c r="I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7" s="9">
        <f>Client_churn3[[#This Row],[Facture_Mensuelle]]*Client_churn3[[#This Row],[Remise Client]]</f>
        <v>0</v>
      </c>
      <c r="K17">
        <v>4</v>
      </c>
      <c r="L17"/>
    </row>
    <row r="18" spans="1:12" x14ac:dyDescent="0.25">
      <c r="A18">
        <f t="shared" si="0"/>
        <v>17</v>
      </c>
      <c r="B18" t="s">
        <v>772</v>
      </c>
      <c r="C18" t="s">
        <v>766</v>
      </c>
      <c r="D18">
        <v>16</v>
      </c>
      <c r="E18" t="s">
        <v>743</v>
      </c>
      <c r="F18" t="str">
        <f>IF(Client_churn3[[#This Row],[Type_Forfait]]= "Pro Monde", "B2B", "B2C")</f>
        <v>B2C</v>
      </c>
      <c r="G18">
        <v>461</v>
      </c>
      <c r="H18" s="7">
        <v>38.369999999999997</v>
      </c>
      <c r="I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8" s="9">
        <f>Client_churn3[[#This Row],[Facture_Mensuelle]]*Client_churn3[[#This Row],[Remise Client]]</f>
        <v>17.266500000000001</v>
      </c>
      <c r="K18">
        <v>4</v>
      </c>
      <c r="L18"/>
    </row>
    <row r="19" spans="1:12" x14ac:dyDescent="0.25">
      <c r="A19">
        <f t="shared" si="0"/>
        <v>18</v>
      </c>
      <c r="B19" t="s">
        <v>773</v>
      </c>
      <c r="C19" t="s">
        <v>774</v>
      </c>
      <c r="D19">
        <v>34</v>
      </c>
      <c r="E19" t="s">
        <v>743</v>
      </c>
      <c r="F19" t="str">
        <f>IF(Client_churn3[[#This Row],[Type_Forfait]]= "Pro Monde", "B2B", "B2C")</f>
        <v>B2C</v>
      </c>
      <c r="G19">
        <v>40</v>
      </c>
      <c r="H19" s="7">
        <v>65.709999999999994</v>
      </c>
      <c r="I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9" s="9">
        <f>Client_churn3[[#This Row],[Facture_Mensuelle]]*Client_churn3[[#This Row],[Remise Client]]</f>
        <v>0</v>
      </c>
      <c r="K19">
        <v>5</v>
      </c>
      <c r="L19"/>
    </row>
    <row r="20" spans="1:12" x14ac:dyDescent="0.25">
      <c r="A20">
        <f t="shared" si="0"/>
        <v>19</v>
      </c>
      <c r="B20" t="s">
        <v>775</v>
      </c>
      <c r="C20" t="s">
        <v>776</v>
      </c>
      <c r="D20">
        <v>6</v>
      </c>
      <c r="E20" t="s">
        <v>746</v>
      </c>
      <c r="F20" t="str">
        <f>IF(Client_churn3[[#This Row],[Type_Forfait]]= "Pro Monde", "B2B", "B2C")</f>
        <v>B2B</v>
      </c>
      <c r="G20">
        <v>206</v>
      </c>
      <c r="H20" s="7">
        <v>10</v>
      </c>
      <c r="I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0" s="9">
        <f>Client_churn3[[#This Row],[Facture_Mensuelle]]*Client_churn3[[#This Row],[Remise Client]]</f>
        <v>1</v>
      </c>
      <c r="K20">
        <v>5</v>
      </c>
      <c r="L20"/>
    </row>
    <row r="21" spans="1:12" x14ac:dyDescent="0.25">
      <c r="A21">
        <f t="shared" si="0"/>
        <v>20</v>
      </c>
      <c r="B21" t="s">
        <v>777</v>
      </c>
      <c r="C21" t="s">
        <v>778</v>
      </c>
      <c r="D21">
        <v>4</v>
      </c>
      <c r="E21" t="s">
        <v>743</v>
      </c>
      <c r="F21" t="str">
        <f>IF(Client_churn3[[#This Row],[Type_Forfait]]= "Pro Monde", "B2B", "B2C")</f>
        <v>B2C</v>
      </c>
      <c r="G21">
        <v>182</v>
      </c>
      <c r="H21" s="7">
        <v>89.56</v>
      </c>
      <c r="I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1" s="9">
        <f>Client_churn3[[#This Row],[Facture_Mensuelle]]*Client_churn3[[#This Row],[Remise Client]]</f>
        <v>0</v>
      </c>
      <c r="K21">
        <v>4</v>
      </c>
      <c r="L21"/>
    </row>
    <row r="22" spans="1:12" x14ac:dyDescent="0.25">
      <c r="A22">
        <f t="shared" si="0"/>
        <v>21</v>
      </c>
      <c r="B22" t="s">
        <v>779</v>
      </c>
      <c r="C22" t="s">
        <v>780</v>
      </c>
      <c r="D22">
        <v>69</v>
      </c>
      <c r="E22" t="s">
        <v>746</v>
      </c>
      <c r="F22" t="str">
        <f>IF(Client_churn3[[#This Row],[Type_Forfait]]= "Pro Monde", "B2B", "B2C")</f>
        <v>B2B</v>
      </c>
      <c r="G22">
        <v>76</v>
      </c>
      <c r="H22" s="7">
        <v>91.8</v>
      </c>
      <c r="I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2" s="9">
        <f>Client_churn3[[#This Row],[Facture_Mensuelle]]*Client_churn3[[#This Row],[Remise Client]]</f>
        <v>9.18</v>
      </c>
      <c r="K22">
        <v>5</v>
      </c>
      <c r="L22"/>
    </row>
    <row r="23" spans="1:12" x14ac:dyDescent="0.25">
      <c r="A23">
        <f t="shared" si="0"/>
        <v>22</v>
      </c>
      <c r="B23" t="s">
        <v>781</v>
      </c>
      <c r="C23" t="s">
        <v>782</v>
      </c>
      <c r="D23" t="s">
        <v>783</v>
      </c>
      <c r="E23" t="s">
        <v>746</v>
      </c>
      <c r="F23" t="str">
        <f>IF(Client_churn3[[#This Row],[Type_Forfait]]= "Pro Monde", "B2B", "B2C")</f>
        <v>B2B</v>
      </c>
      <c r="G23">
        <v>160</v>
      </c>
      <c r="H23" s="7">
        <v>90.13</v>
      </c>
      <c r="I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3" s="9">
        <f>Client_churn3[[#This Row],[Facture_Mensuelle]]*Client_churn3[[#This Row],[Remise Client]]</f>
        <v>9.0129999999999999</v>
      </c>
      <c r="K23">
        <v>2</v>
      </c>
      <c r="L23"/>
    </row>
    <row r="24" spans="1:12" x14ac:dyDescent="0.25">
      <c r="A24">
        <f t="shared" si="0"/>
        <v>23</v>
      </c>
      <c r="B24" t="s">
        <v>784</v>
      </c>
      <c r="C24" t="s">
        <v>785</v>
      </c>
      <c r="D24">
        <v>52</v>
      </c>
      <c r="E24" t="s">
        <v>749</v>
      </c>
      <c r="F24" t="str">
        <f>IF(Client_churn3[[#This Row],[Type_Forfait]]= "Pro Monde", "B2B", "B2C")</f>
        <v>B2C</v>
      </c>
      <c r="G24">
        <v>119</v>
      </c>
      <c r="H24" s="7">
        <v>64.709999999999994</v>
      </c>
      <c r="I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4" s="9">
        <f>Client_churn3[[#This Row],[Facture_Mensuelle]]*Client_churn3[[#This Row],[Remise Client]]</f>
        <v>0</v>
      </c>
      <c r="K24">
        <v>4</v>
      </c>
      <c r="L24"/>
    </row>
    <row r="25" spans="1:12" x14ac:dyDescent="0.25">
      <c r="A25">
        <f t="shared" si="0"/>
        <v>24</v>
      </c>
      <c r="B25" t="s">
        <v>786</v>
      </c>
      <c r="C25" t="s">
        <v>778</v>
      </c>
      <c r="D25">
        <v>67</v>
      </c>
      <c r="E25" t="s">
        <v>749</v>
      </c>
      <c r="F25" t="str">
        <f>IF(Client_churn3[[#This Row],[Type_Forfait]]= "Pro Monde", "B2B", "B2C")</f>
        <v>B2C</v>
      </c>
      <c r="G25">
        <v>264</v>
      </c>
      <c r="H25" s="7">
        <v>97.89</v>
      </c>
      <c r="I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5" s="9">
        <f>Client_churn3[[#This Row],[Facture_Mensuelle]]*Client_churn3[[#This Row],[Remise Client]]</f>
        <v>44.0505</v>
      </c>
      <c r="K25">
        <v>1</v>
      </c>
      <c r="L25"/>
    </row>
    <row r="26" spans="1:12" x14ac:dyDescent="0.25">
      <c r="A26">
        <f t="shared" si="0"/>
        <v>25</v>
      </c>
      <c r="B26" t="s">
        <v>787</v>
      </c>
      <c r="C26" t="s">
        <v>751</v>
      </c>
      <c r="D26">
        <v>78</v>
      </c>
      <c r="E26" t="s">
        <v>755</v>
      </c>
      <c r="F26" t="str">
        <f>IF(Client_churn3[[#This Row],[Type_Forfait]]= "Pro Monde", "B2B", "B2C")</f>
        <v>B2C</v>
      </c>
      <c r="G26">
        <v>60</v>
      </c>
      <c r="H26" s="7">
        <v>33.159999999999997</v>
      </c>
      <c r="I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" s="9">
        <f>Client_churn3[[#This Row],[Facture_Mensuelle]]*Client_churn3[[#This Row],[Remise Client]]</f>
        <v>0</v>
      </c>
      <c r="K26">
        <v>5</v>
      </c>
      <c r="L26"/>
    </row>
    <row r="27" spans="1:12" x14ac:dyDescent="0.25">
      <c r="A27">
        <f t="shared" si="0"/>
        <v>26</v>
      </c>
      <c r="B27" t="s">
        <v>788</v>
      </c>
      <c r="C27" t="s">
        <v>780</v>
      </c>
      <c r="D27">
        <v>46</v>
      </c>
      <c r="E27" t="s">
        <v>755</v>
      </c>
      <c r="F27" t="str">
        <f>IF(Client_churn3[[#This Row],[Type_Forfait]]= "Pro Monde", "B2B", "B2C")</f>
        <v>B2C</v>
      </c>
      <c r="G27">
        <v>283</v>
      </c>
      <c r="H27" s="7">
        <v>56.05</v>
      </c>
      <c r="I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" s="9">
        <f>Client_churn3[[#This Row],[Facture_Mensuelle]]*Client_churn3[[#This Row],[Remise Client]]</f>
        <v>25.2225</v>
      </c>
      <c r="K27">
        <v>1</v>
      </c>
      <c r="L27"/>
    </row>
    <row r="28" spans="1:12" x14ac:dyDescent="0.25">
      <c r="A28">
        <f t="shared" si="0"/>
        <v>27</v>
      </c>
      <c r="B28" t="s">
        <v>789</v>
      </c>
      <c r="C28" t="s">
        <v>776</v>
      </c>
      <c r="D28">
        <v>17</v>
      </c>
      <c r="E28" t="s">
        <v>755</v>
      </c>
      <c r="F28" t="str">
        <f>IF(Client_churn3[[#This Row],[Type_Forfait]]= "Pro Monde", "B2B", "B2C")</f>
        <v>B2C</v>
      </c>
      <c r="G28">
        <v>499</v>
      </c>
      <c r="H28" s="7">
        <v>27.81</v>
      </c>
      <c r="I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8" s="9">
        <f>Client_churn3[[#This Row],[Facture_Mensuelle]]*Client_churn3[[#This Row],[Remise Client]]</f>
        <v>12.5145</v>
      </c>
      <c r="K28">
        <v>2</v>
      </c>
      <c r="L28"/>
    </row>
    <row r="29" spans="1:12" x14ac:dyDescent="0.25">
      <c r="A29">
        <f t="shared" si="0"/>
        <v>28</v>
      </c>
      <c r="B29" t="s">
        <v>790</v>
      </c>
      <c r="C29" t="s">
        <v>751</v>
      </c>
      <c r="D29">
        <v>15</v>
      </c>
      <c r="E29" t="s">
        <v>755</v>
      </c>
      <c r="F29" t="str">
        <f>IF(Client_churn3[[#This Row],[Type_Forfait]]= "Pro Monde", "B2B", "B2C")</f>
        <v>B2C</v>
      </c>
      <c r="G29">
        <v>75</v>
      </c>
      <c r="H29" s="7">
        <v>45.59</v>
      </c>
      <c r="I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9" s="9">
        <f>Client_churn3[[#This Row],[Facture_Mensuelle]]*Client_churn3[[#This Row],[Remise Client]]</f>
        <v>0</v>
      </c>
      <c r="K29">
        <v>0</v>
      </c>
      <c r="L29"/>
    </row>
    <row r="30" spans="1:12" x14ac:dyDescent="0.25">
      <c r="A30">
        <f t="shared" si="0"/>
        <v>29</v>
      </c>
      <c r="B30" t="s">
        <v>791</v>
      </c>
      <c r="C30" t="s">
        <v>748</v>
      </c>
      <c r="D30">
        <v>106</v>
      </c>
      <c r="E30" t="s">
        <v>746</v>
      </c>
      <c r="F30" t="str">
        <f>IF(Client_churn3[[#This Row],[Type_Forfait]]= "Pro Monde", "B2B", "B2C")</f>
        <v>B2B</v>
      </c>
      <c r="G30">
        <v>429</v>
      </c>
      <c r="H30" s="7">
        <v>23.83</v>
      </c>
      <c r="I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0" s="9">
        <f>Client_churn3[[#This Row],[Facture_Mensuelle]]*Client_churn3[[#This Row],[Remise Client]]</f>
        <v>2.383</v>
      </c>
      <c r="K30">
        <v>1</v>
      </c>
      <c r="L30"/>
    </row>
    <row r="31" spans="1:12" x14ac:dyDescent="0.25">
      <c r="A31">
        <f t="shared" si="0"/>
        <v>30</v>
      </c>
      <c r="B31" t="s">
        <v>792</v>
      </c>
      <c r="C31" t="s">
        <v>778</v>
      </c>
      <c r="D31">
        <v>14</v>
      </c>
      <c r="E31" t="s">
        <v>755</v>
      </c>
      <c r="F31" t="str">
        <f>IF(Client_churn3[[#This Row],[Type_Forfait]]= "Pro Monde", "B2B", "B2C")</f>
        <v>B2C</v>
      </c>
      <c r="G31">
        <v>75</v>
      </c>
      <c r="H31" s="7">
        <v>55.67</v>
      </c>
      <c r="I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1" s="9">
        <f>Client_churn3[[#This Row],[Facture_Mensuelle]]*Client_churn3[[#This Row],[Remise Client]]</f>
        <v>0</v>
      </c>
      <c r="K31">
        <v>3</v>
      </c>
      <c r="L31"/>
    </row>
    <row r="32" spans="1:12" x14ac:dyDescent="0.25">
      <c r="A32">
        <f t="shared" si="0"/>
        <v>31</v>
      </c>
      <c r="B32" t="s">
        <v>793</v>
      </c>
      <c r="C32" t="s">
        <v>794</v>
      </c>
      <c r="D32">
        <v>15</v>
      </c>
      <c r="E32" t="s">
        <v>743</v>
      </c>
      <c r="F32" t="str">
        <f>IF(Client_churn3[[#This Row],[Type_Forfait]]= "Pro Monde", "B2B", "B2C")</f>
        <v>B2C</v>
      </c>
      <c r="G32">
        <v>400</v>
      </c>
      <c r="H32" s="7">
        <v>78.09</v>
      </c>
      <c r="I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2" s="9">
        <f>Client_churn3[[#This Row],[Facture_Mensuelle]]*Client_churn3[[#This Row],[Remise Client]]</f>
        <v>35.140500000000003</v>
      </c>
      <c r="K32">
        <v>0</v>
      </c>
      <c r="L32"/>
    </row>
    <row r="33" spans="1:12" x14ac:dyDescent="0.25">
      <c r="A33">
        <f t="shared" si="0"/>
        <v>32</v>
      </c>
      <c r="B33" t="s">
        <v>795</v>
      </c>
      <c r="C33" t="s">
        <v>796</v>
      </c>
      <c r="D33">
        <v>50</v>
      </c>
      <c r="E33" t="s">
        <v>743</v>
      </c>
      <c r="F33" t="str">
        <f>IF(Client_churn3[[#This Row],[Type_Forfait]]= "Pro Monde", "B2B", "B2C")</f>
        <v>B2C</v>
      </c>
      <c r="G33">
        <v>435</v>
      </c>
      <c r="H33" s="7">
        <v>27.86</v>
      </c>
      <c r="I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3" s="9">
        <f>Client_churn3[[#This Row],[Facture_Mensuelle]]*Client_churn3[[#This Row],[Remise Client]]</f>
        <v>12.537000000000001</v>
      </c>
      <c r="K33">
        <v>3</v>
      </c>
      <c r="L33"/>
    </row>
    <row r="34" spans="1:12" x14ac:dyDescent="0.25">
      <c r="A34">
        <f t="shared" si="0"/>
        <v>33</v>
      </c>
      <c r="B34" t="s">
        <v>797</v>
      </c>
      <c r="C34" t="s">
        <v>764</v>
      </c>
      <c r="D34">
        <v>12</v>
      </c>
      <c r="E34" t="s">
        <v>746</v>
      </c>
      <c r="F34" t="str">
        <f>IF(Client_churn3[[#This Row],[Type_Forfait]]= "Pro Monde", "B2B", "B2C")</f>
        <v>B2B</v>
      </c>
      <c r="G34">
        <v>42</v>
      </c>
      <c r="H34" s="7">
        <v>48.64</v>
      </c>
      <c r="I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" s="9">
        <f>Client_churn3[[#This Row],[Facture_Mensuelle]]*Client_churn3[[#This Row],[Remise Client]]</f>
        <v>4.8640000000000008</v>
      </c>
      <c r="K34">
        <v>0</v>
      </c>
      <c r="L34"/>
    </row>
    <row r="35" spans="1:12" x14ac:dyDescent="0.25">
      <c r="A35">
        <f t="shared" si="0"/>
        <v>34</v>
      </c>
      <c r="B35" t="s">
        <v>798</v>
      </c>
      <c r="C35" t="s">
        <v>799</v>
      </c>
      <c r="D35">
        <v>29</v>
      </c>
      <c r="E35" t="s">
        <v>746</v>
      </c>
      <c r="F35" t="str">
        <f>IF(Client_churn3[[#This Row],[Type_Forfait]]= "Pro Monde", "B2B", "B2C")</f>
        <v>B2B</v>
      </c>
      <c r="G35">
        <v>493</v>
      </c>
      <c r="H35" s="7">
        <v>42.02</v>
      </c>
      <c r="I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5" s="9">
        <f>Client_churn3[[#This Row],[Facture_Mensuelle]]*Client_churn3[[#This Row],[Remise Client]]</f>
        <v>4.2020000000000008</v>
      </c>
      <c r="K35">
        <v>1</v>
      </c>
      <c r="L35"/>
    </row>
    <row r="36" spans="1:12" x14ac:dyDescent="0.25">
      <c r="A36">
        <f t="shared" si="0"/>
        <v>35</v>
      </c>
      <c r="B36" t="s">
        <v>800</v>
      </c>
      <c r="C36" t="s">
        <v>754</v>
      </c>
      <c r="D36">
        <v>42</v>
      </c>
      <c r="E36" t="s">
        <v>746</v>
      </c>
      <c r="F36" t="str">
        <f>IF(Client_churn3[[#This Row],[Type_Forfait]]= "Pro Monde", "B2B", "B2C")</f>
        <v>B2B</v>
      </c>
      <c r="G36">
        <v>167</v>
      </c>
      <c r="H36" s="7">
        <v>45.85</v>
      </c>
      <c r="I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6" s="9">
        <f>Client_churn3[[#This Row],[Facture_Mensuelle]]*Client_churn3[[#This Row],[Remise Client]]</f>
        <v>4.585</v>
      </c>
      <c r="K36">
        <v>2</v>
      </c>
      <c r="L36"/>
    </row>
    <row r="37" spans="1:12" x14ac:dyDescent="0.25">
      <c r="A37">
        <f t="shared" si="0"/>
        <v>36</v>
      </c>
      <c r="B37" t="s">
        <v>801</v>
      </c>
      <c r="C37" t="s">
        <v>802</v>
      </c>
      <c r="D37">
        <v>74</v>
      </c>
      <c r="E37" t="s">
        <v>743</v>
      </c>
      <c r="F37" t="str">
        <f>IF(Client_churn3[[#This Row],[Type_Forfait]]= "Pro Monde", "B2B", "B2C")</f>
        <v>B2C</v>
      </c>
      <c r="G37">
        <v>388</v>
      </c>
      <c r="H37" s="7">
        <v>10.89</v>
      </c>
      <c r="I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" s="9">
        <f>Client_churn3[[#This Row],[Facture_Mensuelle]]*Client_churn3[[#This Row],[Remise Client]]</f>
        <v>4.9005000000000001</v>
      </c>
      <c r="K37">
        <v>4</v>
      </c>
      <c r="L37"/>
    </row>
    <row r="38" spans="1:12" x14ac:dyDescent="0.25">
      <c r="A38">
        <f t="shared" si="0"/>
        <v>37</v>
      </c>
      <c r="B38" t="s">
        <v>803</v>
      </c>
      <c r="C38" t="s">
        <v>776</v>
      </c>
      <c r="D38">
        <v>93</v>
      </c>
      <c r="E38" t="s">
        <v>755</v>
      </c>
      <c r="F38" t="str">
        <f>IF(Client_churn3[[#This Row],[Type_Forfait]]= "Pro Monde", "B2B", "B2C")</f>
        <v>B2C</v>
      </c>
      <c r="G38">
        <v>150</v>
      </c>
      <c r="H38" s="7">
        <v>93.25</v>
      </c>
      <c r="I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" s="9">
        <f>Client_churn3[[#This Row],[Facture_Mensuelle]]*Client_churn3[[#This Row],[Remise Client]]</f>
        <v>0</v>
      </c>
      <c r="K38">
        <v>3</v>
      </c>
      <c r="L38"/>
    </row>
    <row r="39" spans="1:12" x14ac:dyDescent="0.25">
      <c r="A39">
        <f t="shared" si="0"/>
        <v>38</v>
      </c>
      <c r="B39" t="s">
        <v>804</v>
      </c>
      <c r="C39" t="s">
        <v>760</v>
      </c>
      <c r="D39">
        <v>19</v>
      </c>
      <c r="E39" t="s">
        <v>743</v>
      </c>
      <c r="F39" t="str">
        <f>IF(Client_churn3[[#This Row],[Type_Forfait]]= "Pro Monde", "B2B", "B2C")</f>
        <v>B2C</v>
      </c>
      <c r="G39">
        <v>345</v>
      </c>
      <c r="H39" s="7">
        <v>54.37</v>
      </c>
      <c r="I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9" s="9">
        <f>Client_churn3[[#This Row],[Facture_Mensuelle]]*Client_churn3[[#This Row],[Remise Client]]</f>
        <v>24.4665</v>
      </c>
      <c r="K39">
        <v>2</v>
      </c>
      <c r="L39"/>
    </row>
    <row r="40" spans="1:12" x14ac:dyDescent="0.25">
      <c r="A40">
        <f t="shared" si="0"/>
        <v>39</v>
      </c>
      <c r="B40" t="s">
        <v>805</v>
      </c>
      <c r="C40" t="s">
        <v>806</v>
      </c>
      <c r="D40">
        <v>82</v>
      </c>
      <c r="E40" t="s">
        <v>755</v>
      </c>
      <c r="F40" t="str">
        <f>IF(Client_churn3[[#This Row],[Type_Forfait]]= "Pro Monde", "B2B", "B2C")</f>
        <v>B2C</v>
      </c>
      <c r="G40">
        <v>88</v>
      </c>
      <c r="H40" s="7">
        <v>86.64</v>
      </c>
      <c r="I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0" s="9">
        <f>Client_churn3[[#This Row],[Facture_Mensuelle]]*Client_churn3[[#This Row],[Remise Client]]</f>
        <v>0</v>
      </c>
      <c r="K40">
        <v>1</v>
      </c>
      <c r="L40"/>
    </row>
    <row r="41" spans="1:12" x14ac:dyDescent="0.25">
      <c r="A41">
        <f t="shared" si="0"/>
        <v>40</v>
      </c>
      <c r="B41" t="s">
        <v>807</v>
      </c>
      <c r="C41" t="s">
        <v>748</v>
      </c>
      <c r="D41">
        <v>42</v>
      </c>
      <c r="E41" t="s">
        <v>743</v>
      </c>
      <c r="F41" t="str">
        <f>IF(Client_churn3[[#This Row],[Type_Forfait]]= "Pro Monde", "B2B", "B2C")</f>
        <v>B2C</v>
      </c>
      <c r="G41">
        <v>436</v>
      </c>
      <c r="H41" s="7">
        <v>88.12</v>
      </c>
      <c r="I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" s="9">
        <f>Client_churn3[[#This Row],[Facture_Mensuelle]]*Client_churn3[[#This Row],[Remise Client]]</f>
        <v>39.654000000000003</v>
      </c>
      <c r="K41">
        <v>0</v>
      </c>
      <c r="L41"/>
    </row>
    <row r="42" spans="1:12" x14ac:dyDescent="0.25">
      <c r="A42">
        <f t="shared" si="0"/>
        <v>41</v>
      </c>
      <c r="B42" t="s">
        <v>808</v>
      </c>
      <c r="C42" t="s">
        <v>809</v>
      </c>
      <c r="D42">
        <v>98</v>
      </c>
      <c r="E42" t="s">
        <v>743</v>
      </c>
      <c r="F42" t="str">
        <f>IF(Client_churn3[[#This Row],[Type_Forfait]]= "Pro Monde", "B2B", "B2C")</f>
        <v>B2C</v>
      </c>
      <c r="G42">
        <v>52</v>
      </c>
      <c r="H42" s="7">
        <v>52.82</v>
      </c>
      <c r="I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2" s="9">
        <f>Client_churn3[[#This Row],[Facture_Mensuelle]]*Client_churn3[[#This Row],[Remise Client]]</f>
        <v>0</v>
      </c>
      <c r="K42">
        <v>2</v>
      </c>
      <c r="L42"/>
    </row>
    <row r="43" spans="1:12" x14ac:dyDescent="0.25">
      <c r="A43">
        <f t="shared" si="0"/>
        <v>42</v>
      </c>
      <c r="B43" t="s">
        <v>810</v>
      </c>
      <c r="C43" t="s">
        <v>758</v>
      </c>
      <c r="D43">
        <v>59</v>
      </c>
      <c r="E43" t="s">
        <v>749</v>
      </c>
      <c r="F43" t="str">
        <f>IF(Client_churn3[[#This Row],[Type_Forfait]]= "Pro Monde", "B2B", "B2C")</f>
        <v>B2C</v>
      </c>
      <c r="G43">
        <v>454</v>
      </c>
      <c r="H43" s="7">
        <v>10.47</v>
      </c>
      <c r="I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" s="9">
        <f>Client_churn3[[#This Row],[Facture_Mensuelle]]*Client_churn3[[#This Row],[Remise Client]]</f>
        <v>4.7115</v>
      </c>
      <c r="K43">
        <v>5</v>
      </c>
      <c r="L43"/>
    </row>
    <row r="44" spans="1:12" x14ac:dyDescent="0.25">
      <c r="A44">
        <f t="shared" si="0"/>
        <v>43</v>
      </c>
      <c r="B44" t="s">
        <v>811</v>
      </c>
      <c r="C44" t="s">
        <v>794</v>
      </c>
      <c r="D44">
        <v>25</v>
      </c>
      <c r="E44" t="s">
        <v>755</v>
      </c>
      <c r="F44" t="str">
        <f>IF(Client_churn3[[#This Row],[Type_Forfait]]= "Pro Monde", "B2B", "B2C")</f>
        <v>B2C</v>
      </c>
      <c r="G44">
        <v>64</v>
      </c>
      <c r="H44" s="7">
        <v>38.950000000000003</v>
      </c>
      <c r="I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4" s="9">
        <f>Client_churn3[[#This Row],[Facture_Mensuelle]]*Client_churn3[[#This Row],[Remise Client]]</f>
        <v>0</v>
      </c>
      <c r="K44">
        <v>5</v>
      </c>
      <c r="L44"/>
    </row>
    <row r="45" spans="1:12" x14ac:dyDescent="0.25">
      <c r="A45">
        <f t="shared" si="0"/>
        <v>44</v>
      </c>
      <c r="B45" t="s">
        <v>812</v>
      </c>
      <c r="C45" t="s">
        <v>778</v>
      </c>
      <c r="D45">
        <v>43</v>
      </c>
      <c r="E45" t="s">
        <v>755</v>
      </c>
      <c r="F45" t="str">
        <f>IF(Client_churn3[[#This Row],[Type_Forfait]]= "Pro Monde", "B2B", "B2C")</f>
        <v>B2C</v>
      </c>
      <c r="G45">
        <v>486</v>
      </c>
      <c r="H45" s="7">
        <v>76.42</v>
      </c>
      <c r="I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5" s="9">
        <f>Client_churn3[[#This Row],[Facture_Mensuelle]]*Client_churn3[[#This Row],[Remise Client]]</f>
        <v>34.389000000000003</v>
      </c>
      <c r="K45">
        <v>1</v>
      </c>
      <c r="L45"/>
    </row>
    <row r="46" spans="1:12" x14ac:dyDescent="0.25">
      <c r="A46">
        <f t="shared" si="0"/>
        <v>45</v>
      </c>
      <c r="B46" t="s">
        <v>813</v>
      </c>
      <c r="C46" t="s">
        <v>794</v>
      </c>
      <c r="D46">
        <v>108</v>
      </c>
      <c r="E46" t="s">
        <v>743</v>
      </c>
      <c r="F46" t="str">
        <f>IF(Client_churn3[[#This Row],[Type_Forfait]]= "Pro Monde", "B2B", "B2C")</f>
        <v>B2C</v>
      </c>
      <c r="G46">
        <v>467</v>
      </c>
      <c r="H46" s="7">
        <v>44.84</v>
      </c>
      <c r="I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6" s="9">
        <f>Client_churn3[[#This Row],[Facture_Mensuelle]]*Client_churn3[[#This Row],[Remise Client]]</f>
        <v>20.178000000000001</v>
      </c>
      <c r="K46">
        <v>4</v>
      </c>
      <c r="L46"/>
    </row>
    <row r="47" spans="1:12" x14ac:dyDescent="0.25">
      <c r="A47">
        <f t="shared" si="0"/>
        <v>46</v>
      </c>
      <c r="B47" t="s">
        <v>814</v>
      </c>
      <c r="C47" t="s">
        <v>770</v>
      </c>
      <c r="D47">
        <v>101</v>
      </c>
      <c r="E47" t="s">
        <v>746</v>
      </c>
      <c r="F47" t="str">
        <f>IF(Client_churn3[[#This Row],[Type_Forfait]]= "Pro Monde", "B2B", "B2C")</f>
        <v>B2B</v>
      </c>
      <c r="G47">
        <v>176</v>
      </c>
      <c r="H47" s="7">
        <v>86</v>
      </c>
      <c r="I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7" s="9">
        <f>Client_churn3[[#This Row],[Facture_Mensuelle]]*Client_churn3[[#This Row],[Remise Client]]</f>
        <v>8.6</v>
      </c>
      <c r="K47">
        <v>3</v>
      </c>
      <c r="L47"/>
    </row>
    <row r="48" spans="1:12" x14ac:dyDescent="0.25">
      <c r="A48">
        <f t="shared" si="0"/>
        <v>47</v>
      </c>
      <c r="B48" t="s">
        <v>815</v>
      </c>
      <c r="C48" t="s">
        <v>780</v>
      </c>
      <c r="D48">
        <v>120</v>
      </c>
      <c r="E48" t="s">
        <v>749</v>
      </c>
      <c r="F48" t="str">
        <f>IF(Client_churn3[[#This Row],[Type_Forfait]]= "Pro Monde", "B2B", "B2C")</f>
        <v>B2C</v>
      </c>
      <c r="G48">
        <v>224</v>
      </c>
      <c r="H48" s="7">
        <v>69.36</v>
      </c>
      <c r="I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" s="9">
        <f>Client_churn3[[#This Row],[Facture_Mensuelle]]*Client_churn3[[#This Row],[Remise Client]]</f>
        <v>0</v>
      </c>
      <c r="K48">
        <v>0</v>
      </c>
      <c r="L48"/>
    </row>
    <row r="49" spans="1:12" x14ac:dyDescent="0.25">
      <c r="A49">
        <f t="shared" si="0"/>
        <v>48</v>
      </c>
      <c r="B49" t="s">
        <v>816</v>
      </c>
      <c r="C49" t="s">
        <v>802</v>
      </c>
      <c r="D49">
        <v>23</v>
      </c>
      <c r="E49" t="s">
        <v>743</v>
      </c>
      <c r="F49" t="str">
        <f>IF(Client_churn3[[#This Row],[Type_Forfait]]= "Pro Monde", "B2B", "B2C")</f>
        <v>B2C</v>
      </c>
      <c r="G49">
        <v>325</v>
      </c>
      <c r="H49" s="7">
        <v>65.489999999999995</v>
      </c>
      <c r="I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9" s="9">
        <f>Client_churn3[[#This Row],[Facture_Mensuelle]]*Client_churn3[[#This Row],[Remise Client]]</f>
        <v>29.470499999999998</v>
      </c>
      <c r="K49">
        <v>1</v>
      </c>
      <c r="L49"/>
    </row>
    <row r="50" spans="1:12" x14ac:dyDescent="0.25">
      <c r="A50">
        <f t="shared" si="0"/>
        <v>49</v>
      </c>
      <c r="B50" t="s">
        <v>817</v>
      </c>
      <c r="C50" t="s">
        <v>770</v>
      </c>
      <c r="D50">
        <v>12</v>
      </c>
      <c r="E50" t="s">
        <v>746</v>
      </c>
      <c r="F50" t="str">
        <f>IF(Client_churn3[[#This Row],[Type_Forfait]]= "Pro Monde", "B2B", "B2C")</f>
        <v>B2B</v>
      </c>
      <c r="G50">
        <v>125</v>
      </c>
      <c r="H50" s="7">
        <v>36.93</v>
      </c>
      <c r="I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0" s="9">
        <f>Client_churn3[[#This Row],[Facture_Mensuelle]]*Client_churn3[[#This Row],[Remise Client]]</f>
        <v>3.6930000000000001</v>
      </c>
      <c r="K50">
        <v>0</v>
      </c>
      <c r="L50"/>
    </row>
    <row r="51" spans="1:12" x14ac:dyDescent="0.25">
      <c r="A51">
        <f t="shared" si="0"/>
        <v>50</v>
      </c>
      <c r="B51" t="s">
        <v>818</v>
      </c>
      <c r="C51" t="s">
        <v>764</v>
      </c>
      <c r="D51">
        <v>12</v>
      </c>
      <c r="E51" t="s">
        <v>749</v>
      </c>
      <c r="F51" t="str">
        <f>IF(Client_churn3[[#This Row],[Type_Forfait]]= "Pro Monde", "B2B", "B2C")</f>
        <v>B2C</v>
      </c>
      <c r="G51">
        <v>112</v>
      </c>
      <c r="H51" s="7">
        <v>82.81</v>
      </c>
      <c r="I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1" s="9">
        <f>Client_churn3[[#This Row],[Facture_Mensuelle]]*Client_churn3[[#This Row],[Remise Client]]</f>
        <v>0</v>
      </c>
      <c r="K51">
        <v>0</v>
      </c>
      <c r="L51"/>
    </row>
    <row r="52" spans="1:12" x14ac:dyDescent="0.25">
      <c r="A52">
        <f t="shared" si="0"/>
        <v>51</v>
      </c>
      <c r="B52" t="s">
        <v>819</v>
      </c>
      <c r="C52" t="s">
        <v>806</v>
      </c>
      <c r="D52">
        <v>35</v>
      </c>
      <c r="E52" t="s">
        <v>746</v>
      </c>
      <c r="F52" t="str">
        <f>IF(Client_churn3[[#This Row],[Type_Forfait]]= "Pro Monde", "B2B", "B2C")</f>
        <v>B2B</v>
      </c>
      <c r="G52">
        <v>445</v>
      </c>
      <c r="H52" s="7">
        <v>24.11</v>
      </c>
      <c r="I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2" s="9">
        <f>Client_churn3[[#This Row],[Facture_Mensuelle]]*Client_churn3[[#This Row],[Remise Client]]</f>
        <v>2.411</v>
      </c>
      <c r="K52">
        <v>2</v>
      </c>
      <c r="L52"/>
    </row>
    <row r="53" spans="1:12" x14ac:dyDescent="0.25">
      <c r="A53">
        <f t="shared" si="0"/>
        <v>52</v>
      </c>
      <c r="B53" t="s">
        <v>820</v>
      </c>
      <c r="C53" t="s">
        <v>764</v>
      </c>
      <c r="D53">
        <v>43</v>
      </c>
      <c r="E53" t="s">
        <v>755</v>
      </c>
      <c r="F53" t="str">
        <f>IF(Client_churn3[[#This Row],[Type_Forfait]]= "Pro Monde", "B2B", "B2C")</f>
        <v>B2C</v>
      </c>
      <c r="G53">
        <v>27</v>
      </c>
      <c r="H53" s="7">
        <v>31.48</v>
      </c>
      <c r="I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" s="9">
        <f>Client_churn3[[#This Row],[Facture_Mensuelle]]*Client_churn3[[#This Row],[Remise Client]]</f>
        <v>0</v>
      </c>
      <c r="K53">
        <v>5</v>
      </c>
      <c r="L53"/>
    </row>
    <row r="54" spans="1:12" x14ac:dyDescent="0.25">
      <c r="A54">
        <f t="shared" si="0"/>
        <v>53</v>
      </c>
      <c r="B54" t="s">
        <v>821</v>
      </c>
      <c r="C54" t="s">
        <v>766</v>
      </c>
      <c r="D54">
        <v>81</v>
      </c>
      <c r="E54" t="s">
        <v>749</v>
      </c>
      <c r="F54" t="str">
        <f>IF(Client_churn3[[#This Row],[Type_Forfait]]= "Pro Monde", "B2B", "B2C")</f>
        <v>B2C</v>
      </c>
      <c r="G54">
        <v>11</v>
      </c>
      <c r="H54" s="7">
        <v>41.76</v>
      </c>
      <c r="I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4" s="9">
        <f>Client_churn3[[#This Row],[Facture_Mensuelle]]*Client_churn3[[#This Row],[Remise Client]]</f>
        <v>0</v>
      </c>
      <c r="K54">
        <v>5</v>
      </c>
      <c r="L54"/>
    </row>
    <row r="55" spans="1:12" x14ac:dyDescent="0.25">
      <c r="A55">
        <f t="shared" si="0"/>
        <v>54</v>
      </c>
      <c r="B55" t="s">
        <v>822</v>
      </c>
      <c r="C55" t="s">
        <v>796</v>
      </c>
      <c r="D55">
        <v>102</v>
      </c>
      <c r="E55" t="s">
        <v>755</v>
      </c>
      <c r="F55" t="str">
        <f>IF(Client_churn3[[#This Row],[Type_Forfait]]= "Pro Monde", "B2B", "B2C")</f>
        <v>B2C</v>
      </c>
      <c r="G55">
        <v>402</v>
      </c>
      <c r="H55" s="7">
        <v>28.38</v>
      </c>
      <c r="I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5" s="9">
        <f>Client_churn3[[#This Row],[Facture_Mensuelle]]*Client_churn3[[#This Row],[Remise Client]]</f>
        <v>12.770999999999999</v>
      </c>
      <c r="K55">
        <v>5</v>
      </c>
      <c r="L55"/>
    </row>
    <row r="56" spans="1:12" x14ac:dyDescent="0.25">
      <c r="A56">
        <f t="shared" si="0"/>
        <v>55</v>
      </c>
      <c r="B56" t="s">
        <v>823</v>
      </c>
      <c r="C56" t="s">
        <v>806</v>
      </c>
      <c r="D56">
        <v>84</v>
      </c>
      <c r="E56" t="s">
        <v>743</v>
      </c>
      <c r="F56" t="str">
        <f>IF(Client_churn3[[#This Row],[Type_Forfait]]= "Pro Monde", "B2B", "B2C")</f>
        <v>B2C</v>
      </c>
      <c r="G56">
        <v>380</v>
      </c>
      <c r="H56" s="7">
        <v>82.3</v>
      </c>
      <c r="I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" s="9">
        <f>Client_churn3[[#This Row],[Facture_Mensuelle]]*Client_churn3[[#This Row],[Remise Client]]</f>
        <v>37.034999999999997</v>
      </c>
      <c r="K56">
        <v>1</v>
      </c>
      <c r="L56"/>
    </row>
    <row r="57" spans="1:12" x14ac:dyDescent="0.25">
      <c r="A57">
        <f t="shared" si="0"/>
        <v>56</v>
      </c>
      <c r="B57" t="s">
        <v>824</v>
      </c>
      <c r="C57" t="s">
        <v>794</v>
      </c>
      <c r="D57">
        <v>22</v>
      </c>
      <c r="E57" t="s">
        <v>746</v>
      </c>
      <c r="F57" t="str">
        <f>IF(Client_churn3[[#This Row],[Type_Forfait]]= "Pro Monde", "B2B", "B2C")</f>
        <v>B2B</v>
      </c>
      <c r="G57">
        <v>457</v>
      </c>
      <c r="H57" s="7">
        <v>13.21</v>
      </c>
      <c r="I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7" s="9">
        <f>Client_churn3[[#This Row],[Facture_Mensuelle]]*Client_churn3[[#This Row],[Remise Client]]</f>
        <v>1.3210000000000002</v>
      </c>
      <c r="K57">
        <v>1</v>
      </c>
      <c r="L57"/>
    </row>
    <row r="58" spans="1:12" x14ac:dyDescent="0.25">
      <c r="A58">
        <f t="shared" si="0"/>
        <v>57</v>
      </c>
      <c r="B58" t="s">
        <v>825</v>
      </c>
      <c r="C58" t="s">
        <v>778</v>
      </c>
      <c r="D58">
        <v>91</v>
      </c>
      <c r="E58" t="s">
        <v>743</v>
      </c>
      <c r="F58" t="str">
        <f>IF(Client_churn3[[#This Row],[Type_Forfait]]= "Pro Monde", "B2B", "B2C")</f>
        <v>B2C</v>
      </c>
      <c r="G58">
        <v>188</v>
      </c>
      <c r="H58" s="7">
        <v>65.78</v>
      </c>
      <c r="I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8" s="9">
        <f>Client_churn3[[#This Row],[Facture_Mensuelle]]*Client_churn3[[#This Row],[Remise Client]]</f>
        <v>0</v>
      </c>
      <c r="K58">
        <v>4</v>
      </c>
      <c r="L58"/>
    </row>
    <row r="59" spans="1:12" x14ac:dyDescent="0.25">
      <c r="A59">
        <f t="shared" si="0"/>
        <v>58</v>
      </c>
      <c r="B59" t="s">
        <v>826</v>
      </c>
      <c r="C59" t="s">
        <v>758</v>
      </c>
      <c r="D59">
        <v>1</v>
      </c>
      <c r="E59" t="s">
        <v>743</v>
      </c>
      <c r="F59" t="str">
        <f>IF(Client_churn3[[#This Row],[Type_Forfait]]= "Pro Monde", "B2B", "B2C")</f>
        <v>B2C</v>
      </c>
      <c r="G59">
        <v>135</v>
      </c>
      <c r="H59" s="7">
        <v>89.16</v>
      </c>
      <c r="I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9" s="9">
        <f>Client_churn3[[#This Row],[Facture_Mensuelle]]*Client_churn3[[#This Row],[Remise Client]]</f>
        <v>0</v>
      </c>
      <c r="K59">
        <v>3</v>
      </c>
      <c r="L59"/>
    </row>
    <row r="60" spans="1:12" x14ac:dyDescent="0.25">
      <c r="A60">
        <f t="shared" si="0"/>
        <v>59</v>
      </c>
      <c r="B60" t="s">
        <v>827</v>
      </c>
      <c r="C60" t="s">
        <v>782</v>
      </c>
      <c r="D60">
        <v>15</v>
      </c>
      <c r="E60" t="s">
        <v>746</v>
      </c>
      <c r="F60" t="str">
        <f>IF(Client_churn3[[#This Row],[Type_Forfait]]= "Pro Monde", "B2B", "B2C")</f>
        <v>B2B</v>
      </c>
      <c r="G60">
        <v>403</v>
      </c>
      <c r="H60" s="7">
        <v>77.12</v>
      </c>
      <c r="I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0" s="9">
        <f>Client_churn3[[#This Row],[Facture_Mensuelle]]*Client_churn3[[#This Row],[Remise Client]]</f>
        <v>7.7120000000000006</v>
      </c>
      <c r="K60">
        <v>1</v>
      </c>
      <c r="L60"/>
    </row>
    <row r="61" spans="1:12" x14ac:dyDescent="0.25">
      <c r="A61">
        <f t="shared" si="0"/>
        <v>60</v>
      </c>
      <c r="B61" t="s">
        <v>828</v>
      </c>
      <c r="C61" t="s">
        <v>785</v>
      </c>
      <c r="D61">
        <v>50</v>
      </c>
      <c r="E61" t="s">
        <v>746</v>
      </c>
      <c r="F61" t="str">
        <f>IF(Client_churn3[[#This Row],[Type_Forfait]]= "Pro Monde", "B2B", "B2C")</f>
        <v>B2B</v>
      </c>
      <c r="G61">
        <v>108</v>
      </c>
      <c r="H61" s="7">
        <v>43.81</v>
      </c>
      <c r="I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1" s="9">
        <f>Client_churn3[[#This Row],[Facture_Mensuelle]]*Client_churn3[[#This Row],[Remise Client]]</f>
        <v>4.3810000000000002</v>
      </c>
      <c r="K61">
        <v>5</v>
      </c>
      <c r="L61"/>
    </row>
    <row r="62" spans="1:12" x14ac:dyDescent="0.25">
      <c r="A62">
        <f t="shared" si="0"/>
        <v>61</v>
      </c>
      <c r="B62" t="s">
        <v>829</v>
      </c>
      <c r="C62" t="s">
        <v>764</v>
      </c>
      <c r="D62">
        <v>19</v>
      </c>
      <c r="E62" t="s">
        <v>743</v>
      </c>
      <c r="F62" t="str">
        <f>IF(Client_churn3[[#This Row],[Type_Forfait]]= "Pro Monde", "B2B", "B2C")</f>
        <v>B2C</v>
      </c>
      <c r="G62">
        <v>305</v>
      </c>
      <c r="H62" s="7">
        <v>81.11</v>
      </c>
      <c r="I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" s="9">
        <f>Client_churn3[[#This Row],[Facture_Mensuelle]]*Client_churn3[[#This Row],[Remise Client]]</f>
        <v>36.499499999999998</v>
      </c>
      <c r="K62">
        <v>1</v>
      </c>
      <c r="L62"/>
    </row>
    <row r="63" spans="1:12" x14ac:dyDescent="0.25">
      <c r="A63">
        <f t="shared" si="0"/>
        <v>62</v>
      </c>
      <c r="B63" t="s">
        <v>830</v>
      </c>
      <c r="C63" t="s">
        <v>770</v>
      </c>
      <c r="D63">
        <v>56</v>
      </c>
      <c r="E63" t="s">
        <v>743</v>
      </c>
      <c r="F63" t="str">
        <f>IF(Client_churn3[[#This Row],[Type_Forfait]]= "Pro Monde", "B2B", "B2C")</f>
        <v>B2C</v>
      </c>
      <c r="G63">
        <v>27</v>
      </c>
      <c r="H63" s="7">
        <v>46.41</v>
      </c>
      <c r="I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" s="9">
        <f>Client_churn3[[#This Row],[Facture_Mensuelle]]*Client_churn3[[#This Row],[Remise Client]]</f>
        <v>0</v>
      </c>
      <c r="K63">
        <v>3</v>
      </c>
      <c r="L63"/>
    </row>
    <row r="64" spans="1:12" x14ac:dyDescent="0.25">
      <c r="A64">
        <f t="shared" si="0"/>
        <v>63</v>
      </c>
      <c r="B64" t="s">
        <v>831</v>
      </c>
      <c r="C64" t="s">
        <v>782</v>
      </c>
      <c r="D64">
        <v>39</v>
      </c>
      <c r="E64" t="s">
        <v>746</v>
      </c>
      <c r="F64" t="str">
        <f>IF(Client_churn3[[#This Row],[Type_Forfait]]= "Pro Monde", "B2B", "B2C")</f>
        <v>B2B</v>
      </c>
      <c r="G64">
        <v>289</v>
      </c>
      <c r="H64" s="7">
        <v>86.7</v>
      </c>
      <c r="I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4" s="9">
        <f>Client_churn3[[#This Row],[Facture_Mensuelle]]*Client_churn3[[#This Row],[Remise Client]]</f>
        <v>8.67</v>
      </c>
      <c r="K64">
        <v>3</v>
      </c>
      <c r="L64"/>
    </row>
    <row r="65" spans="1:12" x14ac:dyDescent="0.25">
      <c r="A65">
        <f t="shared" si="0"/>
        <v>64</v>
      </c>
      <c r="B65" t="s">
        <v>832</v>
      </c>
      <c r="C65" t="s">
        <v>794</v>
      </c>
      <c r="D65">
        <v>98</v>
      </c>
      <c r="E65" t="s">
        <v>755</v>
      </c>
      <c r="F65" t="str">
        <f>IF(Client_churn3[[#This Row],[Type_Forfait]]= "Pro Monde", "B2B", "B2C")</f>
        <v>B2C</v>
      </c>
      <c r="G65">
        <v>319</v>
      </c>
      <c r="H65" s="7">
        <v>88.58</v>
      </c>
      <c r="I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" s="9">
        <f>Client_churn3[[#This Row],[Facture_Mensuelle]]*Client_churn3[[#This Row],[Remise Client]]</f>
        <v>39.860999999999997</v>
      </c>
      <c r="K65">
        <v>0</v>
      </c>
      <c r="L65"/>
    </row>
    <row r="66" spans="1:12" x14ac:dyDescent="0.25">
      <c r="A66">
        <f t="shared" si="0"/>
        <v>65</v>
      </c>
      <c r="B66" t="s">
        <v>833</v>
      </c>
      <c r="C66" t="s">
        <v>834</v>
      </c>
      <c r="D66">
        <v>71</v>
      </c>
      <c r="E66" t="s">
        <v>755</v>
      </c>
      <c r="F66" t="str">
        <f>IF(Client_churn3[[#This Row],[Type_Forfait]]= "Pro Monde", "B2B", "B2C")</f>
        <v>B2C</v>
      </c>
      <c r="G66">
        <v>191</v>
      </c>
      <c r="H66" s="7">
        <v>83.04</v>
      </c>
      <c r="I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6" s="9">
        <f>Client_churn3[[#This Row],[Facture_Mensuelle]]*Client_churn3[[#This Row],[Remise Client]]</f>
        <v>0</v>
      </c>
      <c r="K66">
        <v>4</v>
      </c>
      <c r="L66"/>
    </row>
    <row r="67" spans="1:12" x14ac:dyDescent="0.25">
      <c r="A67">
        <f t="shared" si="0"/>
        <v>66</v>
      </c>
      <c r="B67" t="s">
        <v>835</v>
      </c>
      <c r="C67" t="s">
        <v>764</v>
      </c>
      <c r="D67">
        <v>81</v>
      </c>
      <c r="E67" t="s">
        <v>746</v>
      </c>
      <c r="F67" t="str">
        <f>IF(Client_churn3[[#This Row],[Type_Forfait]]= "Pro Monde", "B2B", "B2C")</f>
        <v>B2B</v>
      </c>
      <c r="G67">
        <v>154</v>
      </c>
      <c r="H67" s="7">
        <v>19.47</v>
      </c>
      <c r="I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7" s="9">
        <f>Client_churn3[[#This Row],[Facture_Mensuelle]]*Client_churn3[[#This Row],[Remise Client]]</f>
        <v>1.9470000000000001</v>
      </c>
      <c r="K67">
        <v>3</v>
      </c>
      <c r="L67"/>
    </row>
    <row r="68" spans="1:12" x14ac:dyDescent="0.25">
      <c r="A68">
        <f t="shared" si="0"/>
        <v>67</v>
      </c>
      <c r="B68" t="s">
        <v>836</v>
      </c>
      <c r="C68" t="s">
        <v>780</v>
      </c>
      <c r="D68">
        <v>34</v>
      </c>
      <c r="E68" t="s">
        <v>743</v>
      </c>
      <c r="F68" t="str">
        <f>IF(Client_churn3[[#This Row],[Type_Forfait]]= "Pro Monde", "B2B", "B2C")</f>
        <v>B2C</v>
      </c>
      <c r="G68">
        <v>35</v>
      </c>
      <c r="H68" s="7">
        <v>76.86</v>
      </c>
      <c r="I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8" s="9">
        <f>Client_churn3[[#This Row],[Facture_Mensuelle]]*Client_churn3[[#This Row],[Remise Client]]</f>
        <v>0</v>
      </c>
      <c r="K68">
        <v>1</v>
      </c>
      <c r="L68"/>
    </row>
    <row r="69" spans="1:12" x14ac:dyDescent="0.25">
      <c r="A69">
        <f t="shared" ref="A69:A132" si="1">A68+1</f>
        <v>68</v>
      </c>
      <c r="B69" t="s">
        <v>837</v>
      </c>
      <c r="C69" t="s">
        <v>780</v>
      </c>
      <c r="D69">
        <v>55</v>
      </c>
      <c r="E69" t="s">
        <v>749</v>
      </c>
      <c r="F69" t="str">
        <f>IF(Client_churn3[[#This Row],[Type_Forfait]]= "Pro Monde", "B2B", "B2C")</f>
        <v>B2C</v>
      </c>
      <c r="G69">
        <v>60</v>
      </c>
      <c r="H69" s="7">
        <v>32.51</v>
      </c>
      <c r="I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9" s="9">
        <f>Client_churn3[[#This Row],[Facture_Mensuelle]]*Client_churn3[[#This Row],[Remise Client]]</f>
        <v>0</v>
      </c>
      <c r="K69">
        <v>4</v>
      </c>
      <c r="L69"/>
    </row>
    <row r="70" spans="1:12" x14ac:dyDescent="0.25">
      <c r="A70">
        <f t="shared" si="1"/>
        <v>69</v>
      </c>
      <c r="B70" t="s">
        <v>838</v>
      </c>
      <c r="C70" t="s">
        <v>802</v>
      </c>
      <c r="D70">
        <v>47</v>
      </c>
      <c r="E70" t="s">
        <v>746</v>
      </c>
      <c r="F70" t="str">
        <f>IF(Client_churn3[[#This Row],[Type_Forfait]]= "Pro Monde", "B2B", "B2C")</f>
        <v>B2B</v>
      </c>
      <c r="G70">
        <v>107</v>
      </c>
      <c r="H70" s="7">
        <v>35.380000000000003</v>
      </c>
      <c r="I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0" s="9">
        <f>Client_churn3[[#This Row],[Facture_Mensuelle]]*Client_churn3[[#This Row],[Remise Client]]</f>
        <v>3.5380000000000003</v>
      </c>
      <c r="K70">
        <v>1</v>
      </c>
      <c r="L70"/>
    </row>
    <row r="71" spans="1:12" x14ac:dyDescent="0.25">
      <c r="A71">
        <f t="shared" si="1"/>
        <v>70</v>
      </c>
      <c r="B71" t="s">
        <v>839</v>
      </c>
      <c r="C71" t="s">
        <v>768</v>
      </c>
      <c r="D71">
        <v>48</v>
      </c>
      <c r="E71" t="s">
        <v>749</v>
      </c>
      <c r="F71" t="str">
        <f>IF(Client_churn3[[#This Row],[Type_Forfait]]= "Pro Monde", "B2B", "B2C")</f>
        <v>B2C</v>
      </c>
      <c r="G71">
        <v>187</v>
      </c>
      <c r="H71" s="7">
        <v>21.26</v>
      </c>
      <c r="I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1" s="9">
        <f>Client_churn3[[#This Row],[Facture_Mensuelle]]*Client_churn3[[#This Row],[Remise Client]]</f>
        <v>0</v>
      </c>
      <c r="K71">
        <v>2</v>
      </c>
      <c r="L71"/>
    </row>
    <row r="72" spans="1:12" x14ac:dyDescent="0.25">
      <c r="A72">
        <f t="shared" si="1"/>
        <v>71</v>
      </c>
      <c r="B72" t="s">
        <v>840</v>
      </c>
      <c r="C72" t="s">
        <v>768</v>
      </c>
      <c r="D72">
        <v>47</v>
      </c>
      <c r="E72" t="s">
        <v>746</v>
      </c>
      <c r="F72" t="str">
        <f>IF(Client_churn3[[#This Row],[Type_Forfait]]= "Pro Monde", "B2B", "B2C")</f>
        <v>B2B</v>
      </c>
      <c r="G72">
        <v>378</v>
      </c>
      <c r="H72" s="7">
        <v>36.42</v>
      </c>
      <c r="I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2" s="9">
        <f>Client_churn3[[#This Row],[Facture_Mensuelle]]*Client_churn3[[#This Row],[Remise Client]]</f>
        <v>3.6420000000000003</v>
      </c>
      <c r="K72">
        <v>1</v>
      </c>
      <c r="L72"/>
    </row>
    <row r="73" spans="1:12" x14ac:dyDescent="0.25">
      <c r="A73">
        <f t="shared" si="1"/>
        <v>72</v>
      </c>
      <c r="B73" t="s">
        <v>841</v>
      </c>
      <c r="C73" t="s">
        <v>842</v>
      </c>
      <c r="D73">
        <v>109</v>
      </c>
      <c r="E73" t="s">
        <v>749</v>
      </c>
      <c r="F73" t="str">
        <f>IF(Client_churn3[[#This Row],[Type_Forfait]]= "Pro Monde", "B2B", "B2C")</f>
        <v>B2C</v>
      </c>
      <c r="G73">
        <v>84</v>
      </c>
      <c r="H73" s="7">
        <v>97.46</v>
      </c>
      <c r="I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3" s="9">
        <f>Client_churn3[[#This Row],[Facture_Mensuelle]]*Client_churn3[[#This Row],[Remise Client]]</f>
        <v>0</v>
      </c>
      <c r="K73">
        <v>5</v>
      </c>
      <c r="L73"/>
    </row>
    <row r="74" spans="1:12" x14ac:dyDescent="0.25">
      <c r="A74">
        <f t="shared" si="1"/>
        <v>73</v>
      </c>
      <c r="B74" t="s">
        <v>843</v>
      </c>
      <c r="C74" t="s">
        <v>758</v>
      </c>
      <c r="D74">
        <v>40</v>
      </c>
      <c r="E74" t="s">
        <v>749</v>
      </c>
      <c r="F74" t="str">
        <f>IF(Client_churn3[[#This Row],[Type_Forfait]]= "Pro Monde", "B2B", "B2C")</f>
        <v>B2C</v>
      </c>
      <c r="G74">
        <v>219</v>
      </c>
      <c r="H74" s="7">
        <v>53.98</v>
      </c>
      <c r="I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4" s="9">
        <f>Client_churn3[[#This Row],[Facture_Mensuelle]]*Client_churn3[[#This Row],[Remise Client]]</f>
        <v>0</v>
      </c>
      <c r="K74">
        <v>2</v>
      </c>
      <c r="L74"/>
    </row>
    <row r="75" spans="1:12" x14ac:dyDescent="0.25">
      <c r="A75">
        <f t="shared" si="1"/>
        <v>74</v>
      </c>
      <c r="B75" t="s">
        <v>844</v>
      </c>
      <c r="C75" t="s">
        <v>760</v>
      </c>
      <c r="D75">
        <v>56</v>
      </c>
      <c r="E75" t="s">
        <v>749</v>
      </c>
      <c r="F75" t="str">
        <f>IF(Client_churn3[[#This Row],[Type_Forfait]]= "Pro Monde", "B2B", "B2C")</f>
        <v>B2C</v>
      </c>
      <c r="G75">
        <v>367</v>
      </c>
      <c r="H75" s="7">
        <v>72.790000000000006</v>
      </c>
      <c r="I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5" s="9">
        <f>Client_churn3[[#This Row],[Facture_Mensuelle]]*Client_churn3[[#This Row],[Remise Client]]</f>
        <v>32.755500000000005</v>
      </c>
      <c r="K75">
        <v>1</v>
      </c>
      <c r="L75"/>
    </row>
    <row r="76" spans="1:12" x14ac:dyDescent="0.25">
      <c r="A76">
        <f t="shared" si="1"/>
        <v>75</v>
      </c>
      <c r="B76" t="s">
        <v>845</v>
      </c>
      <c r="C76" t="s">
        <v>745</v>
      </c>
      <c r="D76">
        <v>111</v>
      </c>
      <c r="E76" t="s">
        <v>743</v>
      </c>
      <c r="F76" t="str">
        <f>IF(Client_churn3[[#This Row],[Type_Forfait]]= "Pro Monde", "B2B", "B2C")</f>
        <v>B2C</v>
      </c>
      <c r="G76">
        <v>76</v>
      </c>
      <c r="H76" s="7">
        <v>38.19</v>
      </c>
      <c r="I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6" s="9">
        <f>Client_churn3[[#This Row],[Facture_Mensuelle]]*Client_churn3[[#This Row],[Remise Client]]</f>
        <v>0</v>
      </c>
      <c r="K76">
        <v>5</v>
      </c>
      <c r="L76"/>
    </row>
    <row r="77" spans="1:12" x14ac:dyDescent="0.25">
      <c r="A77">
        <f t="shared" si="1"/>
        <v>76</v>
      </c>
      <c r="B77" t="s">
        <v>846</v>
      </c>
      <c r="C77" t="s">
        <v>842</v>
      </c>
      <c r="D77">
        <v>99</v>
      </c>
      <c r="E77" t="s">
        <v>749</v>
      </c>
      <c r="F77" t="str">
        <f>IF(Client_churn3[[#This Row],[Type_Forfait]]= "Pro Monde", "B2B", "B2C")</f>
        <v>B2C</v>
      </c>
      <c r="G77">
        <v>493</v>
      </c>
      <c r="H77" s="7">
        <v>55.43</v>
      </c>
      <c r="I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7" s="9">
        <f>Client_churn3[[#This Row],[Facture_Mensuelle]]*Client_churn3[[#This Row],[Remise Client]]</f>
        <v>24.9435</v>
      </c>
      <c r="K77">
        <v>2</v>
      </c>
      <c r="L77"/>
    </row>
    <row r="78" spans="1:12" x14ac:dyDescent="0.25">
      <c r="A78">
        <f t="shared" si="1"/>
        <v>77</v>
      </c>
      <c r="B78" t="s">
        <v>847</v>
      </c>
      <c r="C78" t="s">
        <v>809</v>
      </c>
      <c r="D78">
        <v>56</v>
      </c>
      <c r="E78" t="s">
        <v>755</v>
      </c>
      <c r="F78" t="str">
        <f>IF(Client_churn3[[#This Row],[Type_Forfait]]= "Pro Monde", "B2B", "B2C")</f>
        <v>B2C</v>
      </c>
      <c r="G78">
        <v>354</v>
      </c>
      <c r="H78" s="7">
        <v>32.08</v>
      </c>
      <c r="I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8" s="9">
        <f>Client_churn3[[#This Row],[Facture_Mensuelle]]*Client_churn3[[#This Row],[Remise Client]]</f>
        <v>14.436</v>
      </c>
      <c r="K78">
        <v>1</v>
      </c>
      <c r="L78"/>
    </row>
    <row r="79" spans="1:12" x14ac:dyDescent="0.25">
      <c r="A79">
        <f t="shared" si="1"/>
        <v>78</v>
      </c>
      <c r="B79" t="s">
        <v>848</v>
      </c>
      <c r="C79" t="s">
        <v>770</v>
      </c>
      <c r="D79">
        <v>118</v>
      </c>
      <c r="E79" t="s">
        <v>746</v>
      </c>
      <c r="F79" t="str">
        <f>IF(Client_churn3[[#This Row],[Type_Forfait]]= "Pro Monde", "B2B", "B2C")</f>
        <v>B2B</v>
      </c>
      <c r="G79">
        <v>22</v>
      </c>
      <c r="H79" s="7">
        <v>15.39</v>
      </c>
      <c r="I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9" s="9">
        <f>Client_churn3[[#This Row],[Facture_Mensuelle]]*Client_churn3[[#This Row],[Remise Client]]</f>
        <v>1.5390000000000001</v>
      </c>
      <c r="K79">
        <v>1</v>
      </c>
      <c r="L79"/>
    </row>
    <row r="80" spans="1:12" x14ac:dyDescent="0.25">
      <c r="A80">
        <f t="shared" si="1"/>
        <v>79</v>
      </c>
      <c r="B80" t="s">
        <v>849</v>
      </c>
      <c r="C80" t="s">
        <v>774</v>
      </c>
      <c r="D80">
        <v>59</v>
      </c>
      <c r="E80" t="s">
        <v>749</v>
      </c>
      <c r="F80" t="str">
        <f>IF(Client_churn3[[#This Row],[Type_Forfait]]= "Pro Monde", "B2B", "B2C")</f>
        <v>B2C</v>
      </c>
      <c r="G80">
        <v>192</v>
      </c>
      <c r="H80" s="7">
        <v>86.17</v>
      </c>
      <c r="I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80" s="9">
        <f>Client_churn3[[#This Row],[Facture_Mensuelle]]*Client_churn3[[#This Row],[Remise Client]]</f>
        <v>0</v>
      </c>
      <c r="K80">
        <v>1</v>
      </c>
      <c r="L80"/>
    </row>
    <row r="81" spans="1:12" x14ac:dyDescent="0.25">
      <c r="A81">
        <f t="shared" si="1"/>
        <v>80</v>
      </c>
      <c r="B81" t="s">
        <v>850</v>
      </c>
      <c r="C81" t="s">
        <v>806</v>
      </c>
      <c r="D81">
        <v>17</v>
      </c>
      <c r="E81" t="s">
        <v>743</v>
      </c>
      <c r="F81" t="str">
        <f>IF(Client_churn3[[#This Row],[Type_Forfait]]= "Pro Monde", "B2B", "B2C")</f>
        <v>B2C</v>
      </c>
      <c r="G81">
        <v>404</v>
      </c>
      <c r="H81" s="7">
        <v>83.4</v>
      </c>
      <c r="I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1" s="9">
        <f>Client_churn3[[#This Row],[Facture_Mensuelle]]*Client_churn3[[#This Row],[Remise Client]]</f>
        <v>37.53</v>
      </c>
      <c r="K81">
        <v>1</v>
      </c>
      <c r="L81"/>
    </row>
    <row r="82" spans="1:12" x14ac:dyDescent="0.25">
      <c r="A82">
        <f t="shared" si="1"/>
        <v>81</v>
      </c>
      <c r="B82" t="s">
        <v>851</v>
      </c>
      <c r="C82" t="s">
        <v>742</v>
      </c>
      <c r="D82">
        <v>69</v>
      </c>
      <c r="E82" t="s">
        <v>743</v>
      </c>
      <c r="F82" t="str">
        <f>IF(Client_churn3[[#This Row],[Type_Forfait]]= "Pro Monde", "B2B", "B2C")</f>
        <v>B2C</v>
      </c>
      <c r="G82">
        <v>306</v>
      </c>
      <c r="H82" s="7">
        <v>13.97</v>
      </c>
      <c r="I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2" s="9">
        <f>Client_churn3[[#This Row],[Facture_Mensuelle]]*Client_churn3[[#This Row],[Remise Client]]</f>
        <v>6.2865000000000002</v>
      </c>
      <c r="K82">
        <v>1</v>
      </c>
      <c r="L82"/>
    </row>
    <row r="83" spans="1:12" x14ac:dyDescent="0.25">
      <c r="A83">
        <f t="shared" si="1"/>
        <v>82</v>
      </c>
      <c r="B83" t="s">
        <v>852</v>
      </c>
      <c r="C83" t="s">
        <v>796</v>
      </c>
      <c r="D83">
        <v>93</v>
      </c>
      <c r="E83" t="s">
        <v>755</v>
      </c>
      <c r="F83" t="str">
        <f>IF(Client_churn3[[#This Row],[Type_Forfait]]= "Pro Monde", "B2B", "B2C")</f>
        <v>B2C</v>
      </c>
      <c r="G83">
        <v>136</v>
      </c>
      <c r="H83" s="7">
        <v>19.09</v>
      </c>
      <c r="I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83" s="9">
        <f>Client_churn3[[#This Row],[Facture_Mensuelle]]*Client_churn3[[#This Row],[Remise Client]]</f>
        <v>0</v>
      </c>
      <c r="K83">
        <v>1</v>
      </c>
      <c r="L83"/>
    </row>
    <row r="84" spans="1:12" x14ac:dyDescent="0.25">
      <c r="A84">
        <f t="shared" si="1"/>
        <v>83</v>
      </c>
      <c r="B84" t="s">
        <v>853</v>
      </c>
      <c r="C84" t="s">
        <v>782</v>
      </c>
      <c r="D84">
        <v>43</v>
      </c>
      <c r="E84" t="s">
        <v>743</v>
      </c>
      <c r="F84" t="str">
        <f>IF(Client_churn3[[#This Row],[Type_Forfait]]= "Pro Monde", "B2B", "B2C")</f>
        <v>B2C</v>
      </c>
      <c r="G84">
        <v>20</v>
      </c>
      <c r="H84" s="7">
        <v>66.680000000000007</v>
      </c>
      <c r="I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84" s="9">
        <f>Client_churn3[[#This Row],[Facture_Mensuelle]]*Client_churn3[[#This Row],[Remise Client]]</f>
        <v>0</v>
      </c>
      <c r="K84">
        <v>5</v>
      </c>
      <c r="L84"/>
    </row>
    <row r="85" spans="1:12" x14ac:dyDescent="0.25">
      <c r="A85">
        <f t="shared" si="1"/>
        <v>84</v>
      </c>
      <c r="B85" t="s">
        <v>854</v>
      </c>
      <c r="C85" t="s">
        <v>748</v>
      </c>
      <c r="D85">
        <v>119</v>
      </c>
      <c r="E85" t="s">
        <v>749</v>
      </c>
      <c r="F85" t="str">
        <f>IF(Client_churn3[[#This Row],[Type_Forfait]]= "Pro Monde", "B2B", "B2C")</f>
        <v>B2C</v>
      </c>
      <c r="G85">
        <v>475</v>
      </c>
      <c r="H85" s="7">
        <v>25.98</v>
      </c>
      <c r="I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5" s="9">
        <f>Client_churn3[[#This Row],[Facture_Mensuelle]]*Client_churn3[[#This Row],[Remise Client]]</f>
        <v>11.691000000000001</v>
      </c>
      <c r="K85">
        <v>4</v>
      </c>
      <c r="L85"/>
    </row>
    <row r="86" spans="1:12" x14ac:dyDescent="0.25">
      <c r="A86">
        <f t="shared" si="1"/>
        <v>85</v>
      </c>
      <c r="B86" t="s">
        <v>855</v>
      </c>
      <c r="C86" t="s">
        <v>745</v>
      </c>
      <c r="D86">
        <v>41</v>
      </c>
      <c r="E86" t="s">
        <v>743</v>
      </c>
      <c r="F86" t="str">
        <f>IF(Client_churn3[[#This Row],[Type_Forfait]]= "Pro Monde", "B2B", "B2C")</f>
        <v>B2C</v>
      </c>
      <c r="G86">
        <v>425</v>
      </c>
      <c r="H86" s="7">
        <v>42.33</v>
      </c>
      <c r="I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6" s="9">
        <f>Client_churn3[[#This Row],[Facture_Mensuelle]]*Client_churn3[[#This Row],[Remise Client]]</f>
        <v>19.048500000000001</v>
      </c>
      <c r="K86">
        <v>3</v>
      </c>
      <c r="L86"/>
    </row>
    <row r="87" spans="1:12" x14ac:dyDescent="0.25">
      <c r="A87">
        <f t="shared" si="1"/>
        <v>86</v>
      </c>
      <c r="B87" t="s">
        <v>856</v>
      </c>
      <c r="C87" t="s">
        <v>742</v>
      </c>
      <c r="D87">
        <v>50</v>
      </c>
      <c r="E87" t="s">
        <v>743</v>
      </c>
      <c r="F87" t="str">
        <f>IF(Client_churn3[[#This Row],[Type_Forfait]]= "Pro Monde", "B2B", "B2C")</f>
        <v>B2C</v>
      </c>
      <c r="G87">
        <v>248</v>
      </c>
      <c r="H87" s="7">
        <v>69.42</v>
      </c>
      <c r="I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7" s="9">
        <f>Client_churn3[[#This Row],[Facture_Mensuelle]]*Client_churn3[[#This Row],[Remise Client]]</f>
        <v>31.239000000000001</v>
      </c>
      <c r="K87">
        <v>0</v>
      </c>
      <c r="L87"/>
    </row>
    <row r="88" spans="1:12" x14ac:dyDescent="0.25">
      <c r="A88">
        <f t="shared" si="1"/>
        <v>87</v>
      </c>
      <c r="B88" t="s">
        <v>857</v>
      </c>
      <c r="C88" t="s">
        <v>774</v>
      </c>
      <c r="D88">
        <v>47</v>
      </c>
      <c r="E88" t="s">
        <v>749</v>
      </c>
      <c r="F88" t="str">
        <f>IF(Client_churn3[[#This Row],[Type_Forfait]]= "Pro Monde", "B2B", "B2C")</f>
        <v>B2C</v>
      </c>
      <c r="G88">
        <v>340</v>
      </c>
      <c r="H88" s="7">
        <v>31.02</v>
      </c>
      <c r="I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8" s="9">
        <f>Client_churn3[[#This Row],[Facture_Mensuelle]]*Client_churn3[[#This Row],[Remise Client]]</f>
        <v>13.959</v>
      </c>
      <c r="K88">
        <v>5</v>
      </c>
      <c r="L88"/>
    </row>
    <row r="89" spans="1:12" x14ac:dyDescent="0.25">
      <c r="A89">
        <f t="shared" si="1"/>
        <v>88</v>
      </c>
      <c r="B89" t="s">
        <v>858</v>
      </c>
      <c r="C89" t="s">
        <v>799</v>
      </c>
      <c r="D89">
        <v>52</v>
      </c>
      <c r="E89" t="s">
        <v>755</v>
      </c>
      <c r="F89" t="str">
        <f>IF(Client_churn3[[#This Row],[Type_Forfait]]= "Pro Monde", "B2B", "B2C")</f>
        <v>B2C</v>
      </c>
      <c r="G89">
        <v>425</v>
      </c>
      <c r="H89" s="7">
        <v>97.25</v>
      </c>
      <c r="I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89" s="9">
        <f>Client_churn3[[#This Row],[Facture_Mensuelle]]*Client_churn3[[#This Row],[Remise Client]]</f>
        <v>43.762500000000003</v>
      </c>
      <c r="K89">
        <v>0</v>
      </c>
      <c r="L89"/>
    </row>
    <row r="90" spans="1:12" x14ac:dyDescent="0.25">
      <c r="A90">
        <f t="shared" si="1"/>
        <v>89</v>
      </c>
      <c r="B90" t="s">
        <v>859</v>
      </c>
      <c r="C90" t="s">
        <v>794</v>
      </c>
      <c r="D90">
        <v>20</v>
      </c>
      <c r="E90" t="s">
        <v>743</v>
      </c>
      <c r="F90" t="str">
        <f>IF(Client_churn3[[#This Row],[Type_Forfait]]= "Pro Monde", "B2B", "B2C")</f>
        <v>B2C</v>
      </c>
      <c r="G90">
        <v>26</v>
      </c>
      <c r="H90" s="7">
        <v>25.14</v>
      </c>
      <c r="I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90" s="9">
        <f>Client_churn3[[#This Row],[Facture_Mensuelle]]*Client_churn3[[#This Row],[Remise Client]]</f>
        <v>0</v>
      </c>
      <c r="K90">
        <v>0</v>
      </c>
      <c r="L90"/>
    </row>
    <row r="91" spans="1:12" x14ac:dyDescent="0.25">
      <c r="A91">
        <f t="shared" si="1"/>
        <v>90</v>
      </c>
      <c r="B91" t="s">
        <v>860</v>
      </c>
      <c r="C91" t="s">
        <v>802</v>
      </c>
      <c r="D91">
        <v>43</v>
      </c>
      <c r="E91" t="s">
        <v>743</v>
      </c>
      <c r="F91" t="str">
        <f>IF(Client_churn3[[#This Row],[Type_Forfait]]= "Pro Monde", "B2B", "B2C")</f>
        <v>B2C</v>
      </c>
      <c r="G91">
        <v>181</v>
      </c>
      <c r="H91" s="7">
        <v>72.39</v>
      </c>
      <c r="I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91" s="9">
        <f>Client_churn3[[#This Row],[Facture_Mensuelle]]*Client_churn3[[#This Row],[Remise Client]]</f>
        <v>0</v>
      </c>
      <c r="K91">
        <v>2</v>
      </c>
      <c r="L91"/>
    </row>
    <row r="92" spans="1:12" x14ac:dyDescent="0.25">
      <c r="A92">
        <f t="shared" si="1"/>
        <v>91</v>
      </c>
      <c r="B92" t="s">
        <v>861</v>
      </c>
      <c r="C92" t="s">
        <v>766</v>
      </c>
      <c r="D92">
        <v>44</v>
      </c>
      <c r="E92" t="s">
        <v>746</v>
      </c>
      <c r="F92" t="str">
        <f>IF(Client_churn3[[#This Row],[Type_Forfait]]= "Pro Monde", "B2B", "B2C")</f>
        <v>B2B</v>
      </c>
      <c r="G92">
        <v>137</v>
      </c>
      <c r="H92" s="7">
        <v>32.58</v>
      </c>
      <c r="I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92" s="9">
        <f>Client_churn3[[#This Row],[Facture_Mensuelle]]*Client_churn3[[#This Row],[Remise Client]]</f>
        <v>3.258</v>
      </c>
      <c r="K92">
        <v>0</v>
      </c>
      <c r="L92"/>
    </row>
    <row r="93" spans="1:12" x14ac:dyDescent="0.25">
      <c r="A93">
        <f t="shared" si="1"/>
        <v>92</v>
      </c>
      <c r="B93" t="s">
        <v>862</v>
      </c>
      <c r="C93" t="s">
        <v>758</v>
      </c>
      <c r="D93">
        <v>95</v>
      </c>
      <c r="E93" t="s">
        <v>746</v>
      </c>
      <c r="F93" t="str">
        <f>IF(Client_churn3[[#This Row],[Type_Forfait]]= "Pro Monde", "B2B", "B2C")</f>
        <v>B2B</v>
      </c>
      <c r="G93">
        <v>127</v>
      </c>
      <c r="H93" s="7">
        <v>94.9</v>
      </c>
      <c r="I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93" s="9">
        <f>Client_churn3[[#This Row],[Facture_Mensuelle]]*Client_churn3[[#This Row],[Remise Client]]</f>
        <v>9.49</v>
      </c>
      <c r="K93">
        <v>4</v>
      </c>
      <c r="L93"/>
    </row>
    <row r="94" spans="1:12" x14ac:dyDescent="0.25">
      <c r="A94">
        <f t="shared" si="1"/>
        <v>93</v>
      </c>
      <c r="B94" t="s">
        <v>863</v>
      </c>
      <c r="C94" t="s">
        <v>768</v>
      </c>
      <c r="D94">
        <v>63</v>
      </c>
      <c r="E94" t="s">
        <v>746</v>
      </c>
      <c r="F94" t="str">
        <f>IF(Client_churn3[[#This Row],[Type_Forfait]]= "Pro Monde", "B2B", "B2C")</f>
        <v>B2B</v>
      </c>
      <c r="G94">
        <v>449</v>
      </c>
      <c r="H94" s="7">
        <v>37.08</v>
      </c>
      <c r="I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94" s="9">
        <f>Client_churn3[[#This Row],[Facture_Mensuelle]]*Client_churn3[[#This Row],[Remise Client]]</f>
        <v>3.7080000000000002</v>
      </c>
      <c r="K94">
        <v>0</v>
      </c>
      <c r="L94"/>
    </row>
    <row r="95" spans="1:12" x14ac:dyDescent="0.25">
      <c r="A95">
        <f t="shared" si="1"/>
        <v>94</v>
      </c>
      <c r="B95" t="s">
        <v>864</v>
      </c>
      <c r="C95" t="s">
        <v>766</v>
      </c>
      <c r="D95">
        <v>24</v>
      </c>
      <c r="E95" t="s">
        <v>749</v>
      </c>
      <c r="F95" t="str">
        <f>IF(Client_churn3[[#This Row],[Type_Forfait]]= "Pro Monde", "B2B", "B2C")</f>
        <v>B2C</v>
      </c>
      <c r="G95">
        <v>392</v>
      </c>
      <c r="H95" s="7">
        <v>27.06</v>
      </c>
      <c r="I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95" s="9">
        <f>Client_churn3[[#This Row],[Facture_Mensuelle]]*Client_churn3[[#This Row],[Remise Client]]</f>
        <v>12.177</v>
      </c>
      <c r="K95">
        <v>1</v>
      </c>
      <c r="L95"/>
    </row>
    <row r="96" spans="1:12" x14ac:dyDescent="0.25">
      <c r="A96">
        <f t="shared" si="1"/>
        <v>95</v>
      </c>
      <c r="B96" t="s">
        <v>865</v>
      </c>
      <c r="C96" t="s">
        <v>742</v>
      </c>
      <c r="D96">
        <v>9</v>
      </c>
      <c r="E96" t="s">
        <v>743</v>
      </c>
      <c r="F96" t="str">
        <f>IF(Client_churn3[[#This Row],[Type_Forfait]]= "Pro Monde", "B2B", "B2C")</f>
        <v>B2C</v>
      </c>
      <c r="G96">
        <v>11</v>
      </c>
      <c r="H96" s="7">
        <v>72.36</v>
      </c>
      <c r="I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96" s="9">
        <f>Client_churn3[[#This Row],[Facture_Mensuelle]]*Client_churn3[[#This Row],[Remise Client]]</f>
        <v>0</v>
      </c>
      <c r="K96">
        <v>2</v>
      </c>
      <c r="L96"/>
    </row>
    <row r="97" spans="1:12" x14ac:dyDescent="0.25">
      <c r="A97">
        <f t="shared" si="1"/>
        <v>96</v>
      </c>
      <c r="B97" t="s">
        <v>866</v>
      </c>
      <c r="C97" t="s">
        <v>782</v>
      </c>
      <c r="D97">
        <v>11</v>
      </c>
      <c r="E97" t="s">
        <v>743</v>
      </c>
      <c r="F97" t="str">
        <f>IF(Client_churn3[[#This Row],[Type_Forfait]]= "Pro Monde", "B2B", "B2C")</f>
        <v>B2C</v>
      </c>
      <c r="G97">
        <v>52</v>
      </c>
      <c r="H97" s="7">
        <v>76.53</v>
      </c>
      <c r="I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97" s="9">
        <f>Client_churn3[[#This Row],[Facture_Mensuelle]]*Client_churn3[[#This Row],[Remise Client]]</f>
        <v>0</v>
      </c>
      <c r="K97">
        <v>5</v>
      </c>
      <c r="L97"/>
    </row>
    <row r="98" spans="1:12" x14ac:dyDescent="0.25">
      <c r="A98">
        <f t="shared" si="1"/>
        <v>97</v>
      </c>
      <c r="B98" t="s">
        <v>867</v>
      </c>
      <c r="C98" t="s">
        <v>834</v>
      </c>
      <c r="D98">
        <v>57</v>
      </c>
      <c r="E98" t="s">
        <v>743</v>
      </c>
      <c r="F98" t="str">
        <f>IF(Client_churn3[[#This Row],[Type_Forfait]]= "Pro Monde", "B2B", "B2C")</f>
        <v>B2C</v>
      </c>
      <c r="G98">
        <v>493</v>
      </c>
      <c r="H98" s="7">
        <v>43.98</v>
      </c>
      <c r="I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98" s="9">
        <f>Client_churn3[[#This Row],[Facture_Mensuelle]]*Client_churn3[[#This Row],[Remise Client]]</f>
        <v>19.791</v>
      </c>
      <c r="K98">
        <v>3</v>
      </c>
      <c r="L98"/>
    </row>
    <row r="99" spans="1:12" x14ac:dyDescent="0.25">
      <c r="A99">
        <f t="shared" si="1"/>
        <v>98</v>
      </c>
      <c r="B99" t="s">
        <v>868</v>
      </c>
      <c r="C99" t="s">
        <v>809</v>
      </c>
      <c r="D99">
        <v>40</v>
      </c>
      <c r="E99" t="s">
        <v>743</v>
      </c>
      <c r="F99" t="str">
        <f>IF(Client_churn3[[#This Row],[Type_Forfait]]= "Pro Monde", "B2B", "B2C")</f>
        <v>B2C</v>
      </c>
      <c r="G99">
        <v>38</v>
      </c>
      <c r="H99" s="7">
        <v>17.63</v>
      </c>
      <c r="I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99" s="9">
        <f>Client_churn3[[#This Row],[Facture_Mensuelle]]*Client_churn3[[#This Row],[Remise Client]]</f>
        <v>0</v>
      </c>
      <c r="K99">
        <v>0</v>
      </c>
      <c r="L99"/>
    </row>
    <row r="100" spans="1:12" x14ac:dyDescent="0.25">
      <c r="A100">
        <f t="shared" si="1"/>
        <v>99</v>
      </c>
      <c r="B100" t="s">
        <v>869</v>
      </c>
      <c r="C100" t="s">
        <v>782</v>
      </c>
      <c r="D100">
        <v>19</v>
      </c>
      <c r="E100" t="s">
        <v>749</v>
      </c>
      <c r="F100" t="str">
        <f>IF(Client_churn3[[#This Row],[Type_Forfait]]= "Pro Monde", "B2B", "B2C")</f>
        <v>B2C</v>
      </c>
      <c r="G100">
        <v>334</v>
      </c>
      <c r="H100" s="7">
        <v>96.91</v>
      </c>
      <c r="I1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00" s="9">
        <f>Client_churn3[[#This Row],[Facture_Mensuelle]]*Client_churn3[[#This Row],[Remise Client]]</f>
        <v>43.609499999999997</v>
      </c>
      <c r="K100">
        <v>1</v>
      </c>
      <c r="L100"/>
    </row>
    <row r="101" spans="1:12" x14ac:dyDescent="0.25">
      <c r="A101">
        <f t="shared" si="1"/>
        <v>100</v>
      </c>
      <c r="B101" t="s">
        <v>870</v>
      </c>
      <c r="C101" t="s">
        <v>802</v>
      </c>
      <c r="D101">
        <v>108</v>
      </c>
      <c r="E101" t="s">
        <v>746</v>
      </c>
      <c r="F101" t="str">
        <f>IF(Client_churn3[[#This Row],[Type_Forfait]]= "Pro Monde", "B2B", "B2C")</f>
        <v>B2B</v>
      </c>
      <c r="G101">
        <v>48</v>
      </c>
      <c r="H101" s="7">
        <v>86.22</v>
      </c>
      <c r="I1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1" s="9">
        <f>Client_churn3[[#This Row],[Facture_Mensuelle]]*Client_churn3[[#This Row],[Remise Client]]</f>
        <v>8.6219999999999999</v>
      </c>
      <c r="K101">
        <v>3</v>
      </c>
      <c r="L101"/>
    </row>
    <row r="102" spans="1:12" x14ac:dyDescent="0.25">
      <c r="A102">
        <f t="shared" si="1"/>
        <v>101</v>
      </c>
      <c r="B102" t="s">
        <v>871</v>
      </c>
      <c r="C102" t="s">
        <v>748</v>
      </c>
      <c r="D102">
        <v>37</v>
      </c>
      <c r="E102" t="s">
        <v>746</v>
      </c>
      <c r="F102" t="str">
        <f>IF(Client_churn3[[#This Row],[Type_Forfait]]= "Pro Monde", "B2B", "B2C")</f>
        <v>B2B</v>
      </c>
      <c r="G102">
        <v>150</v>
      </c>
      <c r="H102" s="7">
        <v>37.979999999999997</v>
      </c>
      <c r="I1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2" s="9">
        <f>Client_churn3[[#This Row],[Facture_Mensuelle]]*Client_churn3[[#This Row],[Remise Client]]</f>
        <v>3.798</v>
      </c>
      <c r="K102">
        <v>4</v>
      </c>
      <c r="L102"/>
    </row>
    <row r="103" spans="1:12" x14ac:dyDescent="0.25">
      <c r="A103">
        <f t="shared" si="1"/>
        <v>102</v>
      </c>
      <c r="B103" t="s">
        <v>872</v>
      </c>
      <c r="C103" t="s">
        <v>778</v>
      </c>
      <c r="D103">
        <v>52</v>
      </c>
      <c r="E103" t="s">
        <v>746</v>
      </c>
      <c r="F103" t="str">
        <f>IF(Client_churn3[[#This Row],[Type_Forfait]]= "Pro Monde", "B2B", "B2C")</f>
        <v>B2B</v>
      </c>
      <c r="G103">
        <v>234</v>
      </c>
      <c r="H103" s="7">
        <v>62.87</v>
      </c>
      <c r="I1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3" s="9">
        <f>Client_churn3[[#This Row],[Facture_Mensuelle]]*Client_churn3[[#This Row],[Remise Client]]</f>
        <v>6.2869999999999999</v>
      </c>
      <c r="K103">
        <v>0</v>
      </c>
      <c r="L103"/>
    </row>
    <row r="104" spans="1:12" x14ac:dyDescent="0.25">
      <c r="A104">
        <f t="shared" si="1"/>
        <v>103</v>
      </c>
      <c r="B104" t="s">
        <v>873</v>
      </c>
      <c r="C104" t="s">
        <v>785</v>
      </c>
      <c r="D104">
        <v>113</v>
      </c>
      <c r="E104" t="s">
        <v>749</v>
      </c>
      <c r="F104" t="str">
        <f>IF(Client_churn3[[#This Row],[Type_Forfait]]= "Pro Monde", "B2B", "B2C")</f>
        <v>B2C</v>
      </c>
      <c r="G104">
        <v>380</v>
      </c>
      <c r="H104" s="7">
        <v>12.11</v>
      </c>
      <c r="I1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04" s="9">
        <f>Client_churn3[[#This Row],[Facture_Mensuelle]]*Client_churn3[[#This Row],[Remise Client]]</f>
        <v>5.4494999999999996</v>
      </c>
      <c r="K104">
        <v>0</v>
      </c>
      <c r="L104"/>
    </row>
    <row r="105" spans="1:12" x14ac:dyDescent="0.25">
      <c r="A105">
        <f t="shared" si="1"/>
        <v>104</v>
      </c>
      <c r="B105" t="s">
        <v>874</v>
      </c>
      <c r="C105" t="s">
        <v>796</v>
      </c>
      <c r="D105">
        <v>21</v>
      </c>
      <c r="E105" t="s">
        <v>755</v>
      </c>
      <c r="F105" t="str">
        <f>IF(Client_churn3[[#This Row],[Type_Forfait]]= "Pro Monde", "B2B", "B2C")</f>
        <v>B2C</v>
      </c>
      <c r="G105">
        <v>371</v>
      </c>
      <c r="H105" s="7">
        <v>48.31</v>
      </c>
      <c r="I1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05" s="9">
        <f>Client_churn3[[#This Row],[Facture_Mensuelle]]*Client_churn3[[#This Row],[Remise Client]]</f>
        <v>21.739500000000003</v>
      </c>
      <c r="K105">
        <v>0</v>
      </c>
      <c r="L105"/>
    </row>
    <row r="106" spans="1:12" x14ac:dyDescent="0.25">
      <c r="A106">
        <f t="shared" si="1"/>
        <v>105</v>
      </c>
      <c r="B106" t="s">
        <v>875</v>
      </c>
      <c r="C106" t="s">
        <v>745</v>
      </c>
      <c r="D106">
        <v>7</v>
      </c>
      <c r="E106" t="s">
        <v>746</v>
      </c>
      <c r="F106" t="str">
        <f>IF(Client_churn3[[#This Row],[Type_Forfait]]= "Pro Monde", "B2B", "B2C")</f>
        <v>B2B</v>
      </c>
      <c r="G106">
        <v>347</v>
      </c>
      <c r="H106" s="7">
        <v>41.84</v>
      </c>
      <c r="I1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6" s="9">
        <f>Client_churn3[[#This Row],[Facture_Mensuelle]]*Client_churn3[[#This Row],[Remise Client]]</f>
        <v>4.1840000000000002</v>
      </c>
      <c r="K106">
        <v>2</v>
      </c>
      <c r="L106"/>
    </row>
    <row r="107" spans="1:12" x14ac:dyDescent="0.25">
      <c r="A107">
        <f t="shared" si="1"/>
        <v>106</v>
      </c>
      <c r="B107" t="s">
        <v>876</v>
      </c>
      <c r="C107" t="s">
        <v>809</v>
      </c>
      <c r="D107">
        <v>102</v>
      </c>
      <c r="E107" t="s">
        <v>746</v>
      </c>
      <c r="F107" t="str">
        <f>IF(Client_churn3[[#This Row],[Type_Forfait]]= "Pro Monde", "B2B", "B2C")</f>
        <v>B2B</v>
      </c>
      <c r="G107">
        <v>283</v>
      </c>
      <c r="H107" s="7">
        <v>28.98</v>
      </c>
      <c r="I1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7" s="9">
        <f>Client_churn3[[#This Row],[Facture_Mensuelle]]*Client_churn3[[#This Row],[Remise Client]]</f>
        <v>2.8980000000000001</v>
      </c>
      <c r="K107">
        <v>3</v>
      </c>
      <c r="L107"/>
    </row>
    <row r="108" spans="1:12" x14ac:dyDescent="0.25">
      <c r="A108">
        <f t="shared" si="1"/>
        <v>107</v>
      </c>
      <c r="B108" t="s">
        <v>877</v>
      </c>
      <c r="C108" t="s">
        <v>785</v>
      </c>
      <c r="D108">
        <v>87</v>
      </c>
      <c r="E108" t="s">
        <v>746</v>
      </c>
      <c r="F108" t="str">
        <f>IF(Client_churn3[[#This Row],[Type_Forfait]]= "Pro Monde", "B2B", "B2C")</f>
        <v>B2B</v>
      </c>
      <c r="G108">
        <v>450</v>
      </c>
      <c r="H108" s="7">
        <v>64.3</v>
      </c>
      <c r="I1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08" s="9">
        <f>Client_churn3[[#This Row],[Facture_Mensuelle]]*Client_churn3[[#This Row],[Remise Client]]</f>
        <v>6.43</v>
      </c>
      <c r="K108">
        <v>2</v>
      </c>
      <c r="L108"/>
    </row>
    <row r="109" spans="1:12" x14ac:dyDescent="0.25">
      <c r="A109">
        <f t="shared" si="1"/>
        <v>108</v>
      </c>
      <c r="B109" t="s">
        <v>878</v>
      </c>
      <c r="C109" t="s">
        <v>760</v>
      </c>
      <c r="D109">
        <v>76</v>
      </c>
      <c r="E109" t="s">
        <v>755</v>
      </c>
      <c r="F109" t="str">
        <f>IF(Client_churn3[[#This Row],[Type_Forfait]]= "Pro Monde", "B2B", "B2C")</f>
        <v>B2C</v>
      </c>
      <c r="G109">
        <v>413</v>
      </c>
      <c r="H109" s="7">
        <v>28.39</v>
      </c>
      <c r="I1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09" s="9">
        <f>Client_churn3[[#This Row],[Facture_Mensuelle]]*Client_churn3[[#This Row],[Remise Client]]</f>
        <v>12.775500000000001</v>
      </c>
      <c r="K109">
        <v>3</v>
      </c>
      <c r="L109"/>
    </row>
    <row r="110" spans="1:12" x14ac:dyDescent="0.25">
      <c r="A110">
        <f t="shared" si="1"/>
        <v>109</v>
      </c>
      <c r="B110" t="s">
        <v>879</v>
      </c>
      <c r="C110" t="s">
        <v>748</v>
      </c>
      <c r="D110">
        <v>2</v>
      </c>
      <c r="E110" t="s">
        <v>746</v>
      </c>
      <c r="F110" t="str">
        <f>IF(Client_churn3[[#This Row],[Type_Forfait]]= "Pro Monde", "B2B", "B2C")</f>
        <v>B2B</v>
      </c>
      <c r="G110">
        <v>496</v>
      </c>
      <c r="H110" s="7">
        <v>15.71</v>
      </c>
      <c r="I1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10" s="9">
        <f>Client_churn3[[#This Row],[Facture_Mensuelle]]*Client_churn3[[#This Row],[Remise Client]]</f>
        <v>1.5710000000000002</v>
      </c>
      <c r="K110">
        <v>3</v>
      </c>
      <c r="L110"/>
    </row>
    <row r="111" spans="1:12" x14ac:dyDescent="0.25">
      <c r="A111">
        <f t="shared" si="1"/>
        <v>110</v>
      </c>
      <c r="B111" t="s">
        <v>880</v>
      </c>
      <c r="C111" t="s">
        <v>766</v>
      </c>
      <c r="D111">
        <v>47</v>
      </c>
      <c r="E111" t="s">
        <v>746</v>
      </c>
      <c r="F111" t="str">
        <f>IF(Client_churn3[[#This Row],[Type_Forfait]]= "Pro Monde", "B2B", "B2C")</f>
        <v>B2B</v>
      </c>
      <c r="G111">
        <v>328</v>
      </c>
      <c r="H111" s="7">
        <v>61.27</v>
      </c>
      <c r="I1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11" s="9">
        <f>Client_churn3[[#This Row],[Facture_Mensuelle]]*Client_churn3[[#This Row],[Remise Client]]</f>
        <v>6.1270000000000007</v>
      </c>
      <c r="K111">
        <v>3</v>
      </c>
      <c r="L111"/>
    </row>
    <row r="112" spans="1:12" x14ac:dyDescent="0.25">
      <c r="A112">
        <f t="shared" si="1"/>
        <v>111</v>
      </c>
      <c r="B112" t="s">
        <v>881</v>
      </c>
      <c r="C112" t="s">
        <v>806</v>
      </c>
      <c r="D112">
        <v>37</v>
      </c>
      <c r="E112" t="s">
        <v>749</v>
      </c>
      <c r="F112" t="str">
        <f>IF(Client_churn3[[#This Row],[Type_Forfait]]= "Pro Monde", "B2B", "B2C")</f>
        <v>B2C</v>
      </c>
      <c r="G112">
        <v>151</v>
      </c>
      <c r="H112" s="7">
        <v>62.49</v>
      </c>
      <c r="I1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2" s="9">
        <f>Client_churn3[[#This Row],[Facture_Mensuelle]]*Client_churn3[[#This Row],[Remise Client]]</f>
        <v>0</v>
      </c>
      <c r="K112">
        <v>3</v>
      </c>
      <c r="L112"/>
    </row>
    <row r="113" spans="1:12" x14ac:dyDescent="0.25">
      <c r="A113">
        <f t="shared" si="1"/>
        <v>112</v>
      </c>
      <c r="B113" t="s">
        <v>882</v>
      </c>
      <c r="C113" t="s">
        <v>785</v>
      </c>
      <c r="D113">
        <v>89</v>
      </c>
      <c r="E113" t="s">
        <v>743</v>
      </c>
      <c r="F113" t="str">
        <f>IF(Client_churn3[[#This Row],[Type_Forfait]]= "Pro Monde", "B2B", "B2C")</f>
        <v>B2C</v>
      </c>
      <c r="G113">
        <v>175</v>
      </c>
      <c r="H113" s="7">
        <v>32.369999999999997</v>
      </c>
      <c r="I1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3" s="9">
        <f>Client_churn3[[#This Row],[Facture_Mensuelle]]*Client_churn3[[#This Row],[Remise Client]]</f>
        <v>0</v>
      </c>
      <c r="K113">
        <v>1</v>
      </c>
      <c r="L113"/>
    </row>
    <row r="114" spans="1:12" x14ac:dyDescent="0.25">
      <c r="A114">
        <f t="shared" si="1"/>
        <v>113</v>
      </c>
      <c r="B114" t="s">
        <v>883</v>
      </c>
      <c r="C114" t="s">
        <v>785</v>
      </c>
      <c r="D114">
        <v>6</v>
      </c>
      <c r="E114" t="s">
        <v>755</v>
      </c>
      <c r="F114" t="str">
        <f>IF(Client_churn3[[#This Row],[Type_Forfait]]= "Pro Monde", "B2B", "B2C")</f>
        <v>B2C</v>
      </c>
      <c r="G114">
        <v>362</v>
      </c>
      <c r="H114" s="7">
        <v>75.739999999999995</v>
      </c>
      <c r="I1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14" s="9">
        <f>Client_churn3[[#This Row],[Facture_Mensuelle]]*Client_churn3[[#This Row],[Remise Client]]</f>
        <v>34.082999999999998</v>
      </c>
      <c r="K114">
        <v>4</v>
      </c>
      <c r="L114"/>
    </row>
    <row r="115" spans="1:12" x14ac:dyDescent="0.25">
      <c r="A115">
        <f t="shared" si="1"/>
        <v>114</v>
      </c>
      <c r="B115" t="s">
        <v>884</v>
      </c>
      <c r="C115" t="s">
        <v>745</v>
      </c>
      <c r="D115">
        <v>113</v>
      </c>
      <c r="E115" t="s">
        <v>755</v>
      </c>
      <c r="F115" t="str">
        <f>IF(Client_churn3[[#This Row],[Type_Forfait]]= "Pro Monde", "B2B", "B2C")</f>
        <v>B2C</v>
      </c>
      <c r="G115">
        <v>49</v>
      </c>
      <c r="H115" s="7">
        <v>48.91</v>
      </c>
      <c r="I1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5" s="9">
        <f>Client_churn3[[#This Row],[Facture_Mensuelle]]*Client_churn3[[#This Row],[Remise Client]]</f>
        <v>0</v>
      </c>
      <c r="K115">
        <v>5</v>
      </c>
      <c r="L115"/>
    </row>
    <row r="116" spans="1:12" x14ac:dyDescent="0.25">
      <c r="A116">
        <f t="shared" si="1"/>
        <v>115</v>
      </c>
      <c r="B116" t="s">
        <v>885</v>
      </c>
      <c r="C116" t="s">
        <v>778</v>
      </c>
      <c r="D116">
        <v>20</v>
      </c>
      <c r="E116" t="s">
        <v>746</v>
      </c>
      <c r="F116" t="str">
        <f>IF(Client_churn3[[#This Row],[Type_Forfait]]= "Pro Monde", "B2B", "B2C")</f>
        <v>B2B</v>
      </c>
      <c r="G116">
        <v>93</v>
      </c>
      <c r="H116" s="7">
        <v>84.45</v>
      </c>
      <c r="I1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16" s="9">
        <f>Client_churn3[[#This Row],[Facture_Mensuelle]]*Client_churn3[[#This Row],[Remise Client]]</f>
        <v>8.4450000000000003</v>
      </c>
      <c r="K116">
        <v>0</v>
      </c>
      <c r="L116"/>
    </row>
    <row r="117" spans="1:12" x14ac:dyDescent="0.25">
      <c r="A117">
        <f t="shared" si="1"/>
        <v>116</v>
      </c>
      <c r="B117" t="s">
        <v>886</v>
      </c>
      <c r="C117" t="s">
        <v>785</v>
      </c>
      <c r="D117">
        <v>37</v>
      </c>
      <c r="E117" t="s">
        <v>755</v>
      </c>
      <c r="F117" t="str">
        <f>IF(Client_churn3[[#This Row],[Type_Forfait]]= "Pro Monde", "B2B", "B2C")</f>
        <v>B2C</v>
      </c>
      <c r="G117">
        <v>94</v>
      </c>
      <c r="H117" s="7">
        <v>50.44</v>
      </c>
      <c r="I1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7" s="9">
        <f>Client_churn3[[#This Row],[Facture_Mensuelle]]*Client_churn3[[#This Row],[Remise Client]]</f>
        <v>0</v>
      </c>
      <c r="K117">
        <v>4</v>
      </c>
      <c r="L117"/>
    </row>
    <row r="118" spans="1:12" x14ac:dyDescent="0.25">
      <c r="A118">
        <f t="shared" si="1"/>
        <v>117</v>
      </c>
      <c r="B118" t="s">
        <v>887</v>
      </c>
      <c r="C118" t="s">
        <v>774</v>
      </c>
      <c r="D118">
        <v>67</v>
      </c>
      <c r="E118" t="s">
        <v>749</v>
      </c>
      <c r="F118" t="str">
        <f>IF(Client_churn3[[#This Row],[Type_Forfait]]= "Pro Monde", "B2B", "B2C")</f>
        <v>B2C</v>
      </c>
      <c r="G118">
        <v>81</v>
      </c>
      <c r="H118" s="7">
        <v>28.52</v>
      </c>
      <c r="I1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8" s="9">
        <f>Client_churn3[[#This Row],[Facture_Mensuelle]]*Client_churn3[[#This Row],[Remise Client]]</f>
        <v>0</v>
      </c>
      <c r="K118">
        <v>4</v>
      </c>
      <c r="L118"/>
    </row>
    <row r="119" spans="1:12" x14ac:dyDescent="0.25">
      <c r="A119">
        <f t="shared" si="1"/>
        <v>118</v>
      </c>
      <c r="B119" t="s">
        <v>888</v>
      </c>
      <c r="C119" t="s">
        <v>748</v>
      </c>
      <c r="D119">
        <v>18</v>
      </c>
      <c r="E119" t="s">
        <v>749</v>
      </c>
      <c r="F119" t="str">
        <f>IF(Client_churn3[[#This Row],[Type_Forfait]]= "Pro Monde", "B2B", "B2C")</f>
        <v>B2C</v>
      </c>
      <c r="G119">
        <v>34</v>
      </c>
      <c r="H119" s="7">
        <v>43.71</v>
      </c>
      <c r="I1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19" s="9">
        <f>Client_churn3[[#This Row],[Facture_Mensuelle]]*Client_churn3[[#This Row],[Remise Client]]</f>
        <v>0</v>
      </c>
      <c r="K119">
        <v>1</v>
      </c>
      <c r="L119"/>
    </row>
    <row r="120" spans="1:12" x14ac:dyDescent="0.25">
      <c r="A120">
        <f t="shared" si="1"/>
        <v>119</v>
      </c>
      <c r="B120" t="s">
        <v>889</v>
      </c>
      <c r="C120" t="s">
        <v>780</v>
      </c>
      <c r="D120">
        <v>6</v>
      </c>
      <c r="E120" t="s">
        <v>749</v>
      </c>
      <c r="F120" t="str">
        <f>IF(Client_churn3[[#This Row],[Type_Forfait]]= "Pro Monde", "B2B", "B2C")</f>
        <v>B2C</v>
      </c>
      <c r="G120">
        <v>155</v>
      </c>
      <c r="H120" s="7">
        <v>40.659999999999997</v>
      </c>
      <c r="I1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20" s="9">
        <f>Client_churn3[[#This Row],[Facture_Mensuelle]]*Client_churn3[[#This Row],[Remise Client]]</f>
        <v>0</v>
      </c>
      <c r="K120">
        <v>1</v>
      </c>
      <c r="L120"/>
    </row>
    <row r="121" spans="1:12" x14ac:dyDescent="0.25">
      <c r="A121">
        <f t="shared" si="1"/>
        <v>120</v>
      </c>
      <c r="B121" t="s">
        <v>890</v>
      </c>
      <c r="C121" t="s">
        <v>768</v>
      </c>
      <c r="D121">
        <v>92</v>
      </c>
      <c r="E121" t="s">
        <v>746</v>
      </c>
      <c r="F121" t="str">
        <f>IF(Client_churn3[[#This Row],[Type_Forfait]]= "Pro Monde", "B2B", "B2C")</f>
        <v>B2B</v>
      </c>
      <c r="G121">
        <v>487</v>
      </c>
      <c r="H121" s="7">
        <v>58.38</v>
      </c>
      <c r="I1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21" s="9">
        <f>Client_churn3[[#This Row],[Facture_Mensuelle]]*Client_churn3[[#This Row],[Remise Client]]</f>
        <v>5.838000000000001</v>
      </c>
      <c r="K121">
        <v>1</v>
      </c>
      <c r="L121"/>
    </row>
    <row r="122" spans="1:12" x14ac:dyDescent="0.25">
      <c r="A122">
        <f t="shared" si="1"/>
        <v>121</v>
      </c>
      <c r="B122" t="s">
        <v>891</v>
      </c>
      <c r="C122" t="s">
        <v>745</v>
      </c>
      <c r="D122">
        <v>57</v>
      </c>
      <c r="E122" t="s">
        <v>755</v>
      </c>
      <c r="F122" t="str">
        <f>IF(Client_churn3[[#This Row],[Type_Forfait]]= "Pro Monde", "B2B", "B2C")</f>
        <v>B2C</v>
      </c>
      <c r="G122">
        <v>36</v>
      </c>
      <c r="H122" s="7">
        <v>82.7</v>
      </c>
      <c r="I1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22" s="9">
        <f>Client_churn3[[#This Row],[Facture_Mensuelle]]*Client_churn3[[#This Row],[Remise Client]]</f>
        <v>0</v>
      </c>
      <c r="K122">
        <v>2</v>
      </c>
      <c r="L122"/>
    </row>
    <row r="123" spans="1:12" x14ac:dyDescent="0.25">
      <c r="A123">
        <f t="shared" si="1"/>
        <v>122</v>
      </c>
      <c r="B123" t="s">
        <v>892</v>
      </c>
      <c r="C123" t="s">
        <v>893</v>
      </c>
      <c r="D123">
        <v>16</v>
      </c>
      <c r="E123" t="s">
        <v>746</v>
      </c>
      <c r="F123" t="str">
        <f>IF(Client_churn3[[#This Row],[Type_Forfait]]= "Pro Monde", "B2B", "B2C")</f>
        <v>B2B</v>
      </c>
      <c r="G123">
        <v>214</v>
      </c>
      <c r="H123" s="7">
        <v>46.57</v>
      </c>
      <c r="I1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23" s="9">
        <f>Client_churn3[[#This Row],[Facture_Mensuelle]]*Client_churn3[[#This Row],[Remise Client]]</f>
        <v>4.657</v>
      </c>
      <c r="K123">
        <v>5</v>
      </c>
      <c r="L123"/>
    </row>
    <row r="124" spans="1:12" x14ac:dyDescent="0.25">
      <c r="A124">
        <f t="shared" si="1"/>
        <v>123</v>
      </c>
      <c r="B124" t="s">
        <v>894</v>
      </c>
      <c r="C124" t="s">
        <v>794</v>
      </c>
      <c r="D124">
        <v>24</v>
      </c>
      <c r="E124" t="s">
        <v>746</v>
      </c>
      <c r="F124" t="str">
        <f>IF(Client_churn3[[#This Row],[Type_Forfait]]= "Pro Monde", "B2B", "B2C")</f>
        <v>B2B</v>
      </c>
      <c r="G124">
        <v>23</v>
      </c>
      <c r="H124" s="7">
        <v>28.55</v>
      </c>
      <c r="I1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24" s="9">
        <f>Client_churn3[[#This Row],[Facture_Mensuelle]]*Client_churn3[[#This Row],[Remise Client]]</f>
        <v>2.8550000000000004</v>
      </c>
      <c r="K124">
        <v>1</v>
      </c>
      <c r="L124"/>
    </row>
    <row r="125" spans="1:12" x14ac:dyDescent="0.25">
      <c r="A125">
        <f t="shared" si="1"/>
        <v>124</v>
      </c>
      <c r="B125" t="s">
        <v>895</v>
      </c>
      <c r="C125" t="s">
        <v>780</v>
      </c>
      <c r="D125">
        <v>32</v>
      </c>
      <c r="E125" t="s">
        <v>749</v>
      </c>
      <c r="F125" t="str">
        <f>IF(Client_churn3[[#This Row],[Type_Forfait]]= "Pro Monde", "B2B", "B2C")</f>
        <v>B2C</v>
      </c>
      <c r="G125">
        <v>475</v>
      </c>
      <c r="H125" s="7">
        <v>36.54</v>
      </c>
      <c r="I1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25" s="9">
        <f>Client_churn3[[#This Row],[Facture_Mensuelle]]*Client_churn3[[#This Row],[Remise Client]]</f>
        <v>16.443000000000001</v>
      </c>
      <c r="K125">
        <v>3</v>
      </c>
      <c r="L125"/>
    </row>
    <row r="126" spans="1:12" x14ac:dyDescent="0.25">
      <c r="A126">
        <f t="shared" si="1"/>
        <v>125</v>
      </c>
      <c r="B126" t="s">
        <v>896</v>
      </c>
      <c r="C126" t="s">
        <v>785</v>
      </c>
      <c r="D126">
        <v>45</v>
      </c>
      <c r="E126" t="s">
        <v>746</v>
      </c>
      <c r="F126" t="str">
        <f>IF(Client_churn3[[#This Row],[Type_Forfait]]= "Pro Monde", "B2B", "B2C")</f>
        <v>B2B</v>
      </c>
      <c r="G126">
        <v>304</v>
      </c>
      <c r="H126" s="7">
        <v>65.540000000000006</v>
      </c>
      <c r="I1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26" s="9">
        <f>Client_churn3[[#This Row],[Facture_Mensuelle]]*Client_churn3[[#This Row],[Remise Client]]</f>
        <v>6.5540000000000012</v>
      </c>
      <c r="K126">
        <v>2</v>
      </c>
      <c r="L126"/>
    </row>
    <row r="127" spans="1:12" x14ac:dyDescent="0.25">
      <c r="A127">
        <f t="shared" si="1"/>
        <v>126</v>
      </c>
      <c r="B127" t="s">
        <v>897</v>
      </c>
      <c r="C127" t="s">
        <v>770</v>
      </c>
      <c r="D127">
        <v>24</v>
      </c>
      <c r="E127" t="s">
        <v>743</v>
      </c>
      <c r="F127" t="str">
        <f>IF(Client_churn3[[#This Row],[Type_Forfait]]= "Pro Monde", "B2B", "B2C")</f>
        <v>B2C</v>
      </c>
      <c r="G127">
        <v>13</v>
      </c>
      <c r="H127" s="7">
        <v>89.3</v>
      </c>
      <c r="I1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27" s="9">
        <f>Client_churn3[[#This Row],[Facture_Mensuelle]]*Client_churn3[[#This Row],[Remise Client]]</f>
        <v>0</v>
      </c>
      <c r="K127">
        <v>2</v>
      </c>
      <c r="L127"/>
    </row>
    <row r="128" spans="1:12" x14ac:dyDescent="0.25">
      <c r="A128">
        <f t="shared" si="1"/>
        <v>127</v>
      </c>
      <c r="B128" t="s">
        <v>898</v>
      </c>
      <c r="C128" t="s">
        <v>768</v>
      </c>
      <c r="D128">
        <v>97</v>
      </c>
      <c r="E128" t="s">
        <v>743</v>
      </c>
      <c r="F128" t="str">
        <f>IF(Client_churn3[[#This Row],[Type_Forfait]]= "Pro Monde", "B2B", "B2C")</f>
        <v>B2C</v>
      </c>
      <c r="G128">
        <v>40</v>
      </c>
      <c r="H128" s="7">
        <v>85.19</v>
      </c>
      <c r="I1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28" s="9">
        <f>Client_churn3[[#This Row],[Facture_Mensuelle]]*Client_churn3[[#This Row],[Remise Client]]</f>
        <v>0</v>
      </c>
      <c r="K128">
        <v>1</v>
      </c>
      <c r="L128"/>
    </row>
    <row r="129" spans="1:12" x14ac:dyDescent="0.25">
      <c r="A129">
        <f t="shared" si="1"/>
        <v>128</v>
      </c>
      <c r="B129" t="s">
        <v>899</v>
      </c>
      <c r="C129" t="s">
        <v>766</v>
      </c>
      <c r="D129">
        <v>68</v>
      </c>
      <c r="E129" t="s">
        <v>743</v>
      </c>
      <c r="F129" t="str">
        <f>IF(Client_churn3[[#This Row],[Type_Forfait]]= "Pro Monde", "B2B", "B2C")</f>
        <v>B2C</v>
      </c>
      <c r="G129">
        <v>487</v>
      </c>
      <c r="H129" s="7">
        <v>69.099999999999994</v>
      </c>
      <c r="I1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29" s="9">
        <f>Client_churn3[[#This Row],[Facture_Mensuelle]]*Client_churn3[[#This Row],[Remise Client]]</f>
        <v>31.094999999999999</v>
      </c>
      <c r="K129">
        <v>5</v>
      </c>
      <c r="L129"/>
    </row>
    <row r="130" spans="1:12" x14ac:dyDescent="0.25">
      <c r="A130">
        <f t="shared" si="1"/>
        <v>129</v>
      </c>
      <c r="B130" t="s">
        <v>900</v>
      </c>
      <c r="C130" t="s">
        <v>764</v>
      </c>
      <c r="D130">
        <v>8</v>
      </c>
      <c r="E130" t="s">
        <v>743</v>
      </c>
      <c r="F130" t="str">
        <f>IF(Client_churn3[[#This Row],[Type_Forfait]]= "Pro Monde", "B2B", "B2C")</f>
        <v>B2C</v>
      </c>
      <c r="G130">
        <v>120</v>
      </c>
      <c r="H130" s="7">
        <v>88.29</v>
      </c>
      <c r="I1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30" s="9">
        <f>Client_churn3[[#This Row],[Facture_Mensuelle]]*Client_churn3[[#This Row],[Remise Client]]</f>
        <v>0</v>
      </c>
      <c r="K130">
        <v>5</v>
      </c>
      <c r="L130"/>
    </row>
    <row r="131" spans="1:12" x14ac:dyDescent="0.25">
      <c r="A131">
        <f t="shared" si="1"/>
        <v>130</v>
      </c>
      <c r="B131" t="s">
        <v>901</v>
      </c>
      <c r="C131" t="s">
        <v>774</v>
      </c>
      <c r="D131">
        <v>75</v>
      </c>
      <c r="E131" t="s">
        <v>749</v>
      </c>
      <c r="F131" t="str">
        <f>IF(Client_churn3[[#This Row],[Type_Forfait]]= "Pro Monde", "B2B", "B2C")</f>
        <v>B2C</v>
      </c>
      <c r="G131">
        <v>99</v>
      </c>
      <c r="H131" s="7">
        <v>16.93</v>
      </c>
      <c r="I1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31" s="9">
        <f>Client_churn3[[#This Row],[Facture_Mensuelle]]*Client_churn3[[#This Row],[Remise Client]]</f>
        <v>0</v>
      </c>
      <c r="K131">
        <v>5</v>
      </c>
      <c r="L131"/>
    </row>
    <row r="132" spans="1:12" x14ac:dyDescent="0.25">
      <c r="A132">
        <f t="shared" si="1"/>
        <v>131</v>
      </c>
      <c r="B132" t="s">
        <v>902</v>
      </c>
      <c r="C132" t="s">
        <v>893</v>
      </c>
      <c r="D132">
        <v>22</v>
      </c>
      <c r="E132" t="s">
        <v>755</v>
      </c>
      <c r="F132" t="str">
        <f>IF(Client_churn3[[#This Row],[Type_Forfait]]= "Pro Monde", "B2B", "B2C")</f>
        <v>B2C</v>
      </c>
      <c r="G132">
        <v>166</v>
      </c>
      <c r="H132" s="7">
        <v>31.8</v>
      </c>
      <c r="I1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32" s="9">
        <f>Client_churn3[[#This Row],[Facture_Mensuelle]]*Client_churn3[[#This Row],[Remise Client]]</f>
        <v>0</v>
      </c>
      <c r="K132">
        <v>1</v>
      </c>
      <c r="L132"/>
    </row>
    <row r="133" spans="1:12" x14ac:dyDescent="0.25">
      <c r="A133">
        <f t="shared" ref="A133:A196" si="2">A132+1</f>
        <v>132</v>
      </c>
      <c r="B133" t="s">
        <v>903</v>
      </c>
      <c r="C133" t="s">
        <v>809</v>
      </c>
      <c r="D133">
        <v>91</v>
      </c>
      <c r="E133" t="s">
        <v>743</v>
      </c>
      <c r="F133" t="str">
        <f>IF(Client_churn3[[#This Row],[Type_Forfait]]= "Pro Monde", "B2B", "B2C")</f>
        <v>B2C</v>
      </c>
      <c r="G133">
        <v>300</v>
      </c>
      <c r="H133" s="7">
        <v>82.19</v>
      </c>
      <c r="I1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33" s="9">
        <f>Client_churn3[[#This Row],[Facture_Mensuelle]]*Client_churn3[[#This Row],[Remise Client]]</f>
        <v>36.985500000000002</v>
      </c>
      <c r="K133">
        <v>1</v>
      </c>
      <c r="L133"/>
    </row>
    <row r="134" spans="1:12" x14ac:dyDescent="0.25">
      <c r="A134">
        <f t="shared" si="2"/>
        <v>133</v>
      </c>
      <c r="B134" t="s">
        <v>904</v>
      </c>
      <c r="C134" t="s">
        <v>794</v>
      </c>
      <c r="D134">
        <v>66</v>
      </c>
      <c r="E134" t="s">
        <v>749</v>
      </c>
      <c r="F134" t="str">
        <f>IF(Client_churn3[[#This Row],[Type_Forfait]]= "Pro Monde", "B2B", "B2C")</f>
        <v>B2C</v>
      </c>
      <c r="G134">
        <v>270</v>
      </c>
      <c r="H134" s="7">
        <v>75.88</v>
      </c>
      <c r="I1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34" s="9">
        <f>Client_churn3[[#This Row],[Facture_Mensuelle]]*Client_churn3[[#This Row],[Remise Client]]</f>
        <v>34.146000000000001</v>
      </c>
      <c r="K134">
        <v>3</v>
      </c>
      <c r="L134"/>
    </row>
    <row r="135" spans="1:12" x14ac:dyDescent="0.25">
      <c r="A135">
        <f t="shared" si="2"/>
        <v>134</v>
      </c>
      <c r="B135" t="s">
        <v>905</v>
      </c>
      <c r="C135" t="s">
        <v>842</v>
      </c>
      <c r="D135">
        <v>98</v>
      </c>
      <c r="E135" t="s">
        <v>746</v>
      </c>
      <c r="F135" t="str">
        <f>IF(Client_churn3[[#This Row],[Type_Forfait]]= "Pro Monde", "B2B", "B2C")</f>
        <v>B2B</v>
      </c>
      <c r="G135">
        <v>41</v>
      </c>
      <c r="H135" s="7">
        <v>23.55</v>
      </c>
      <c r="I1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35" s="9">
        <f>Client_churn3[[#This Row],[Facture_Mensuelle]]*Client_churn3[[#This Row],[Remise Client]]</f>
        <v>2.355</v>
      </c>
      <c r="K135">
        <v>1</v>
      </c>
      <c r="L135"/>
    </row>
    <row r="136" spans="1:12" x14ac:dyDescent="0.25">
      <c r="A136">
        <f t="shared" si="2"/>
        <v>135</v>
      </c>
      <c r="B136" t="s">
        <v>906</v>
      </c>
      <c r="C136" t="s">
        <v>785</v>
      </c>
      <c r="D136">
        <v>63</v>
      </c>
      <c r="E136" t="s">
        <v>743</v>
      </c>
      <c r="F136" t="str">
        <f>IF(Client_churn3[[#This Row],[Type_Forfait]]= "Pro Monde", "B2B", "B2C")</f>
        <v>B2C</v>
      </c>
      <c r="G136">
        <v>263</v>
      </c>
      <c r="H136" s="7">
        <v>53.87</v>
      </c>
      <c r="I1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36" s="9">
        <f>Client_churn3[[#This Row],[Facture_Mensuelle]]*Client_churn3[[#This Row],[Remise Client]]</f>
        <v>24.241499999999998</v>
      </c>
      <c r="K136">
        <v>4</v>
      </c>
      <c r="L136"/>
    </row>
    <row r="137" spans="1:12" x14ac:dyDescent="0.25">
      <c r="A137">
        <f t="shared" si="2"/>
        <v>136</v>
      </c>
      <c r="B137" t="s">
        <v>907</v>
      </c>
      <c r="C137" t="s">
        <v>754</v>
      </c>
      <c r="D137">
        <v>29</v>
      </c>
      <c r="E137" t="s">
        <v>743</v>
      </c>
      <c r="F137" t="str">
        <f>IF(Client_churn3[[#This Row],[Type_Forfait]]= "Pro Monde", "B2B", "B2C")</f>
        <v>B2C</v>
      </c>
      <c r="G137">
        <v>173</v>
      </c>
      <c r="H137" s="7">
        <v>49.03</v>
      </c>
      <c r="I1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37" s="9">
        <f>Client_churn3[[#This Row],[Facture_Mensuelle]]*Client_churn3[[#This Row],[Remise Client]]</f>
        <v>0</v>
      </c>
      <c r="K137">
        <v>3</v>
      </c>
      <c r="L137"/>
    </row>
    <row r="138" spans="1:12" x14ac:dyDescent="0.25">
      <c r="A138">
        <f t="shared" si="2"/>
        <v>137</v>
      </c>
      <c r="B138" t="s">
        <v>908</v>
      </c>
      <c r="C138" t="s">
        <v>893</v>
      </c>
      <c r="D138">
        <v>83</v>
      </c>
      <c r="E138" t="s">
        <v>749</v>
      </c>
      <c r="F138" t="str">
        <f>IF(Client_churn3[[#This Row],[Type_Forfait]]= "Pro Monde", "B2B", "B2C")</f>
        <v>B2C</v>
      </c>
      <c r="G138">
        <v>30</v>
      </c>
      <c r="H138" s="7">
        <v>33.93</v>
      </c>
      <c r="I1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38" s="9">
        <f>Client_churn3[[#This Row],[Facture_Mensuelle]]*Client_churn3[[#This Row],[Remise Client]]</f>
        <v>0</v>
      </c>
      <c r="K138">
        <v>3</v>
      </c>
      <c r="L138"/>
    </row>
    <row r="139" spans="1:12" x14ac:dyDescent="0.25">
      <c r="A139">
        <f t="shared" si="2"/>
        <v>138</v>
      </c>
      <c r="B139" t="s">
        <v>909</v>
      </c>
      <c r="C139" t="s">
        <v>748</v>
      </c>
      <c r="D139">
        <v>105</v>
      </c>
      <c r="E139" t="s">
        <v>749</v>
      </c>
      <c r="F139" t="str">
        <f>IF(Client_churn3[[#This Row],[Type_Forfait]]= "Pro Monde", "B2B", "B2C")</f>
        <v>B2C</v>
      </c>
      <c r="G139">
        <v>271</v>
      </c>
      <c r="H139" s="7">
        <v>45.27</v>
      </c>
      <c r="I1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39" s="9">
        <f>Client_churn3[[#This Row],[Facture_Mensuelle]]*Client_churn3[[#This Row],[Remise Client]]</f>
        <v>20.371500000000001</v>
      </c>
      <c r="K139">
        <v>2</v>
      </c>
      <c r="L139"/>
    </row>
    <row r="140" spans="1:12" x14ac:dyDescent="0.25">
      <c r="A140">
        <f t="shared" si="2"/>
        <v>139</v>
      </c>
      <c r="B140" t="s">
        <v>910</v>
      </c>
      <c r="C140" t="s">
        <v>768</v>
      </c>
      <c r="D140">
        <v>117</v>
      </c>
      <c r="E140" t="s">
        <v>755</v>
      </c>
      <c r="F140" t="str">
        <f>IF(Client_churn3[[#This Row],[Type_Forfait]]= "Pro Monde", "B2B", "B2C")</f>
        <v>B2C</v>
      </c>
      <c r="G140">
        <v>282</v>
      </c>
      <c r="H140" s="7">
        <v>95.11</v>
      </c>
      <c r="I1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40" s="9">
        <f>Client_churn3[[#This Row],[Facture_Mensuelle]]*Client_churn3[[#This Row],[Remise Client]]</f>
        <v>42.799500000000002</v>
      </c>
      <c r="K140">
        <v>0</v>
      </c>
      <c r="L140"/>
    </row>
    <row r="141" spans="1:12" x14ac:dyDescent="0.25">
      <c r="A141">
        <f t="shared" si="2"/>
        <v>140</v>
      </c>
      <c r="B141" t="s">
        <v>911</v>
      </c>
      <c r="C141" t="s">
        <v>754</v>
      </c>
      <c r="D141">
        <v>96</v>
      </c>
      <c r="E141" t="s">
        <v>755</v>
      </c>
      <c r="F141" t="str">
        <f>IF(Client_churn3[[#This Row],[Type_Forfait]]= "Pro Monde", "B2B", "B2C")</f>
        <v>B2C</v>
      </c>
      <c r="G141">
        <v>334</v>
      </c>
      <c r="H141" s="7">
        <v>64.77</v>
      </c>
      <c r="I1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41" s="9">
        <f>Client_churn3[[#This Row],[Facture_Mensuelle]]*Client_churn3[[#This Row],[Remise Client]]</f>
        <v>29.1465</v>
      </c>
      <c r="K141">
        <v>0</v>
      </c>
      <c r="L141"/>
    </row>
    <row r="142" spans="1:12" x14ac:dyDescent="0.25">
      <c r="A142">
        <f t="shared" si="2"/>
        <v>141</v>
      </c>
      <c r="B142" t="s">
        <v>912</v>
      </c>
      <c r="C142" t="s">
        <v>893</v>
      </c>
      <c r="D142">
        <v>34</v>
      </c>
      <c r="E142" t="s">
        <v>755</v>
      </c>
      <c r="F142" t="str">
        <f>IF(Client_churn3[[#This Row],[Type_Forfait]]= "Pro Monde", "B2B", "B2C")</f>
        <v>B2C</v>
      </c>
      <c r="G142">
        <v>170</v>
      </c>
      <c r="H142" s="7">
        <v>91.6</v>
      </c>
      <c r="I1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42" s="9">
        <f>Client_churn3[[#This Row],[Facture_Mensuelle]]*Client_churn3[[#This Row],[Remise Client]]</f>
        <v>0</v>
      </c>
      <c r="K142">
        <v>2</v>
      </c>
      <c r="L142"/>
    </row>
    <row r="143" spans="1:12" x14ac:dyDescent="0.25">
      <c r="A143">
        <f t="shared" si="2"/>
        <v>142</v>
      </c>
      <c r="B143" t="s">
        <v>913</v>
      </c>
      <c r="C143" t="s">
        <v>782</v>
      </c>
      <c r="D143">
        <v>7</v>
      </c>
      <c r="E143" t="s">
        <v>746</v>
      </c>
      <c r="F143" t="str">
        <f>IF(Client_churn3[[#This Row],[Type_Forfait]]= "Pro Monde", "B2B", "B2C")</f>
        <v>B2B</v>
      </c>
      <c r="G143">
        <v>323</v>
      </c>
      <c r="H143" s="7">
        <v>82.81</v>
      </c>
      <c r="I1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43" s="9">
        <f>Client_churn3[[#This Row],[Facture_Mensuelle]]*Client_churn3[[#This Row],[Remise Client]]</f>
        <v>8.2810000000000006</v>
      </c>
      <c r="K143">
        <v>5</v>
      </c>
      <c r="L143"/>
    </row>
    <row r="144" spans="1:12" x14ac:dyDescent="0.25">
      <c r="A144">
        <f t="shared" si="2"/>
        <v>143</v>
      </c>
      <c r="B144" t="s">
        <v>914</v>
      </c>
      <c r="C144" t="s">
        <v>799</v>
      </c>
      <c r="D144">
        <v>39</v>
      </c>
      <c r="E144" t="s">
        <v>755</v>
      </c>
      <c r="F144" t="str">
        <f>IF(Client_churn3[[#This Row],[Type_Forfait]]= "Pro Monde", "B2B", "B2C")</f>
        <v>B2C</v>
      </c>
      <c r="G144">
        <v>220</v>
      </c>
      <c r="H144" s="7">
        <v>52.91</v>
      </c>
      <c r="I1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44" s="9">
        <f>Client_churn3[[#This Row],[Facture_Mensuelle]]*Client_churn3[[#This Row],[Remise Client]]</f>
        <v>0</v>
      </c>
      <c r="K144">
        <v>0</v>
      </c>
      <c r="L144"/>
    </row>
    <row r="145" spans="1:12" x14ac:dyDescent="0.25">
      <c r="A145">
        <f t="shared" si="2"/>
        <v>144</v>
      </c>
      <c r="B145" t="s">
        <v>915</v>
      </c>
      <c r="C145" t="s">
        <v>796</v>
      </c>
      <c r="D145">
        <v>59</v>
      </c>
      <c r="E145" t="s">
        <v>749</v>
      </c>
      <c r="F145" t="str">
        <f>IF(Client_churn3[[#This Row],[Type_Forfait]]= "Pro Monde", "B2B", "B2C")</f>
        <v>B2C</v>
      </c>
      <c r="G145">
        <v>64</v>
      </c>
      <c r="H145" s="7">
        <v>20.32</v>
      </c>
      <c r="I1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45" s="9">
        <f>Client_churn3[[#This Row],[Facture_Mensuelle]]*Client_churn3[[#This Row],[Remise Client]]</f>
        <v>0</v>
      </c>
      <c r="K145">
        <v>0</v>
      </c>
      <c r="L145"/>
    </row>
    <row r="146" spans="1:12" x14ac:dyDescent="0.25">
      <c r="A146">
        <f t="shared" si="2"/>
        <v>145</v>
      </c>
      <c r="B146" t="s">
        <v>916</v>
      </c>
      <c r="C146" t="s">
        <v>794</v>
      </c>
      <c r="D146">
        <v>28</v>
      </c>
      <c r="E146" t="s">
        <v>749</v>
      </c>
      <c r="F146" t="str">
        <f>IF(Client_churn3[[#This Row],[Type_Forfait]]= "Pro Monde", "B2B", "B2C")</f>
        <v>B2C</v>
      </c>
      <c r="G146">
        <v>112</v>
      </c>
      <c r="H146" s="7">
        <v>94.51</v>
      </c>
      <c r="I1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46" s="9">
        <f>Client_churn3[[#This Row],[Facture_Mensuelle]]*Client_churn3[[#This Row],[Remise Client]]</f>
        <v>0</v>
      </c>
      <c r="K146">
        <v>3</v>
      </c>
      <c r="L146"/>
    </row>
    <row r="147" spans="1:12" x14ac:dyDescent="0.25">
      <c r="A147">
        <f t="shared" si="2"/>
        <v>146</v>
      </c>
      <c r="B147" t="s">
        <v>917</v>
      </c>
      <c r="C147" t="s">
        <v>754</v>
      </c>
      <c r="D147">
        <v>78</v>
      </c>
      <c r="E147" t="s">
        <v>755</v>
      </c>
      <c r="F147" t="str">
        <f>IF(Client_churn3[[#This Row],[Type_Forfait]]= "Pro Monde", "B2B", "B2C")</f>
        <v>B2C</v>
      </c>
      <c r="G147">
        <v>263</v>
      </c>
      <c r="H147" s="7">
        <v>53.58</v>
      </c>
      <c r="I1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47" s="9">
        <f>Client_churn3[[#This Row],[Facture_Mensuelle]]*Client_churn3[[#This Row],[Remise Client]]</f>
        <v>24.111000000000001</v>
      </c>
      <c r="K147">
        <v>5</v>
      </c>
      <c r="L147"/>
    </row>
    <row r="148" spans="1:12" x14ac:dyDescent="0.25">
      <c r="A148">
        <f t="shared" si="2"/>
        <v>147</v>
      </c>
      <c r="B148" t="s">
        <v>918</v>
      </c>
      <c r="C148" t="s">
        <v>768</v>
      </c>
      <c r="D148">
        <v>4</v>
      </c>
      <c r="E148" t="s">
        <v>746</v>
      </c>
      <c r="F148" t="str">
        <f>IF(Client_churn3[[#This Row],[Type_Forfait]]= "Pro Monde", "B2B", "B2C")</f>
        <v>B2B</v>
      </c>
      <c r="G148">
        <v>49</v>
      </c>
      <c r="H148" s="7">
        <v>41.35</v>
      </c>
      <c r="I1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48" s="9">
        <f>Client_churn3[[#This Row],[Facture_Mensuelle]]*Client_churn3[[#This Row],[Remise Client]]</f>
        <v>4.1350000000000007</v>
      </c>
      <c r="K148">
        <v>5</v>
      </c>
      <c r="L148"/>
    </row>
    <row r="149" spans="1:12" x14ac:dyDescent="0.25">
      <c r="A149">
        <f t="shared" si="2"/>
        <v>148</v>
      </c>
      <c r="B149" t="s">
        <v>919</v>
      </c>
      <c r="C149" t="s">
        <v>760</v>
      </c>
      <c r="D149">
        <v>37</v>
      </c>
      <c r="E149" t="s">
        <v>755</v>
      </c>
      <c r="F149" t="str">
        <f>IF(Client_churn3[[#This Row],[Type_Forfait]]= "Pro Monde", "B2B", "B2C")</f>
        <v>B2C</v>
      </c>
      <c r="G149">
        <v>213</v>
      </c>
      <c r="H149" s="7">
        <v>14.12</v>
      </c>
      <c r="I1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49" s="9">
        <f>Client_churn3[[#This Row],[Facture_Mensuelle]]*Client_churn3[[#This Row],[Remise Client]]</f>
        <v>0</v>
      </c>
      <c r="K149">
        <v>1</v>
      </c>
      <c r="L149"/>
    </row>
    <row r="150" spans="1:12" x14ac:dyDescent="0.25">
      <c r="A150">
        <f t="shared" si="2"/>
        <v>149</v>
      </c>
      <c r="B150" t="s">
        <v>920</v>
      </c>
      <c r="C150" t="s">
        <v>802</v>
      </c>
      <c r="D150">
        <v>48</v>
      </c>
      <c r="E150" t="s">
        <v>755</v>
      </c>
      <c r="F150" t="str">
        <f>IF(Client_churn3[[#This Row],[Type_Forfait]]= "Pro Monde", "B2B", "B2C")</f>
        <v>B2C</v>
      </c>
      <c r="G150">
        <v>416</v>
      </c>
      <c r="H150" s="7">
        <v>81.260000000000005</v>
      </c>
      <c r="I1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50" s="9">
        <f>Client_churn3[[#This Row],[Facture_Mensuelle]]*Client_churn3[[#This Row],[Remise Client]]</f>
        <v>36.567</v>
      </c>
      <c r="K150">
        <v>5</v>
      </c>
      <c r="L150"/>
    </row>
    <row r="151" spans="1:12" x14ac:dyDescent="0.25">
      <c r="A151">
        <f t="shared" si="2"/>
        <v>150</v>
      </c>
      <c r="B151" t="s">
        <v>921</v>
      </c>
      <c r="C151" t="s">
        <v>745</v>
      </c>
      <c r="D151">
        <v>51</v>
      </c>
      <c r="E151" t="s">
        <v>746</v>
      </c>
      <c r="F151" t="str">
        <f>IF(Client_churn3[[#This Row],[Type_Forfait]]= "Pro Monde", "B2B", "B2C")</f>
        <v>B2B</v>
      </c>
      <c r="G151">
        <v>336</v>
      </c>
      <c r="H151" s="7">
        <v>65.47</v>
      </c>
      <c r="I1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51" s="9">
        <f>Client_churn3[[#This Row],[Facture_Mensuelle]]*Client_churn3[[#This Row],[Remise Client]]</f>
        <v>6.5470000000000006</v>
      </c>
      <c r="K151">
        <v>1</v>
      </c>
      <c r="L151"/>
    </row>
    <row r="152" spans="1:12" x14ac:dyDescent="0.25">
      <c r="A152">
        <f t="shared" si="2"/>
        <v>151</v>
      </c>
      <c r="B152" t="s">
        <v>922</v>
      </c>
      <c r="C152" t="s">
        <v>842</v>
      </c>
      <c r="D152">
        <v>20</v>
      </c>
      <c r="E152" t="s">
        <v>746</v>
      </c>
      <c r="F152" t="str">
        <f>IF(Client_churn3[[#This Row],[Type_Forfait]]= "Pro Monde", "B2B", "B2C")</f>
        <v>B2B</v>
      </c>
      <c r="G152">
        <v>31</v>
      </c>
      <c r="H152" s="7">
        <v>52.85</v>
      </c>
      <c r="I1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52" s="9">
        <f>Client_churn3[[#This Row],[Facture_Mensuelle]]*Client_churn3[[#This Row],[Remise Client]]</f>
        <v>5.2850000000000001</v>
      </c>
      <c r="K152">
        <v>2</v>
      </c>
      <c r="L152"/>
    </row>
    <row r="153" spans="1:12" x14ac:dyDescent="0.25">
      <c r="A153">
        <f t="shared" si="2"/>
        <v>152</v>
      </c>
      <c r="B153" t="s">
        <v>923</v>
      </c>
      <c r="C153" t="s">
        <v>758</v>
      </c>
      <c r="D153">
        <v>99</v>
      </c>
      <c r="E153" t="s">
        <v>755</v>
      </c>
      <c r="F153" t="str">
        <f>IF(Client_churn3[[#This Row],[Type_Forfait]]= "Pro Monde", "B2B", "B2C")</f>
        <v>B2C</v>
      </c>
      <c r="G153">
        <v>447</v>
      </c>
      <c r="H153" s="7">
        <v>38.1</v>
      </c>
      <c r="I1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53" s="9">
        <f>Client_churn3[[#This Row],[Facture_Mensuelle]]*Client_churn3[[#This Row],[Remise Client]]</f>
        <v>17.145</v>
      </c>
      <c r="K153">
        <v>3</v>
      </c>
      <c r="L153"/>
    </row>
    <row r="154" spans="1:12" x14ac:dyDescent="0.25">
      <c r="A154">
        <f t="shared" si="2"/>
        <v>153</v>
      </c>
      <c r="B154" t="s">
        <v>924</v>
      </c>
      <c r="C154" t="s">
        <v>766</v>
      </c>
      <c r="D154">
        <v>87</v>
      </c>
      <c r="E154" t="s">
        <v>743</v>
      </c>
      <c r="F154" t="str">
        <f>IF(Client_churn3[[#This Row],[Type_Forfait]]= "Pro Monde", "B2B", "B2C")</f>
        <v>B2C</v>
      </c>
      <c r="G154">
        <v>21</v>
      </c>
      <c r="H154" s="7">
        <v>81.459999999999994</v>
      </c>
      <c r="I1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54" s="9">
        <f>Client_churn3[[#This Row],[Facture_Mensuelle]]*Client_churn3[[#This Row],[Remise Client]]</f>
        <v>0</v>
      </c>
      <c r="K154">
        <v>3</v>
      </c>
      <c r="L154"/>
    </row>
    <row r="155" spans="1:12" x14ac:dyDescent="0.25">
      <c r="A155">
        <f t="shared" si="2"/>
        <v>154</v>
      </c>
      <c r="B155" t="s">
        <v>925</v>
      </c>
      <c r="C155" t="s">
        <v>766</v>
      </c>
      <c r="D155">
        <v>96</v>
      </c>
      <c r="E155" t="s">
        <v>755</v>
      </c>
      <c r="F155" t="str">
        <f>IF(Client_churn3[[#This Row],[Type_Forfait]]= "Pro Monde", "B2B", "B2C")</f>
        <v>B2C</v>
      </c>
      <c r="G155">
        <v>273</v>
      </c>
      <c r="H155" s="7">
        <v>37.909999999999997</v>
      </c>
      <c r="I1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55" s="9">
        <f>Client_churn3[[#This Row],[Facture_Mensuelle]]*Client_churn3[[#This Row],[Remise Client]]</f>
        <v>17.0595</v>
      </c>
      <c r="K155">
        <v>2</v>
      </c>
      <c r="L155"/>
    </row>
    <row r="156" spans="1:12" x14ac:dyDescent="0.25">
      <c r="A156">
        <f t="shared" si="2"/>
        <v>155</v>
      </c>
      <c r="B156" t="s">
        <v>926</v>
      </c>
      <c r="C156" t="s">
        <v>893</v>
      </c>
      <c r="D156">
        <v>103</v>
      </c>
      <c r="E156" t="s">
        <v>749</v>
      </c>
      <c r="F156" t="str">
        <f>IF(Client_churn3[[#This Row],[Type_Forfait]]= "Pro Monde", "B2B", "B2C")</f>
        <v>B2C</v>
      </c>
      <c r="G156">
        <v>182</v>
      </c>
      <c r="H156" s="7">
        <v>12.07</v>
      </c>
      <c r="I1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56" s="9">
        <f>Client_churn3[[#This Row],[Facture_Mensuelle]]*Client_churn3[[#This Row],[Remise Client]]</f>
        <v>0</v>
      </c>
      <c r="K156">
        <v>5</v>
      </c>
      <c r="L156"/>
    </row>
    <row r="157" spans="1:12" x14ac:dyDescent="0.25">
      <c r="A157">
        <f t="shared" si="2"/>
        <v>156</v>
      </c>
      <c r="B157" t="s">
        <v>927</v>
      </c>
      <c r="C157" t="s">
        <v>742</v>
      </c>
      <c r="D157">
        <v>18</v>
      </c>
      <c r="E157" t="s">
        <v>743</v>
      </c>
      <c r="F157" t="str">
        <f>IF(Client_churn3[[#This Row],[Type_Forfait]]= "Pro Monde", "B2B", "B2C")</f>
        <v>B2C</v>
      </c>
      <c r="G157">
        <v>446</v>
      </c>
      <c r="H157" s="7">
        <v>97.3</v>
      </c>
      <c r="I1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57" s="9">
        <f>Client_churn3[[#This Row],[Facture_Mensuelle]]*Client_churn3[[#This Row],[Remise Client]]</f>
        <v>43.784999999999997</v>
      </c>
      <c r="K157">
        <v>5</v>
      </c>
      <c r="L157"/>
    </row>
    <row r="158" spans="1:12" x14ac:dyDescent="0.25">
      <c r="A158">
        <f t="shared" si="2"/>
        <v>157</v>
      </c>
      <c r="B158" t="s">
        <v>928</v>
      </c>
      <c r="C158" t="s">
        <v>802</v>
      </c>
      <c r="D158">
        <v>28</v>
      </c>
      <c r="E158" t="s">
        <v>755</v>
      </c>
      <c r="F158" t="str">
        <f>IF(Client_churn3[[#This Row],[Type_Forfait]]= "Pro Monde", "B2B", "B2C")</f>
        <v>B2C</v>
      </c>
      <c r="G158">
        <v>343</v>
      </c>
      <c r="H158" s="7">
        <v>64.34</v>
      </c>
      <c r="I1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58" s="9">
        <f>Client_churn3[[#This Row],[Facture_Mensuelle]]*Client_churn3[[#This Row],[Remise Client]]</f>
        <v>28.953000000000003</v>
      </c>
      <c r="K158">
        <v>5</v>
      </c>
      <c r="L158"/>
    </row>
    <row r="159" spans="1:12" x14ac:dyDescent="0.25">
      <c r="A159">
        <f t="shared" si="2"/>
        <v>158</v>
      </c>
      <c r="B159" t="s">
        <v>929</v>
      </c>
      <c r="C159" t="s">
        <v>782</v>
      </c>
      <c r="D159">
        <v>60</v>
      </c>
      <c r="E159" t="s">
        <v>746</v>
      </c>
      <c r="F159" t="str">
        <f>IF(Client_churn3[[#This Row],[Type_Forfait]]= "Pro Monde", "B2B", "B2C")</f>
        <v>B2B</v>
      </c>
      <c r="G159">
        <v>334</v>
      </c>
      <c r="H159" s="7">
        <v>71.72</v>
      </c>
      <c r="I1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59" s="9">
        <f>Client_churn3[[#This Row],[Facture_Mensuelle]]*Client_churn3[[#This Row],[Remise Client]]</f>
        <v>7.1720000000000006</v>
      </c>
      <c r="K159">
        <v>3</v>
      </c>
      <c r="L159"/>
    </row>
    <row r="160" spans="1:12" x14ac:dyDescent="0.25">
      <c r="A160">
        <f t="shared" si="2"/>
        <v>159</v>
      </c>
      <c r="B160" t="s">
        <v>930</v>
      </c>
      <c r="C160" t="s">
        <v>778</v>
      </c>
      <c r="D160">
        <v>36</v>
      </c>
      <c r="E160" t="s">
        <v>749</v>
      </c>
      <c r="F160" t="str">
        <f>IF(Client_churn3[[#This Row],[Type_Forfait]]= "Pro Monde", "B2B", "B2C")</f>
        <v>B2C</v>
      </c>
      <c r="G160">
        <v>487</v>
      </c>
      <c r="H160" s="7">
        <v>45.02</v>
      </c>
      <c r="I1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0" s="9">
        <f>Client_churn3[[#This Row],[Facture_Mensuelle]]*Client_churn3[[#This Row],[Remise Client]]</f>
        <v>20.259</v>
      </c>
      <c r="K160">
        <v>2</v>
      </c>
      <c r="L160"/>
    </row>
    <row r="161" spans="1:12" x14ac:dyDescent="0.25">
      <c r="A161">
        <f t="shared" si="2"/>
        <v>160</v>
      </c>
      <c r="B161" t="s">
        <v>931</v>
      </c>
      <c r="C161" t="s">
        <v>794</v>
      </c>
      <c r="D161">
        <v>106</v>
      </c>
      <c r="E161" t="s">
        <v>749</v>
      </c>
      <c r="F161" t="str">
        <f>IF(Client_churn3[[#This Row],[Type_Forfait]]= "Pro Monde", "B2B", "B2C")</f>
        <v>B2C</v>
      </c>
      <c r="G161">
        <v>407</v>
      </c>
      <c r="H161" s="7">
        <v>59.92</v>
      </c>
      <c r="I1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1" s="9">
        <f>Client_churn3[[#This Row],[Facture_Mensuelle]]*Client_churn3[[#This Row],[Remise Client]]</f>
        <v>26.964000000000002</v>
      </c>
      <c r="K161">
        <v>4</v>
      </c>
      <c r="L161"/>
    </row>
    <row r="162" spans="1:12" x14ac:dyDescent="0.25">
      <c r="A162">
        <f t="shared" si="2"/>
        <v>161</v>
      </c>
      <c r="B162" t="s">
        <v>932</v>
      </c>
      <c r="C162" t="s">
        <v>776</v>
      </c>
      <c r="D162">
        <v>40</v>
      </c>
      <c r="E162" t="s">
        <v>755</v>
      </c>
      <c r="F162" t="str">
        <f>IF(Client_churn3[[#This Row],[Type_Forfait]]= "Pro Monde", "B2B", "B2C")</f>
        <v>B2C</v>
      </c>
      <c r="G162">
        <v>345</v>
      </c>
      <c r="H162" s="7">
        <v>89.55</v>
      </c>
      <c r="I1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2" s="9">
        <f>Client_churn3[[#This Row],[Facture_Mensuelle]]*Client_churn3[[#This Row],[Remise Client]]</f>
        <v>40.297499999999999</v>
      </c>
      <c r="K162">
        <v>3</v>
      </c>
      <c r="L162"/>
    </row>
    <row r="163" spans="1:12" x14ac:dyDescent="0.25">
      <c r="A163">
        <f t="shared" si="2"/>
        <v>162</v>
      </c>
      <c r="B163" t="s">
        <v>933</v>
      </c>
      <c r="C163" t="s">
        <v>799</v>
      </c>
      <c r="D163">
        <v>120</v>
      </c>
      <c r="E163" t="s">
        <v>749</v>
      </c>
      <c r="F163" t="str">
        <f>IF(Client_churn3[[#This Row],[Type_Forfait]]= "Pro Monde", "B2B", "B2C")</f>
        <v>B2C</v>
      </c>
      <c r="G163">
        <v>242</v>
      </c>
      <c r="H163" s="7">
        <v>61.54</v>
      </c>
      <c r="I1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3" s="9">
        <f>Client_churn3[[#This Row],[Facture_Mensuelle]]*Client_churn3[[#This Row],[Remise Client]]</f>
        <v>27.693000000000001</v>
      </c>
      <c r="K163">
        <v>1</v>
      </c>
      <c r="L163"/>
    </row>
    <row r="164" spans="1:12" x14ac:dyDescent="0.25">
      <c r="A164">
        <f t="shared" si="2"/>
        <v>163</v>
      </c>
      <c r="B164" t="s">
        <v>934</v>
      </c>
      <c r="C164" t="s">
        <v>758</v>
      </c>
      <c r="D164">
        <v>81</v>
      </c>
      <c r="E164" t="s">
        <v>755</v>
      </c>
      <c r="F164" t="str">
        <f>IF(Client_churn3[[#This Row],[Type_Forfait]]= "Pro Monde", "B2B", "B2C")</f>
        <v>B2C</v>
      </c>
      <c r="G164">
        <v>137</v>
      </c>
      <c r="H164" s="7">
        <v>89.05</v>
      </c>
      <c r="I1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64" s="9">
        <f>Client_churn3[[#This Row],[Facture_Mensuelle]]*Client_churn3[[#This Row],[Remise Client]]</f>
        <v>0</v>
      </c>
      <c r="K164">
        <v>0</v>
      </c>
      <c r="L164"/>
    </row>
    <row r="165" spans="1:12" x14ac:dyDescent="0.25">
      <c r="A165">
        <f t="shared" si="2"/>
        <v>164</v>
      </c>
      <c r="B165" t="s">
        <v>935</v>
      </c>
      <c r="C165" t="s">
        <v>780</v>
      </c>
      <c r="D165">
        <v>105</v>
      </c>
      <c r="E165" t="s">
        <v>755</v>
      </c>
      <c r="F165" t="str">
        <f>IF(Client_churn3[[#This Row],[Type_Forfait]]= "Pro Monde", "B2B", "B2C")</f>
        <v>B2C</v>
      </c>
      <c r="G165">
        <v>454</v>
      </c>
      <c r="H165" s="7">
        <v>49.47</v>
      </c>
      <c r="I1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5" s="9">
        <f>Client_churn3[[#This Row],[Facture_Mensuelle]]*Client_churn3[[#This Row],[Remise Client]]</f>
        <v>22.261500000000002</v>
      </c>
      <c r="K165">
        <v>4</v>
      </c>
      <c r="L165"/>
    </row>
    <row r="166" spans="1:12" x14ac:dyDescent="0.25">
      <c r="A166">
        <f t="shared" si="2"/>
        <v>165</v>
      </c>
      <c r="B166" t="s">
        <v>936</v>
      </c>
      <c r="C166" t="s">
        <v>893</v>
      </c>
      <c r="D166">
        <v>5</v>
      </c>
      <c r="E166" t="s">
        <v>746</v>
      </c>
      <c r="F166" t="str">
        <f>IF(Client_churn3[[#This Row],[Type_Forfait]]= "Pro Monde", "B2B", "B2C")</f>
        <v>B2B</v>
      </c>
      <c r="G166">
        <v>98</v>
      </c>
      <c r="H166" s="7">
        <v>71.37</v>
      </c>
      <c r="I1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66" s="9">
        <f>Client_churn3[[#This Row],[Facture_Mensuelle]]*Client_churn3[[#This Row],[Remise Client]]</f>
        <v>7.1370000000000005</v>
      </c>
      <c r="K166">
        <v>1</v>
      </c>
      <c r="L166"/>
    </row>
    <row r="167" spans="1:12" x14ac:dyDescent="0.25">
      <c r="A167">
        <f t="shared" si="2"/>
        <v>166</v>
      </c>
      <c r="B167" t="s">
        <v>937</v>
      </c>
      <c r="C167" t="s">
        <v>796</v>
      </c>
      <c r="D167">
        <v>25</v>
      </c>
      <c r="E167" t="s">
        <v>755</v>
      </c>
      <c r="F167" t="str">
        <f>IF(Client_churn3[[#This Row],[Type_Forfait]]= "Pro Monde", "B2B", "B2C")</f>
        <v>B2C</v>
      </c>
      <c r="G167">
        <v>467</v>
      </c>
      <c r="H167" s="7">
        <v>97.78</v>
      </c>
      <c r="I1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7" s="9">
        <f>Client_churn3[[#This Row],[Facture_Mensuelle]]*Client_churn3[[#This Row],[Remise Client]]</f>
        <v>44.001000000000005</v>
      </c>
      <c r="K167">
        <v>3</v>
      </c>
      <c r="L167"/>
    </row>
    <row r="168" spans="1:12" x14ac:dyDescent="0.25">
      <c r="A168">
        <f t="shared" si="2"/>
        <v>167</v>
      </c>
      <c r="B168" t="s">
        <v>938</v>
      </c>
      <c r="C168" t="s">
        <v>794</v>
      </c>
      <c r="D168">
        <v>36</v>
      </c>
      <c r="E168" t="s">
        <v>755</v>
      </c>
      <c r="F168" t="str">
        <f>IF(Client_churn3[[#This Row],[Type_Forfait]]= "Pro Monde", "B2B", "B2C")</f>
        <v>B2C</v>
      </c>
      <c r="G168">
        <v>137</v>
      </c>
      <c r="H168" s="7">
        <v>71.930000000000007</v>
      </c>
      <c r="I1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68" s="9">
        <f>Client_churn3[[#This Row],[Facture_Mensuelle]]*Client_churn3[[#This Row],[Remise Client]]</f>
        <v>0</v>
      </c>
      <c r="K168">
        <v>0</v>
      </c>
      <c r="L168"/>
    </row>
    <row r="169" spans="1:12" x14ac:dyDescent="0.25">
      <c r="A169">
        <f t="shared" si="2"/>
        <v>168</v>
      </c>
      <c r="B169" t="s">
        <v>939</v>
      </c>
      <c r="C169" t="s">
        <v>770</v>
      </c>
      <c r="D169">
        <v>81</v>
      </c>
      <c r="E169" t="s">
        <v>749</v>
      </c>
      <c r="F169" t="str">
        <f>IF(Client_churn3[[#This Row],[Type_Forfait]]= "Pro Monde", "B2B", "B2C")</f>
        <v>B2C</v>
      </c>
      <c r="G169">
        <v>339</v>
      </c>
      <c r="H169" s="7">
        <v>53.4</v>
      </c>
      <c r="I1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69" s="9">
        <f>Client_churn3[[#This Row],[Facture_Mensuelle]]*Client_churn3[[#This Row],[Remise Client]]</f>
        <v>24.03</v>
      </c>
      <c r="K169">
        <v>2</v>
      </c>
      <c r="L169"/>
    </row>
    <row r="170" spans="1:12" x14ac:dyDescent="0.25">
      <c r="A170">
        <f t="shared" si="2"/>
        <v>169</v>
      </c>
      <c r="B170" t="s">
        <v>940</v>
      </c>
      <c r="C170" t="s">
        <v>806</v>
      </c>
      <c r="D170">
        <v>21</v>
      </c>
      <c r="E170" t="s">
        <v>743</v>
      </c>
      <c r="F170" t="str">
        <f>IF(Client_churn3[[#This Row],[Type_Forfait]]= "Pro Monde", "B2B", "B2C")</f>
        <v>B2C</v>
      </c>
      <c r="G170">
        <v>475</v>
      </c>
      <c r="H170" s="7">
        <v>15.12</v>
      </c>
      <c r="I1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70" s="9">
        <f>Client_churn3[[#This Row],[Facture_Mensuelle]]*Client_churn3[[#This Row],[Remise Client]]</f>
        <v>6.8039999999999994</v>
      </c>
      <c r="K170">
        <v>2</v>
      </c>
      <c r="L170"/>
    </row>
    <row r="171" spans="1:12" x14ac:dyDescent="0.25">
      <c r="A171">
        <f t="shared" si="2"/>
        <v>170</v>
      </c>
      <c r="B171" t="s">
        <v>941</v>
      </c>
      <c r="C171" t="s">
        <v>799</v>
      </c>
      <c r="D171">
        <v>19</v>
      </c>
      <c r="E171" t="s">
        <v>749</v>
      </c>
      <c r="F171" t="str">
        <f>IF(Client_churn3[[#This Row],[Type_Forfait]]= "Pro Monde", "B2B", "B2C")</f>
        <v>B2C</v>
      </c>
      <c r="G171">
        <v>450</v>
      </c>
      <c r="H171" s="7">
        <v>37.43</v>
      </c>
      <c r="I1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71" s="9">
        <f>Client_churn3[[#This Row],[Facture_Mensuelle]]*Client_churn3[[#This Row],[Remise Client]]</f>
        <v>16.843499999999999</v>
      </c>
      <c r="K171">
        <v>2</v>
      </c>
      <c r="L171"/>
    </row>
    <row r="172" spans="1:12" x14ac:dyDescent="0.25">
      <c r="A172">
        <f t="shared" si="2"/>
        <v>171</v>
      </c>
      <c r="B172" t="s">
        <v>942</v>
      </c>
      <c r="C172" t="s">
        <v>794</v>
      </c>
      <c r="D172">
        <v>64</v>
      </c>
      <c r="E172" t="s">
        <v>746</v>
      </c>
      <c r="F172" t="str">
        <f>IF(Client_churn3[[#This Row],[Type_Forfait]]= "Pro Monde", "B2B", "B2C")</f>
        <v>B2B</v>
      </c>
      <c r="G172">
        <v>6</v>
      </c>
      <c r="H172" s="7">
        <v>40.58</v>
      </c>
      <c r="I1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2" s="9">
        <f>Client_churn3[[#This Row],[Facture_Mensuelle]]*Client_churn3[[#This Row],[Remise Client]]</f>
        <v>4.0579999999999998</v>
      </c>
      <c r="K172">
        <v>5</v>
      </c>
      <c r="L172"/>
    </row>
    <row r="173" spans="1:12" x14ac:dyDescent="0.25">
      <c r="A173">
        <f t="shared" si="2"/>
        <v>172</v>
      </c>
      <c r="B173" t="s">
        <v>943</v>
      </c>
      <c r="C173" t="s">
        <v>745</v>
      </c>
      <c r="D173">
        <v>82</v>
      </c>
      <c r="E173" t="s">
        <v>743</v>
      </c>
      <c r="F173" t="str">
        <f>IF(Client_churn3[[#This Row],[Type_Forfait]]= "Pro Monde", "B2B", "B2C")</f>
        <v>B2C</v>
      </c>
      <c r="G173">
        <v>132</v>
      </c>
      <c r="H173" s="7">
        <v>50.14</v>
      </c>
      <c r="I1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73" s="9">
        <f>Client_churn3[[#This Row],[Facture_Mensuelle]]*Client_churn3[[#This Row],[Remise Client]]</f>
        <v>0</v>
      </c>
      <c r="K173">
        <v>5</v>
      </c>
      <c r="L173"/>
    </row>
    <row r="174" spans="1:12" x14ac:dyDescent="0.25">
      <c r="A174">
        <f t="shared" si="2"/>
        <v>173</v>
      </c>
      <c r="B174" t="s">
        <v>944</v>
      </c>
      <c r="C174" t="s">
        <v>770</v>
      </c>
      <c r="D174">
        <v>74</v>
      </c>
      <c r="E174" t="s">
        <v>746</v>
      </c>
      <c r="F174" t="str">
        <f>IF(Client_churn3[[#This Row],[Type_Forfait]]= "Pro Monde", "B2B", "B2C")</f>
        <v>B2B</v>
      </c>
      <c r="G174">
        <v>371</v>
      </c>
      <c r="H174" s="7">
        <v>53.27</v>
      </c>
      <c r="I1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4" s="9">
        <f>Client_churn3[[#This Row],[Facture_Mensuelle]]*Client_churn3[[#This Row],[Remise Client]]</f>
        <v>5.3270000000000008</v>
      </c>
      <c r="K174">
        <v>3</v>
      </c>
      <c r="L174"/>
    </row>
    <row r="175" spans="1:12" x14ac:dyDescent="0.25">
      <c r="A175">
        <f t="shared" si="2"/>
        <v>174</v>
      </c>
      <c r="B175" t="s">
        <v>945</v>
      </c>
      <c r="C175" t="s">
        <v>780</v>
      </c>
      <c r="D175">
        <v>116</v>
      </c>
      <c r="E175" t="s">
        <v>746</v>
      </c>
      <c r="F175" t="str">
        <f>IF(Client_churn3[[#This Row],[Type_Forfait]]= "Pro Monde", "B2B", "B2C")</f>
        <v>B2B</v>
      </c>
      <c r="G175">
        <v>486</v>
      </c>
      <c r="H175" s="7">
        <v>92.96</v>
      </c>
      <c r="I1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5" s="9">
        <f>Client_churn3[[#This Row],[Facture_Mensuelle]]*Client_churn3[[#This Row],[Remise Client]]</f>
        <v>9.2959999999999994</v>
      </c>
      <c r="K175">
        <v>5</v>
      </c>
      <c r="L175"/>
    </row>
    <row r="176" spans="1:12" x14ac:dyDescent="0.25">
      <c r="A176">
        <f t="shared" si="2"/>
        <v>175</v>
      </c>
      <c r="B176" t="s">
        <v>946</v>
      </c>
      <c r="C176" t="s">
        <v>809</v>
      </c>
      <c r="D176">
        <v>29</v>
      </c>
      <c r="E176" t="s">
        <v>746</v>
      </c>
      <c r="F176" t="str">
        <f>IF(Client_churn3[[#This Row],[Type_Forfait]]= "Pro Monde", "B2B", "B2C")</f>
        <v>B2B</v>
      </c>
      <c r="G176">
        <v>34</v>
      </c>
      <c r="H176" s="7">
        <v>86.68</v>
      </c>
      <c r="I1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6" s="9">
        <f>Client_churn3[[#This Row],[Facture_Mensuelle]]*Client_churn3[[#This Row],[Remise Client]]</f>
        <v>8.668000000000001</v>
      </c>
      <c r="K176">
        <v>1</v>
      </c>
      <c r="L176"/>
    </row>
    <row r="177" spans="1:12" x14ac:dyDescent="0.25">
      <c r="A177">
        <f t="shared" si="2"/>
        <v>176</v>
      </c>
      <c r="B177" t="s">
        <v>947</v>
      </c>
      <c r="C177" t="s">
        <v>774</v>
      </c>
      <c r="D177">
        <v>113</v>
      </c>
      <c r="E177" t="s">
        <v>746</v>
      </c>
      <c r="F177" t="str">
        <f>IF(Client_churn3[[#This Row],[Type_Forfait]]= "Pro Monde", "B2B", "B2C")</f>
        <v>B2B</v>
      </c>
      <c r="G177">
        <v>152</v>
      </c>
      <c r="H177" s="7">
        <v>51.28</v>
      </c>
      <c r="I1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7" s="9">
        <f>Client_churn3[[#This Row],[Facture_Mensuelle]]*Client_churn3[[#This Row],[Remise Client]]</f>
        <v>5.1280000000000001</v>
      </c>
      <c r="K177">
        <v>4</v>
      </c>
      <c r="L177"/>
    </row>
    <row r="178" spans="1:12" x14ac:dyDescent="0.25">
      <c r="A178">
        <f t="shared" si="2"/>
        <v>177</v>
      </c>
      <c r="B178" t="s">
        <v>948</v>
      </c>
      <c r="C178" t="s">
        <v>774</v>
      </c>
      <c r="D178">
        <v>16</v>
      </c>
      <c r="E178" t="s">
        <v>749</v>
      </c>
      <c r="F178" t="str">
        <f>IF(Client_churn3[[#This Row],[Type_Forfait]]= "Pro Monde", "B2B", "B2C")</f>
        <v>B2C</v>
      </c>
      <c r="G178">
        <v>390</v>
      </c>
      <c r="H178" s="7">
        <v>52.64</v>
      </c>
      <c r="I1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78" s="9">
        <f>Client_churn3[[#This Row],[Facture_Mensuelle]]*Client_churn3[[#This Row],[Remise Client]]</f>
        <v>23.688000000000002</v>
      </c>
      <c r="K178">
        <v>0</v>
      </c>
      <c r="L178"/>
    </row>
    <row r="179" spans="1:12" x14ac:dyDescent="0.25">
      <c r="A179">
        <f t="shared" si="2"/>
        <v>178</v>
      </c>
      <c r="B179" t="s">
        <v>949</v>
      </c>
      <c r="C179" t="s">
        <v>774</v>
      </c>
      <c r="D179">
        <v>72</v>
      </c>
      <c r="E179" t="s">
        <v>746</v>
      </c>
      <c r="F179" t="str">
        <f>IF(Client_churn3[[#This Row],[Type_Forfait]]= "Pro Monde", "B2B", "B2C")</f>
        <v>B2B</v>
      </c>
      <c r="G179">
        <v>442</v>
      </c>
      <c r="H179" s="7">
        <v>59.2</v>
      </c>
      <c r="I1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79" s="9">
        <f>Client_churn3[[#This Row],[Facture_Mensuelle]]*Client_churn3[[#This Row],[Remise Client]]</f>
        <v>5.9200000000000008</v>
      </c>
      <c r="K179">
        <v>1</v>
      </c>
      <c r="L179"/>
    </row>
    <row r="180" spans="1:12" x14ac:dyDescent="0.25">
      <c r="A180">
        <f t="shared" si="2"/>
        <v>179</v>
      </c>
      <c r="B180" t="s">
        <v>950</v>
      </c>
      <c r="C180" t="s">
        <v>770</v>
      </c>
      <c r="D180">
        <v>59</v>
      </c>
      <c r="E180" t="s">
        <v>743</v>
      </c>
      <c r="F180" t="str">
        <f>IF(Client_churn3[[#This Row],[Type_Forfait]]= "Pro Monde", "B2B", "B2C")</f>
        <v>B2C</v>
      </c>
      <c r="G180">
        <v>196</v>
      </c>
      <c r="H180" s="7">
        <v>62.53</v>
      </c>
      <c r="I1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80" s="9">
        <f>Client_churn3[[#This Row],[Facture_Mensuelle]]*Client_churn3[[#This Row],[Remise Client]]</f>
        <v>0</v>
      </c>
      <c r="K180">
        <v>0</v>
      </c>
      <c r="L180"/>
    </row>
    <row r="181" spans="1:12" x14ac:dyDescent="0.25">
      <c r="A181">
        <f t="shared" si="2"/>
        <v>180</v>
      </c>
      <c r="B181" t="s">
        <v>951</v>
      </c>
      <c r="C181" t="s">
        <v>770</v>
      </c>
      <c r="D181">
        <v>38</v>
      </c>
      <c r="E181" t="s">
        <v>755</v>
      </c>
      <c r="F181" t="str">
        <f>IF(Client_churn3[[#This Row],[Type_Forfait]]= "Pro Monde", "B2B", "B2C")</f>
        <v>B2C</v>
      </c>
      <c r="G181">
        <v>60</v>
      </c>
      <c r="H181" s="7">
        <v>58.28</v>
      </c>
      <c r="I1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81" s="9">
        <f>Client_churn3[[#This Row],[Facture_Mensuelle]]*Client_churn3[[#This Row],[Remise Client]]</f>
        <v>0</v>
      </c>
      <c r="K181">
        <v>4</v>
      </c>
      <c r="L181"/>
    </row>
    <row r="182" spans="1:12" x14ac:dyDescent="0.25">
      <c r="A182">
        <f t="shared" si="2"/>
        <v>181</v>
      </c>
      <c r="B182" t="s">
        <v>952</v>
      </c>
      <c r="C182" t="s">
        <v>834</v>
      </c>
      <c r="D182">
        <v>118</v>
      </c>
      <c r="E182" t="s">
        <v>743</v>
      </c>
      <c r="F182" t="str">
        <f>IF(Client_churn3[[#This Row],[Type_Forfait]]= "Pro Monde", "B2B", "B2C")</f>
        <v>B2C</v>
      </c>
      <c r="G182">
        <v>186</v>
      </c>
      <c r="H182" s="7">
        <v>46.88</v>
      </c>
      <c r="I1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82" s="9">
        <f>Client_churn3[[#This Row],[Facture_Mensuelle]]*Client_churn3[[#This Row],[Remise Client]]</f>
        <v>0</v>
      </c>
      <c r="K182">
        <v>1</v>
      </c>
      <c r="L182"/>
    </row>
    <row r="183" spans="1:12" x14ac:dyDescent="0.25">
      <c r="A183">
        <f t="shared" si="2"/>
        <v>182</v>
      </c>
      <c r="B183" t="s">
        <v>953</v>
      </c>
      <c r="C183" t="s">
        <v>796</v>
      </c>
      <c r="D183">
        <v>42</v>
      </c>
      <c r="E183" t="s">
        <v>749</v>
      </c>
      <c r="F183" t="str">
        <f>IF(Client_churn3[[#This Row],[Type_Forfait]]= "Pro Monde", "B2B", "B2C")</f>
        <v>B2C</v>
      </c>
      <c r="G183">
        <v>453</v>
      </c>
      <c r="H183" s="7">
        <v>36.700000000000003</v>
      </c>
      <c r="I1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83" s="9">
        <f>Client_churn3[[#This Row],[Facture_Mensuelle]]*Client_churn3[[#This Row],[Remise Client]]</f>
        <v>16.515000000000001</v>
      </c>
      <c r="K183">
        <v>4</v>
      </c>
      <c r="L183"/>
    </row>
    <row r="184" spans="1:12" x14ac:dyDescent="0.25">
      <c r="A184">
        <f t="shared" si="2"/>
        <v>183</v>
      </c>
      <c r="B184" t="s">
        <v>954</v>
      </c>
      <c r="C184" t="s">
        <v>834</v>
      </c>
      <c r="D184">
        <v>80</v>
      </c>
      <c r="E184" t="s">
        <v>743</v>
      </c>
      <c r="F184" t="str">
        <f>IF(Client_churn3[[#This Row],[Type_Forfait]]= "Pro Monde", "B2B", "B2C")</f>
        <v>B2C</v>
      </c>
      <c r="G184">
        <v>260</v>
      </c>
      <c r="H184" s="7">
        <v>65.87</v>
      </c>
      <c r="I1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84" s="9">
        <f>Client_churn3[[#This Row],[Facture_Mensuelle]]*Client_churn3[[#This Row],[Remise Client]]</f>
        <v>29.641500000000004</v>
      </c>
      <c r="K184">
        <v>3</v>
      </c>
      <c r="L184"/>
    </row>
    <row r="185" spans="1:12" x14ac:dyDescent="0.25">
      <c r="A185">
        <f t="shared" si="2"/>
        <v>184</v>
      </c>
      <c r="B185" t="s">
        <v>955</v>
      </c>
      <c r="C185" t="s">
        <v>778</v>
      </c>
      <c r="D185">
        <v>7</v>
      </c>
      <c r="E185" t="s">
        <v>755</v>
      </c>
      <c r="F185" t="str">
        <f>IF(Client_churn3[[#This Row],[Type_Forfait]]= "Pro Monde", "B2B", "B2C")</f>
        <v>B2C</v>
      </c>
      <c r="G185">
        <v>303</v>
      </c>
      <c r="H185" s="7">
        <v>60.95</v>
      </c>
      <c r="I1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85" s="9">
        <f>Client_churn3[[#This Row],[Facture_Mensuelle]]*Client_churn3[[#This Row],[Remise Client]]</f>
        <v>27.427500000000002</v>
      </c>
      <c r="K185">
        <v>0</v>
      </c>
      <c r="L185"/>
    </row>
    <row r="186" spans="1:12" x14ac:dyDescent="0.25">
      <c r="A186">
        <f t="shared" si="2"/>
        <v>185</v>
      </c>
      <c r="B186" t="s">
        <v>956</v>
      </c>
      <c r="C186" t="s">
        <v>754</v>
      </c>
      <c r="D186">
        <v>14</v>
      </c>
      <c r="E186" t="s">
        <v>746</v>
      </c>
      <c r="F186" t="str">
        <f>IF(Client_churn3[[#This Row],[Type_Forfait]]= "Pro Monde", "B2B", "B2C")</f>
        <v>B2B</v>
      </c>
      <c r="G186">
        <v>345</v>
      </c>
      <c r="H186" s="7">
        <v>39.57</v>
      </c>
      <c r="I1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86" s="9">
        <f>Client_churn3[[#This Row],[Facture_Mensuelle]]*Client_churn3[[#This Row],[Remise Client]]</f>
        <v>3.9570000000000003</v>
      </c>
      <c r="K186">
        <v>3</v>
      </c>
      <c r="L186"/>
    </row>
    <row r="187" spans="1:12" x14ac:dyDescent="0.25">
      <c r="A187">
        <f t="shared" si="2"/>
        <v>186</v>
      </c>
      <c r="B187" t="s">
        <v>957</v>
      </c>
      <c r="C187" t="s">
        <v>758</v>
      </c>
      <c r="D187">
        <v>83</v>
      </c>
      <c r="E187" t="s">
        <v>755</v>
      </c>
      <c r="F187" t="str">
        <f>IF(Client_churn3[[#This Row],[Type_Forfait]]= "Pro Monde", "B2B", "B2C")</f>
        <v>B2C</v>
      </c>
      <c r="G187">
        <v>284</v>
      </c>
      <c r="H187" s="7">
        <v>73.7</v>
      </c>
      <c r="I1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87" s="9">
        <f>Client_churn3[[#This Row],[Facture_Mensuelle]]*Client_churn3[[#This Row],[Remise Client]]</f>
        <v>33.164999999999999</v>
      </c>
      <c r="K187">
        <v>0</v>
      </c>
      <c r="L187"/>
    </row>
    <row r="188" spans="1:12" x14ac:dyDescent="0.25">
      <c r="A188">
        <f t="shared" si="2"/>
        <v>187</v>
      </c>
      <c r="B188" t="s">
        <v>958</v>
      </c>
      <c r="C188" t="s">
        <v>776</v>
      </c>
      <c r="D188">
        <v>56</v>
      </c>
      <c r="E188" t="s">
        <v>755</v>
      </c>
      <c r="F188" t="str">
        <f>IF(Client_churn3[[#This Row],[Type_Forfait]]= "Pro Monde", "B2B", "B2C")</f>
        <v>B2C</v>
      </c>
      <c r="G188">
        <v>123</v>
      </c>
      <c r="H188" s="7">
        <v>29.76</v>
      </c>
      <c r="I1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88" s="9">
        <f>Client_churn3[[#This Row],[Facture_Mensuelle]]*Client_churn3[[#This Row],[Remise Client]]</f>
        <v>0</v>
      </c>
      <c r="K188">
        <v>5</v>
      </c>
      <c r="L188"/>
    </row>
    <row r="189" spans="1:12" x14ac:dyDescent="0.25">
      <c r="A189">
        <f t="shared" si="2"/>
        <v>188</v>
      </c>
      <c r="B189" t="s">
        <v>959</v>
      </c>
      <c r="C189" t="s">
        <v>764</v>
      </c>
      <c r="D189">
        <v>33</v>
      </c>
      <c r="E189" t="s">
        <v>746</v>
      </c>
      <c r="F189" t="str">
        <f>IF(Client_churn3[[#This Row],[Type_Forfait]]= "Pro Monde", "B2B", "B2C")</f>
        <v>B2B</v>
      </c>
      <c r="G189">
        <v>207</v>
      </c>
      <c r="H189" s="7">
        <v>38.49</v>
      </c>
      <c r="I1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89" s="9">
        <f>Client_churn3[[#This Row],[Facture_Mensuelle]]*Client_churn3[[#This Row],[Remise Client]]</f>
        <v>3.8490000000000002</v>
      </c>
      <c r="K189">
        <v>4</v>
      </c>
      <c r="L189"/>
    </row>
    <row r="190" spans="1:12" x14ac:dyDescent="0.25">
      <c r="A190">
        <f t="shared" si="2"/>
        <v>189</v>
      </c>
      <c r="B190" t="s">
        <v>960</v>
      </c>
      <c r="C190" t="s">
        <v>766</v>
      </c>
      <c r="D190">
        <v>113</v>
      </c>
      <c r="E190" t="s">
        <v>755</v>
      </c>
      <c r="F190" t="str">
        <f>IF(Client_churn3[[#This Row],[Type_Forfait]]= "Pro Monde", "B2B", "B2C")</f>
        <v>B2C</v>
      </c>
      <c r="G190">
        <v>207</v>
      </c>
      <c r="H190" s="7">
        <v>21.55</v>
      </c>
      <c r="I1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90" s="9">
        <f>Client_churn3[[#This Row],[Facture_Mensuelle]]*Client_churn3[[#This Row],[Remise Client]]</f>
        <v>0</v>
      </c>
      <c r="K190">
        <v>0</v>
      </c>
      <c r="L190"/>
    </row>
    <row r="191" spans="1:12" x14ac:dyDescent="0.25">
      <c r="A191">
        <f t="shared" si="2"/>
        <v>190</v>
      </c>
      <c r="B191" t="s">
        <v>961</v>
      </c>
      <c r="C191" t="s">
        <v>751</v>
      </c>
      <c r="D191">
        <v>89</v>
      </c>
      <c r="E191" t="s">
        <v>749</v>
      </c>
      <c r="F191" t="str">
        <f>IF(Client_churn3[[#This Row],[Type_Forfait]]= "Pro Monde", "B2B", "B2C")</f>
        <v>B2C</v>
      </c>
      <c r="G191">
        <v>418</v>
      </c>
      <c r="H191" s="7">
        <v>86.63</v>
      </c>
      <c r="I1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91" s="9">
        <f>Client_churn3[[#This Row],[Facture_Mensuelle]]*Client_churn3[[#This Row],[Remise Client]]</f>
        <v>38.983499999999999</v>
      </c>
      <c r="K191">
        <v>4</v>
      </c>
      <c r="L191"/>
    </row>
    <row r="192" spans="1:12" x14ac:dyDescent="0.25">
      <c r="A192">
        <f t="shared" si="2"/>
        <v>191</v>
      </c>
      <c r="B192" t="s">
        <v>962</v>
      </c>
      <c r="C192" t="s">
        <v>842</v>
      </c>
      <c r="D192">
        <v>35</v>
      </c>
      <c r="E192" t="s">
        <v>746</v>
      </c>
      <c r="F192" t="str">
        <f>IF(Client_churn3[[#This Row],[Type_Forfait]]= "Pro Monde", "B2B", "B2C")</f>
        <v>B2B</v>
      </c>
      <c r="G192">
        <v>465</v>
      </c>
      <c r="H192" s="7">
        <v>58.59</v>
      </c>
      <c r="I1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92" s="9">
        <f>Client_churn3[[#This Row],[Facture_Mensuelle]]*Client_churn3[[#This Row],[Remise Client]]</f>
        <v>5.8590000000000009</v>
      </c>
      <c r="K192">
        <v>5</v>
      </c>
      <c r="L192"/>
    </row>
    <row r="193" spans="1:12" x14ac:dyDescent="0.25">
      <c r="A193">
        <f t="shared" si="2"/>
        <v>192</v>
      </c>
      <c r="B193" t="s">
        <v>963</v>
      </c>
      <c r="C193" t="s">
        <v>785</v>
      </c>
      <c r="D193">
        <v>79</v>
      </c>
      <c r="E193" t="s">
        <v>749</v>
      </c>
      <c r="F193" t="str">
        <f>IF(Client_churn3[[#This Row],[Type_Forfait]]= "Pro Monde", "B2B", "B2C")</f>
        <v>B2C</v>
      </c>
      <c r="G193">
        <v>139</v>
      </c>
      <c r="H193" s="7">
        <v>16.25</v>
      </c>
      <c r="I1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93" s="9">
        <f>Client_churn3[[#This Row],[Facture_Mensuelle]]*Client_churn3[[#This Row],[Remise Client]]</f>
        <v>0</v>
      </c>
      <c r="K193">
        <v>4</v>
      </c>
      <c r="L193"/>
    </row>
    <row r="194" spans="1:12" x14ac:dyDescent="0.25">
      <c r="A194">
        <f t="shared" si="2"/>
        <v>193</v>
      </c>
      <c r="B194" t="s">
        <v>964</v>
      </c>
      <c r="C194" t="s">
        <v>796</v>
      </c>
      <c r="D194">
        <v>82</v>
      </c>
      <c r="E194" t="s">
        <v>755</v>
      </c>
      <c r="F194" t="str">
        <f>IF(Client_churn3[[#This Row],[Type_Forfait]]= "Pro Monde", "B2B", "B2C")</f>
        <v>B2C</v>
      </c>
      <c r="G194">
        <v>32</v>
      </c>
      <c r="H194" s="7">
        <v>77.63</v>
      </c>
      <c r="I1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94" s="9">
        <f>Client_churn3[[#This Row],[Facture_Mensuelle]]*Client_churn3[[#This Row],[Remise Client]]</f>
        <v>0</v>
      </c>
      <c r="K194">
        <v>1</v>
      </c>
      <c r="L194"/>
    </row>
    <row r="195" spans="1:12" x14ac:dyDescent="0.25">
      <c r="A195">
        <f t="shared" si="2"/>
        <v>194</v>
      </c>
      <c r="B195" t="s">
        <v>965</v>
      </c>
      <c r="C195" t="s">
        <v>893</v>
      </c>
      <c r="D195">
        <v>21</v>
      </c>
      <c r="E195" t="s">
        <v>743</v>
      </c>
      <c r="F195" t="str">
        <f>IF(Client_churn3[[#This Row],[Type_Forfait]]= "Pro Monde", "B2B", "B2C")</f>
        <v>B2C</v>
      </c>
      <c r="G195">
        <v>307</v>
      </c>
      <c r="H195" s="7">
        <v>39.81</v>
      </c>
      <c r="I1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95" s="9">
        <f>Client_churn3[[#This Row],[Facture_Mensuelle]]*Client_churn3[[#This Row],[Remise Client]]</f>
        <v>17.9145</v>
      </c>
      <c r="K195">
        <v>5</v>
      </c>
      <c r="L195"/>
    </row>
    <row r="196" spans="1:12" x14ac:dyDescent="0.25">
      <c r="A196">
        <f t="shared" si="2"/>
        <v>195</v>
      </c>
      <c r="B196" t="s">
        <v>966</v>
      </c>
      <c r="C196" t="s">
        <v>780</v>
      </c>
      <c r="D196">
        <v>74</v>
      </c>
      <c r="E196" t="s">
        <v>755</v>
      </c>
      <c r="F196" t="str">
        <f>IF(Client_churn3[[#This Row],[Type_Forfait]]= "Pro Monde", "B2B", "B2C")</f>
        <v>B2C</v>
      </c>
      <c r="G196">
        <v>213</v>
      </c>
      <c r="H196" s="7">
        <v>35.54</v>
      </c>
      <c r="I1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196" s="9">
        <f>Client_churn3[[#This Row],[Facture_Mensuelle]]*Client_churn3[[#This Row],[Remise Client]]</f>
        <v>0</v>
      </c>
      <c r="K196">
        <v>3</v>
      </c>
      <c r="L196"/>
    </row>
    <row r="197" spans="1:12" x14ac:dyDescent="0.25">
      <c r="A197">
        <f t="shared" ref="A197:A260" si="3">A196+1</f>
        <v>196</v>
      </c>
      <c r="B197" t="s">
        <v>967</v>
      </c>
      <c r="C197" t="s">
        <v>778</v>
      </c>
      <c r="D197">
        <v>99</v>
      </c>
      <c r="E197" t="s">
        <v>746</v>
      </c>
      <c r="F197" t="str">
        <f>IF(Client_churn3[[#This Row],[Type_Forfait]]= "Pro Monde", "B2B", "B2C")</f>
        <v>B2B</v>
      </c>
      <c r="G197">
        <v>325</v>
      </c>
      <c r="H197" s="7">
        <v>88.35</v>
      </c>
      <c r="I1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97" s="9">
        <f>Client_churn3[[#This Row],[Facture_Mensuelle]]*Client_churn3[[#This Row],[Remise Client]]</f>
        <v>8.8349999999999991</v>
      </c>
      <c r="K197">
        <v>4</v>
      </c>
      <c r="L197"/>
    </row>
    <row r="198" spans="1:12" x14ac:dyDescent="0.25">
      <c r="A198">
        <f t="shared" si="3"/>
        <v>197</v>
      </c>
      <c r="B198" t="s">
        <v>968</v>
      </c>
      <c r="C198" t="s">
        <v>782</v>
      </c>
      <c r="D198">
        <v>36</v>
      </c>
      <c r="E198" t="s">
        <v>743</v>
      </c>
      <c r="F198" t="str">
        <f>IF(Client_churn3[[#This Row],[Type_Forfait]]= "Pro Monde", "B2B", "B2C")</f>
        <v>B2C</v>
      </c>
      <c r="G198">
        <v>303</v>
      </c>
      <c r="H198" s="7">
        <v>89.56</v>
      </c>
      <c r="I1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198" s="9">
        <f>Client_churn3[[#This Row],[Facture_Mensuelle]]*Client_churn3[[#This Row],[Remise Client]]</f>
        <v>40.302</v>
      </c>
      <c r="K198">
        <v>1</v>
      </c>
      <c r="L198"/>
    </row>
    <row r="199" spans="1:12" x14ac:dyDescent="0.25">
      <c r="A199">
        <f t="shared" si="3"/>
        <v>198</v>
      </c>
      <c r="B199" t="s">
        <v>969</v>
      </c>
      <c r="C199" t="s">
        <v>774</v>
      </c>
      <c r="D199">
        <v>15</v>
      </c>
      <c r="E199" t="s">
        <v>746</v>
      </c>
      <c r="F199" t="str">
        <f>IF(Client_churn3[[#This Row],[Type_Forfait]]= "Pro Monde", "B2B", "B2C")</f>
        <v>B2B</v>
      </c>
      <c r="G199">
        <v>203</v>
      </c>
      <c r="H199" s="7">
        <v>55.29</v>
      </c>
      <c r="I1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199" s="9">
        <f>Client_churn3[[#This Row],[Facture_Mensuelle]]*Client_churn3[[#This Row],[Remise Client]]</f>
        <v>5.5289999999999999</v>
      </c>
      <c r="K199">
        <v>2</v>
      </c>
      <c r="L199"/>
    </row>
    <row r="200" spans="1:12" x14ac:dyDescent="0.25">
      <c r="A200">
        <f t="shared" si="3"/>
        <v>199</v>
      </c>
      <c r="B200" t="s">
        <v>970</v>
      </c>
      <c r="C200" t="s">
        <v>758</v>
      </c>
      <c r="D200">
        <v>25</v>
      </c>
      <c r="E200" t="s">
        <v>746</v>
      </c>
      <c r="F200" t="str">
        <f>IF(Client_churn3[[#This Row],[Type_Forfait]]= "Pro Monde", "B2B", "B2C")</f>
        <v>B2B</v>
      </c>
      <c r="G200">
        <v>218</v>
      </c>
      <c r="H200" s="7">
        <v>68.790000000000006</v>
      </c>
      <c r="I2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00" s="9">
        <f>Client_churn3[[#This Row],[Facture_Mensuelle]]*Client_churn3[[#This Row],[Remise Client]]</f>
        <v>6.8790000000000013</v>
      </c>
      <c r="K200">
        <v>0</v>
      </c>
      <c r="L200"/>
    </row>
    <row r="201" spans="1:12" x14ac:dyDescent="0.25">
      <c r="A201">
        <f t="shared" si="3"/>
        <v>200</v>
      </c>
      <c r="B201" t="s">
        <v>971</v>
      </c>
      <c r="C201" t="s">
        <v>768</v>
      </c>
      <c r="D201">
        <v>49</v>
      </c>
      <c r="E201" t="s">
        <v>743</v>
      </c>
      <c r="F201" t="str">
        <f>IF(Client_churn3[[#This Row],[Type_Forfait]]= "Pro Monde", "B2B", "B2C")</f>
        <v>B2C</v>
      </c>
      <c r="G201">
        <v>288</v>
      </c>
      <c r="H201" s="7">
        <v>91.32</v>
      </c>
      <c r="I2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01" s="9">
        <f>Client_churn3[[#This Row],[Facture_Mensuelle]]*Client_churn3[[#This Row],[Remise Client]]</f>
        <v>41.094000000000001</v>
      </c>
      <c r="K201">
        <v>4</v>
      </c>
      <c r="L201"/>
    </row>
    <row r="202" spans="1:12" x14ac:dyDescent="0.25">
      <c r="A202">
        <f t="shared" si="3"/>
        <v>201</v>
      </c>
      <c r="B202" t="s">
        <v>972</v>
      </c>
      <c r="C202" t="s">
        <v>764</v>
      </c>
      <c r="D202">
        <v>58</v>
      </c>
      <c r="E202" t="s">
        <v>746</v>
      </c>
      <c r="F202" t="str">
        <f>IF(Client_churn3[[#This Row],[Type_Forfait]]= "Pro Monde", "B2B", "B2C")</f>
        <v>B2B</v>
      </c>
      <c r="G202">
        <v>352</v>
      </c>
      <c r="H202" s="7">
        <v>72.94</v>
      </c>
      <c r="I2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02" s="9">
        <f>Client_churn3[[#This Row],[Facture_Mensuelle]]*Client_churn3[[#This Row],[Remise Client]]</f>
        <v>7.2940000000000005</v>
      </c>
      <c r="K202">
        <v>0</v>
      </c>
      <c r="L202"/>
    </row>
    <row r="203" spans="1:12" x14ac:dyDescent="0.25">
      <c r="A203">
        <f t="shared" si="3"/>
        <v>202</v>
      </c>
      <c r="B203" t="s">
        <v>973</v>
      </c>
      <c r="C203" t="s">
        <v>745</v>
      </c>
      <c r="D203">
        <v>102</v>
      </c>
      <c r="E203" t="s">
        <v>749</v>
      </c>
      <c r="F203" t="str">
        <f>IF(Client_churn3[[#This Row],[Type_Forfait]]= "Pro Monde", "B2B", "B2C")</f>
        <v>B2C</v>
      </c>
      <c r="G203">
        <v>240</v>
      </c>
      <c r="H203" s="7">
        <v>12.52</v>
      </c>
      <c r="I2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03" s="9">
        <f>Client_churn3[[#This Row],[Facture_Mensuelle]]*Client_churn3[[#This Row],[Remise Client]]</f>
        <v>5.6340000000000003</v>
      </c>
      <c r="K203">
        <v>2</v>
      </c>
      <c r="L203"/>
    </row>
    <row r="204" spans="1:12" x14ac:dyDescent="0.25">
      <c r="A204">
        <f t="shared" si="3"/>
        <v>203</v>
      </c>
      <c r="B204" t="s">
        <v>974</v>
      </c>
      <c r="C204" t="s">
        <v>778</v>
      </c>
      <c r="D204">
        <v>99</v>
      </c>
      <c r="E204" t="s">
        <v>743</v>
      </c>
      <c r="F204" t="str">
        <f>IF(Client_churn3[[#This Row],[Type_Forfait]]= "Pro Monde", "B2B", "B2C")</f>
        <v>B2C</v>
      </c>
      <c r="G204">
        <v>369</v>
      </c>
      <c r="H204" s="7">
        <v>67.209999999999994</v>
      </c>
      <c r="I2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04" s="9">
        <f>Client_churn3[[#This Row],[Facture_Mensuelle]]*Client_churn3[[#This Row],[Remise Client]]</f>
        <v>30.244499999999999</v>
      </c>
      <c r="K204">
        <v>3</v>
      </c>
      <c r="L204"/>
    </row>
    <row r="205" spans="1:12" x14ac:dyDescent="0.25">
      <c r="A205">
        <f t="shared" si="3"/>
        <v>204</v>
      </c>
      <c r="B205" t="s">
        <v>975</v>
      </c>
      <c r="C205" t="s">
        <v>809</v>
      </c>
      <c r="D205">
        <v>82</v>
      </c>
      <c r="E205" t="s">
        <v>755</v>
      </c>
      <c r="F205" t="str">
        <f>IF(Client_churn3[[#This Row],[Type_Forfait]]= "Pro Monde", "B2B", "B2C")</f>
        <v>B2C</v>
      </c>
      <c r="G205">
        <v>264</v>
      </c>
      <c r="H205" s="7">
        <v>88.03</v>
      </c>
      <c r="I2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05" s="9">
        <f>Client_churn3[[#This Row],[Facture_Mensuelle]]*Client_churn3[[#This Row],[Remise Client]]</f>
        <v>39.613500000000002</v>
      </c>
      <c r="K205">
        <v>1</v>
      </c>
      <c r="L205"/>
    </row>
    <row r="206" spans="1:12" x14ac:dyDescent="0.25">
      <c r="A206">
        <f t="shared" si="3"/>
        <v>205</v>
      </c>
      <c r="B206" t="s">
        <v>976</v>
      </c>
      <c r="C206" t="s">
        <v>764</v>
      </c>
      <c r="D206">
        <v>72</v>
      </c>
      <c r="E206" t="s">
        <v>749</v>
      </c>
      <c r="F206" t="str">
        <f>IF(Client_churn3[[#This Row],[Type_Forfait]]= "Pro Monde", "B2B", "B2C")</f>
        <v>B2C</v>
      </c>
      <c r="G206">
        <v>51</v>
      </c>
      <c r="H206" s="7">
        <v>95.09</v>
      </c>
      <c r="I2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06" s="9">
        <f>Client_churn3[[#This Row],[Facture_Mensuelle]]*Client_churn3[[#This Row],[Remise Client]]</f>
        <v>0</v>
      </c>
      <c r="K206">
        <v>0</v>
      </c>
      <c r="L206"/>
    </row>
    <row r="207" spans="1:12" x14ac:dyDescent="0.25">
      <c r="A207">
        <f t="shared" si="3"/>
        <v>206</v>
      </c>
      <c r="B207" t="s">
        <v>977</v>
      </c>
      <c r="C207" t="s">
        <v>799</v>
      </c>
      <c r="D207">
        <v>110</v>
      </c>
      <c r="E207" t="s">
        <v>746</v>
      </c>
      <c r="F207" t="str">
        <f>IF(Client_churn3[[#This Row],[Type_Forfait]]= "Pro Monde", "B2B", "B2C")</f>
        <v>B2B</v>
      </c>
      <c r="G207">
        <v>423</v>
      </c>
      <c r="H207" s="7">
        <v>37.35</v>
      </c>
      <c r="I2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07" s="9">
        <f>Client_churn3[[#This Row],[Facture_Mensuelle]]*Client_churn3[[#This Row],[Remise Client]]</f>
        <v>3.7350000000000003</v>
      </c>
      <c r="K207">
        <v>4</v>
      </c>
      <c r="L207"/>
    </row>
    <row r="208" spans="1:12" x14ac:dyDescent="0.25">
      <c r="A208">
        <f t="shared" si="3"/>
        <v>207</v>
      </c>
      <c r="B208" t="s">
        <v>978</v>
      </c>
      <c r="C208" t="s">
        <v>764</v>
      </c>
      <c r="D208">
        <v>104</v>
      </c>
      <c r="E208" t="s">
        <v>746</v>
      </c>
      <c r="F208" t="str">
        <f>IF(Client_churn3[[#This Row],[Type_Forfait]]= "Pro Monde", "B2B", "B2C")</f>
        <v>B2B</v>
      </c>
      <c r="G208">
        <v>60</v>
      </c>
      <c r="H208" s="7">
        <v>45.51</v>
      </c>
      <c r="I2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08" s="9">
        <f>Client_churn3[[#This Row],[Facture_Mensuelle]]*Client_churn3[[#This Row],[Remise Client]]</f>
        <v>4.5510000000000002</v>
      </c>
      <c r="K208">
        <v>1</v>
      </c>
      <c r="L208"/>
    </row>
    <row r="209" spans="1:12" x14ac:dyDescent="0.25">
      <c r="A209">
        <f t="shared" si="3"/>
        <v>208</v>
      </c>
      <c r="B209" t="s">
        <v>979</v>
      </c>
      <c r="C209" t="s">
        <v>766</v>
      </c>
      <c r="D209">
        <v>96</v>
      </c>
      <c r="E209" t="s">
        <v>749</v>
      </c>
      <c r="F209" t="str">
        <f>IF(Client_churn3[[#This Row],[Type_Forfait]]= "Pro Monde", "B2B", "B2C")</f>
        <v>B2C</v>
      </c>
      <c r="G209">
        <v>290</v>
      </c>
      <c r="H209" s="7">
        <v>29</v>
      </c>
      <c r="I2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09" s="9">
        <f>Client_churn3[[#This Row],[Facture_Mensuelle]]*Client_churn3[[#This Row],[Remise Client]]</f>
        <v>13.05</v>
      </c>
      <c r="K209">
        <v>3</v>
      </c>
      <c r="L209"/>
    </row>
    <row r="210" spans="1:12" x14ac:dyDescent="0.25">
      <c r="A210">
        <f t="shared" si="3"/>
        <v>209</v>
      </c>
      <c r="B210" t="s">
        <v>980</v>
      </c>
      <c r="C210" t="s">
        <v>764</v>
      </c>
      <c r="D210">
        <v>17</v>
      </c>
      <c r="E210" t="s">
        <v>749</v>
      </c>
      <c r="F210" t="str">
        <f>IF(Client_churn3[[#This Row],[Type_Forfait]]= "Pro Monde", "B2B", "B2C")</f>
        <v>B2C</v>
      </c>
      <c r="G210">
        <v>483</v>
      </c>
      <c r="H210" s="7">
        <v>77.08</v>
      </c>
      <c r="I2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10" s="9">
        <f>Client_churn3[[#This Row],[Facture_Mensuelle]]*Client_churn3[[#This Row],[Remise Client]]</f>
        <v>34.686</v>
      </c>
      <c r="K210">
        <v>0</v>
      </c>
      <c r="L210"/>
    </row>
    <row r="211" spans="1:12" x14ac:dyDescent="0.25">
      <c r="A211">
        <f t="shared" si="3"/>
        <v>210</v>
      </c>
      <c r="B211" t="s">
        <v>981</v>
      </c>
      <c r="C211" t="s">
        <v>796</v>
      </c>
      <c r="D211">
        <v>43</v>
      </c>
      <c r="E211" t="s">
        <v>755</v>
      </c>
      <c r="F211" t="str">
        <f>IF(Client_churn3[[#This Row],[Type_Forfait]]= "Pro Monde", "B2B", "B2C")</f>
        <v>B2C</v>
      </c>
      <c r="G211">
        <v>193</v>
      </c>
      <c r="H211" s="7">
        <v>35.81</v>
      </c>
      <c r="I2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11" s="9">
        <f>Client_churn3[[#This Row],[Facture_Mensuelle]]*Client_churn3[[#This Row],[Remise Client]]</f>
        <v>0</v>
      </c>
      <c r="K211">
        <v>0</v>
      </c>
      <c r="L211"/>
    </row>
    <row r="212" spans="1:12" x14ac:dyDescent="0.25">
      <c r="A212">
        <f t="shared" si="3"/>
        <v>211</v>
      </c>
      <c r="B212" t="s">
        <v>982</v>
      </c>
      <c r="C212" t="s">
        <v>748</v>
      </c>
      <c r="D212">
        <v>104</v>
      </c>
      <c r="E212" t="s">
        <v>746</v>
      </c>
      <c r="F212" t="str">
        <f>IF(Client_churn3[[#This Row],[Type_Forfait]]= "Pro Monde", "B2B", "B2C")</f>
        <v>B2B</v>
      </c>
      <c r="G212">
        <v>125</v>
      </c>
      <c r="H212" s="7">
        <v>29.7</v>
      </c>
      <c r="I2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12" s="9">
        <f>Client_churn3[[#This Row],[Facture_Mensuelle]]*Client_churn3[[#This Row],[Remise Client]]</f>
        <v>2.97</v>
      </c>
      <c r="K212">
        <v>2</v>
      </c>
      <c r="L212"/>
    </row>
    <row r="213" spans="1:12" x14ac:dyDescent="0.25">
      <c r="A213">
        <f t="shared" si="3"/>
        <v>212</v>
      </c>
      <c r="B213" t="s">
        <v>983</v>
      </c>
      <c r="C213" t="s">
        <v>806</v>
      </c>
      <c r="D213">
        <v>6</v>
      </c>
      <c r="E213" t="s">
        <v>746</v>
      </c>
      <c r="F213" t="str">
        <f>IF(Client_churn3[[#This Row],[Type_Forfait]]= "Pro Monde", "B2B", "B2C")</f>
        <v>B2B</v>
      </c>
      <c r="G213">
        <v>342</v>
      </c>
      <c r="H213" s="7">
        <v>50.55</v>
      </c>
      <c r="I2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13" s="9">
        <f>Client_churn3[[#This Row],[Facture_Mensuelle]]*Client_churn3[[#This Row],[Remise Client]]</f>
        <v>5.0549999999999997</v>
      </c>
      <c r="K213">
        <v>5</v>
      </c>
      <c r="L213"/>
    </row>
    <row r="214" spans="1:12" x14ac:dyDescent="0.25">
      <c r="A214">
        <f t="shared" si="3"/>
        <v>213</v>
      </c>
      <c r="B214" t="s">
        <v>984</v>
      </c>
      <c r="C214" t="s">
        <v>799</v>
      </c>
      <c r="D214">
        <v>109</v>
      </c>
      <c r="E214" t="s">
        <v>749</v>
      </c>
      <c r="F214" t="str">
        <f>IF(Client_churn3[[#This Row],[Type_Forfait]]= "Pro Monde", "B2B", "B2C")</f>
        <v>B2C</v>
      </c>
      <c r="G214">
        <v>347</v>
      </c>
      <c r="H214" s="7">
        <v>43.06</v>
      </c>
      <c r="I2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14" s="9">
        <f>Client_churn3[[#This Row],[Facture_Mensuelle]]*Client_churn3[[#This Row],[Remise Client]]</f>
        <v>19.377000000000002</v>
      </c>
      <c r="K214">
        <v>4</v>
      </c>
      <c r="L214"/>
    </row>
    <row r="215" spans="1:12" x14ac:dyDescent="0.25">
      <c r="A215">
        <f t="shared" si="3"/>
        <v>214</v>
      </c>
      <c r="B215" t="s">
        <v>985</v>
      </c>
      <c r="C215" t="s">
        <v>796</v>
      </c>
      <c r="D215">
        <v>110</v>
      </c>
      <c r="E215" t="s">
        <v>755</v>
      </c>
      <c r="F215" t="str">
        <f>IF(Client_churn3[[#This Row],[Type_Forfait]]= "Pro Monde", "B2B", "B2C")</f>
        <v>B2C</v>
      </c>
      <c r="G215">
        <v>321</v>
      </c>
      <c r="H215" s="7">
        <v>81.569999999999993</v>
      </c>
      <c r="I2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15" s="9">
        <f>Client_churn3[[#This Row],[Facture_Mensuelle]]*Client_churn3[[#This Row],[Remise Client]]</f>
        <v>36.706499999999998</v>
      </c>
      <c r="K215">
        <v>2</v>
      </c>
      <c r="L215"/>
    </row>
    <row r="216" spans="1:12" x14ac:dyDescent="0.25">
      <c r="A216">
        <f t="shared" si="3"/>
        <v>215</v>
      </c>
      <c r="B216" t="s">
        <v>986</v>
      </c>
      <c r="C216" t="s">
        <v>770</v>
      </c>
      <c r="D216">
        <v>17</v>
      </c>
      <c r="E216" t="s">
        <v>749</v>
      </c>
      <c r="F216" t="str">
        <f>IF(Client_churn3[[#This Row],[Type_Forfait]]= "Pro Monde", "B2B", "B2C")</f>
        <v>B2C</v>
      </c>
      <c r="G216">
        <v>310</v>
      </c>
      <c r="H216" s="7">
        <v>19.68</v>
      </c>
      <c r="I2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16" s="9">
        <f>Client_churn3[[#This Row],[Facture_Mensuelle]]*Client_churn3[[#This Row],[Remise Client]]</f>
        <v>8.8559999999999999</v>
      </c>
      <c r="K216">
        <v>5</v>
      </c>
      <c r="L216"/>
    </row>
    <row r="217" spans="1:12" x14ac:dyDescent="0.25">
      <c r="A217">
        <f t="shared" si="3"/>
        <v>216</v>
      </c>
      <c r="B217" t="s">
        <v>987</v>
      </c>
      <c r="C217" t="s">
        <v>754</v>
      </c>
      <c r="D217">
        <v>75</v>
      </c>
      <c r="E217" t="s">
        <v>743</v>
      </c>
      <c r="F217" t="str">
        <f>IF(Client_churn3[[#This Row],[Type_Forfait]]= "Pro Monde", "B2B", "B2C")</f>
        <v>B2C</v>
      </c>
      <c r="G217">
        <v>370</v>
      </c>
      <c r="H217" s="7">
        <v>21.67</v>
      </c>
      <c r="I2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17" s="9">
        <f>Client_churn3[[#This Row],[Facture_Mensuelle]]*Client_churn3[[#This Row],[Remise Client]]</f>
        <v>9.7515000000000018</v>
      </c>
      <c r="K217">
        <v>0</v>
      </c>
      <c r="L217"/>
    </row>
    <row r="218" spans="1:12" x14ac:dyDescent="0.25">
      <c r="A218">
        <f t="shared" si="3"/>
        <v>217</v>
      </c>
      <c r="B218" t="s">
        <v>988</v>
      </c>
      <c r="C218" t="s">
        <v>745</v>
      </c>
      <c r="D218">
        <v>12</v>
      </c>
      <c r="E218" t="s">
        <v>743</v>
      </c>
      <c r="F218" t="str">
        <f>IF(Client_churn3[[#This Row],[Type_Forfait]]= "Pro Monde", "B2B", "B2C")</f>
        <v>B2C</v>
      </c>
      <c r="G218">
        <v>62</v>
      </c>
      <c r="H218" s="7">
        <v>36.1</v>
      </c>
      <c r="I2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18" s="9">
        <f>Client_churn3[[#This Row],[Facture_Mensuelle]]*Client_churn3[[#This Row],[Remise Client]]</f>
        <v>0</v>
      </c>
      <c r="K218">
        <v>5</v>
      </c>
      <c r="L218"/>
    </row>
    <row r="219" spans="1:12" x14ac:dyDescent="0.25">
      <c r="A219">
        <f t="shared" si="3"/>
        <v>218</v>
      </c>
      <c r="B219" t="s">
        <v>989</v>
      </c>
      <c r="C219" t="s">
        <v>774</v>
      </c>
      <c r="D219">
        <v>71</v>
      </c>
      <c r="E219" t="s">
        <v>746</v>
      </c>
      <c r="F219" t="str">
        <f>IF(Client_churn3[[#This Row],[Type_Forfait]]= "Pro Monde", "B2B", "B2C")</f>
        <v>B2B</v>
      </c>
      <c r="G219">
        <v>111</v>
      </c>
      <c r="H219" s="7">
        <v>95.53</v>
      </c>
      <c r="I2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19" s="9">
        <f>Client_churn3[[#This Row],[Facture_Mensuelle]]*Client_churn3[[#This Row],[Remise Client]]</f>
        <v>9.5530000000000008</v>
      </c>
      <c r="K219">
        <v>3</v>
      </c>
      <c r="L219"/>
    </row>
    <row r="220" spans="1:12" x14ac:dyDescent="0.25">
      <c r="A220">
        <f t="shared" si="3"/>
        <v>219</v>
      </c>
      <c r="B220" t="s">
        <v>990</v>
      </c>
      <c r="C220" t="s">
        <v>780</v>
      </c>
      <c r="D220">
        <v>67</v>
      </c>
      <c r="E220" t="s">
        <v>755</v>
      </c>
      <c r="F220" t="str">
        <f>IF(Client_churn3[[#This Row],[Type_Forfait]]= "Pro Monde", "B2B", "B2C")</f>
        <v>B2C</v>
      </c>
      <c r="G220">
        <v>241</v>
      </c>
      <c r="H220" s="7">
        <v>47.72</v>
      </c>
      <c r="I2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20" s="9">
        <f>Client_churn3[[#This Row],[Facture_Mensuelle]]*Client_churn3[[#This Row],[Remise Client]]</f>
        <v>21.474</v>
      </c>
      <c r="K220">
        <v>0</v>
      </c>
      <c r="L220"/>
    </row>
    <row r="221" spans="1:12" x14ac:dyDescent="0.25">
      <c r="A221">
        <f t="shared" si="3"/>
        <v>220</v>
      </c>
      <c r="B221" t="s">
        <v>991</v>
      </c>
      <c r="C221" t="s">
        <v>834</v>
      </c>
      <c r="D221">
        <v>79</v>
      </c>
      <c r="E221" t="s">
        <v>755</v>
      </c>
      <c r="F221" t="str">
        <f>IF(Client_churn3[[#This Row],[Type_Forfait]]= "Pro Monde", "B2B", "B2C")</f>
        <v>B2C</v>
      </c>
      <c r="G221">
        <v>226</v>
      </c>
      <c r="H221" s="7">
        <v>94.38</v>
      </c>
      <c r="I2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21" s="9">
        <f>Client_churn3[[#This Row],[Facture_Mensuelle]]*Client_churn3[[#This Row],[Remise Client]]</f>
        <v>0</v>
      </c>
      <c r="K221">
        <v>3</v>
      </c>
      <c r="L221"/>
    </row>
    <row r="222" spans="1:12" x14ac:dyDescent="0.25">
      <c r="A222">
        <f t="shared" si="3"/>
        <v>221</v>
      </c>
      <c r="B222" t="s">
        <v>992</v>
      </c>
      <c r="C222" t="s">
        <v>794</v>
      </c>
      <c r="D222">
        <v>53</v>
      </c>
      <c r="E222" t="s">
        <v>746</v>
      </c>
      <c r="F222" t="str">
        <f>IF(Client_churn3[[#This Row],[Type_Forfait]]= "Pro Monde", "B2B", "B2C")</f>
        <v>B2B</v>
      </c>
      <c r="G222">
        <v>27</v>
      </c>
      <c r="H222" s="7">
        <v>18.77</v>
      </c>
      <c r="I2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22" s="9">
        <f>Client_churn3[[#This Row],[Facture_Mensuelle]]*Client_churn3[[#This Row],[Remise Client]]</f>
        <v>1.877</v>
      </c>
      <c r="K222">
        <v>0</v>
      </c>
      <c r="L222"/>
    </row>
    <row r="223" spans="1:12" x14ac:dyDescent="0.25">
      <c r="A223">
        <f t="shared" si="3"/>
        <v>222</v>
      </c>
      <c r="B223" t="s">
        <v>993</v>
      </c>
      <c r="C223" t="s">
        <v>806</v>
      </c>
      <c r="D223">
        <v>101</v>
      </c>
      <c r="E223" t="s">
        <v>743</v>
      </c>
      <c r="F223" t="str">
        <f>IF(Client_churn3[[#This Row],[Type_Forfait]]= "Pro Monde", "B2B", "B2C")</f>
        <v>B2C</v>
      </c>
      <c r="G223">
        <v>262</v>
      </c>
      <c r="H223" s="7">
        <v>83.74</v>
      </c>
      <c r="I2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23" s="9">
        <f>Client_churn3[[#This Row],[Facture_Mensuelle]]*Client_churn3[[#This Row],[Remise Client]]</f>
        <v>37.683</v>
      </c>
      <c r="K223">
        <v>5</v>
      </c>
      <c r="L223"/>
    </row>
    <row r="224" spans="1:12" x14ac:dyDescent="0.25">
      <c r="A224">
        <f t="shared" si="3"/>
        <v>223</v>
      </c>
      <c r="B224" t="s">
        <v>994</v>
      </c>
      <c r="C224" t="s">
        <v>742</v>
      </c>
      <c r="D224">
        <v>83</v>
      </c>
      <c r="E224" t="s">
        <v>746</v>
      </c>
      <c r="F224" t="str">
        <f>IF(Client_churn3[[#This Row],[Type_Forfait]]= "Pro Monde", "B2B", "B2C")</f>
        <v>B2B</v>
      </c>
      <c r="G224">
        <v>420</v>
      </c>
      <c r="H224" s="7">
        <v>94.9</v>
      </c>
      <c r="I2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24" s="9">
        <f>Client_churn3[[#This Row],[Facture_Mensuelle]]*Client_churn3[[#This Row],[Remise Client]]</f>
        <v>9.49</v>
      </c>
      <c r="K224">
        <v>1</v>
      </c>
      <c r="L224"/>
    </row>
    <row r="225" spans="1:12" x14ac:dyDescent="0.25">
      <c r="A225">
        <f t="shared" si="3"/>
        <v>224</v>
      </c>
      <c r="B225" t="s">
        <v>995</v>
      </c>
      <c r="C225" t="s">
        <v>748</v>
      </c>
      <c r="D225">
        <v>23</v>
      </c>
      <c r="E225" t="s">
        <v>755</v>
      </c>
      <c r="F225" t="str">
        <f>IF(Client_churn3[[#This Row],[Type_Forfait]]= "Pro Monde", "B2B", "B2C")</f>
        <v>B2C</v>
      </c>
      <c r="G225">
        <v>268</v>
      </c>
      <c r="H225" s="7">
        <v>26.75</v>
      </c>
      <c r="I2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25" s="9">
        <f>Client_churn3[[#This Row],[Facture_Mensuelle]]*Client_churn3[[#This Row],[Remise Client]]</f>
        <v>12.0375</v>
      </c>
      <c r="K225">
        <v>3</v>
      </c>
      <c r="L225"/>
    </row>
    <row r="226" spans="1:12" x14ac:dyDescent="0.25">
      <c r="A226">
        <f t="shared" si="3"/>
        <v>225</v>
      </c>
      <c r="B226" t="s">
        <v>996</v>
      </c>
      <c r="C226" t="s">
        <v>742</v>
      </c>
      <c r="D226">
        <v>67</v>
      </c>
      <c r="E226" t="s">
        <v>755</v>
      </c>
      <c r="F226" t="str">
        <f>IF(Client_churn3[[#This Row],[Type_Forfait]]= "Pro Monde", "B2B", "B2C")</f>
        <v>B2C</v>
      </c>
      <c r="G226">
        <v>262</v>
      </c>
      <c r="H226" s="7">
        <v>28.46</v>
      </c>
      <c r="I2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26" s="9">
        <f>Client_churn3[[#This Row],[Facture_Mensuelle]]*Client_churn3[[#This Row],[Remise Client]]</f>
        <v>12.807</v>
      </c>
      <c r="K226">
        <v>3</v>
      </c>
      <c r="L226"/>
    </row>
    <row r="227" spans="1:12" x14ac:dyDescent="0.25">
      <c r="A227">
        <f t="shared" si="3"/>
        <v>226</v>
      </c>
      <c r="B227" t="s">
        <v>997</v>
      </c>
      <c r="C227" t="s">
        <v>742</v>
      </c>
      <c r="D227">
        <v>2</v>
      </c>
      <c r="E227" t="s">
        <v>746</v>
      </c>
      <c r="F227" t="str">
        <f>IF(Client_churn3[[#This Row],[Type_Forfait]]= "Pro Monde", "B2B", "B2C")</f>
        <v>B2B</v>
      </c>
      <c r="G227">
        <v>142</v>
      </c>
      <c r="H227" s="7">
        <v>37.799999999999997</v>
      </c>
      <c r="I2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27" s="9">
        <f>Client_churn3[[#This Row],[Facture_Mensuelle]]*Client_churn3[[#This Row],[Remise Client]]</f>
        <v>3.78</v>
      </c>
      <c r="K227">
        <v>0</v>
      </c>
      <c r="L227"/>
    </row>
    <row r="228" spans="1:12" x14ac:dyDescent="0.25">
      <c r="A228">
        <f t="shared" si="3"/>
        <v>227</v>
      </c>
      <c r="B228" t="s">
        <v>998</v>
      </c>
      <c r="C228" t="s">
        <v>745</v>
      </c>
      <c r="D228">
        <v>109</v>
      </c>
      <c r="E228" t="s">
        <v>746</v>
      </c>
      <c r="F228" t="str">
        <f>IF(Client_churn3[[#This Row],[Type_Forfait]]= "Pro Monde", "B2B", "B2C")</f>
        <v>B2B</v>
      </c>
      <c r="G228">
        <v>480</v>
      </c>
      <c r="H228" s="7">
        <v>31.36</v>
      </c>
      <c r="I2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28" s="9">
        <f>Client_churn3[[#This Row],[Facture_Mensuelle]]*Client_churn3[[#This Row],[Remise Client]]</f>
        <v>3.1360000000000001</v>
      </c>
      <c r="K228">
        <v>0</v>
      </c>
      <c r="L228"/>
    </row>
    <row r="229" spans="1:12" x14ac:dyDescent="0.25">
      <c r="A229">
        <f t="shared" si="3"/>
        <v>228</v>
      </c>
      <c r="B229" t="s">
        <v>999</v>
      </c>
      <c r="C229" t="s">
        <v>794</v>
      </c>
      <c r="D229">
        <v>54</v>
      </c>
      <c r="E229" t="s">
        <v>743</v>
      </c>
      <c r="F229" t="str">
        <f>IF(Client_churn3[[#This Row],[Type_Forfait]]= "Pro Monde", "B2B", "B2C")</f>
        <v>B2C</v>
      </c>
      <c r="G229">
        <v>99</v>
      </c>
      <c r="H229" s="7">
        <v>39.58</v>
      </c>
      <c r="I2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29" s="9">
        <f>Client_churn3[[#This Row],[Facture_Mensuelle]]*Client_churn3[[#This Row],[Remise Client]]</f>
        <v>0</v>
      </c>
      <c r="K229">
        <v>0</v>
      </c>
      <c r="L229"/>
    </row>
    <row r="230" spans="1:12" x14ac:dyDescent="0.25">
      <c r="A230">
        <f t="shared" si="3"/>
        <v>229</v>
      </c>
      <c r="B230" t="s">
        <v>1000</v>
      </c>
      <c r="C230" t="s">
        <v>758</v>
      </c>
      <c r="D230">
        <v>118</v>
      </c>
      <c r="E230" t="s">
        <v>743</v>
      </c>
      <c r="F230" t="str">
        <f>IF(Client_churn3[[#This Row],[Type_Forfait]]= "Pro Monde", "B2B", "B2C")</f>
        <v>B2C</v>
      </c>
      <c r="G230">
        <v>461</v>
      </c>
      <c r="H230" s="7">
        <v>47.82</v>
      </c>
      <c r="I2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30" s="9">
        <f>Client_churn3[[#This Row],[Facture_Mensuelle]]*Client_churn3[[#This Row],[Remise Client]]</f>
        <v>21.519000000000002</v>
      </c>
      <c r="K230">
        <v>5</v>
      </c>
      <c r="L230"/>
    </row>
    <row r="231" spans="1:12" x14ac:dyDescent="0.25">
      <c r="A231">
        <f t="shared" si="3"/>
        <v>230</v>
      </c>
      <c r="B231" t="s">
        <v>1001</v>
      </c>
      <c r="C231" t="s">
        <v>842</v>
      </c>
      <c r="D231">
        <v>86</v>
      </c>
      <c r="E231" t="s">
        <v>746</v>
      </c>
      <c r="F231" t="str">
        <f>IF(Client_churn3[[#This Row],[Type_Forfait]]= "Pro Monde", "B2B", "B2C")</f>
        <v>B2B</v>
      </c>
      <c r="G231">
        <v>237</v>
      </c>
      <c r="H231" s="7">
        <v>85.82</v>
      </c>
      <c r="I2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31" s="9">
        <f>Client_churn3[[#This Row],[Facture_Mensuelle]]*Client_churn3[[#This Row],[Remise Client]]</f>
        <v>8.581999999999999</v>
      </c>
      <c r="K231">
        <v>5</v>
      </c>
      <c r="L231"/>
    </row>
    <row r="232" spans="1:12" x14ac:dyDescent="0.25">
      <c r="A232">
        <f t="shared" si="3"/>
        <v>231</v>
      </c>
      <c r="B232" t="s">
        <v>1002</v>
      </c>
      <c r="C232" t="s">
        <v>796</v>
      </c>
      <c r="D232">
        <v>14</v>
      </c>
      <c r="E232" t="s">
        <v>746</v>
      </c>
      <c r="F232" t="str">
        <f>IF(Client_churn3[[#This Row],[Type_Forfait]]= "Pro Monde", "B2B", "B2C")</f>
        <v>B2B</v>
      </c>
      <c r="G232">
        <v>316</v>
      </c>
      <c r="H232" s="7">
        <v>62.34</v>
      </c>
      <c r="I2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32" s="9">
        <f>Client_churn3[[#This Row],[Facture_Mensuelle]]*Client_churn3[[#This Row],[Remise Client]]</f>
        <v>6.2340000000000009</v>
      </c>
      <c r="K232">
        <v>4</v>
      </c>
      <c r="L232"/>
    </row>
    <row r="233" spans="1:12" x14ac:dyDescent="0.25">
      <c r="A233">
        <f t="shared" si="3"/>
        <v>232</v>
      </c>
      <c r="B233" t="s">
        <v>1003</v>
      </c>
      <c r="C233" t="s">
        <v>745</v>
      </c>
      <c r="D233">
        <v>41</v>
      </c>
      <c r="E233" t="s">
        <v>749</v>
      </c>
      <c r="F233" t="str">
        <f>IF(Client_churn3[[#This Row],[Type_Forfait]]= "Pro Monde", "B2B", "B2C")</f>
        <v>B2C</v>
      </c>
      <c r="G233">
        <v>404</v>
      </c>
      <c r="H233" s="7">
        <v>98.67</v>
      </c>
      <c r="I2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33" s="9">
        <f>Client_churn3[[#This Row],[Facture_Mensuelle]]*Client_churn3[[#This Row],[Remise Client]]</f>
        <v>44.401499999999999</v>
      </c>
      <c r="K233">
        <v>5</v>
      </c>
      <c r="L233"/>
    </row>
    <row r="234" spans="1:12" x14ac:dyDescent="0.25">
      <c r="A234">
        <f t="shared" si="3"/>
        <v>233</v>
      </c>
      <c r="B234" t="s">
        <v>1004</v>
      </c>
      <c r="C234" t="s">
        <v>806</v>
      </c>
      <c r="D234">
        <v>79</v>
      </c>
      <c r="E234" t="s">
        <v>749</v>
      </c>
      <c r="F234" t="str">
        <f>IF(Client_churn3[[#This Row],[Type_Forfait]]= "Pro Monde", "B2B", "B2C")</f>
        <v>B2C</v>
      </c>
      <c r="G234">
        <v>403</v>
      </c>
      <c r="H234" s="7">
        <v>21.49</v>
      </c>
      <c r="I2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34" s="9">
        <f>Client_churn3[[#This Row],[Facture_Mensuelle]]*Client_churn3[[#This Row],[Remise Client]]</f>
        <v>9.6704999999999988</v>
      </c>
      <c r="K234">
        <v>0</v>
      </c>
      <c r="L234"/>
    </row>
    <row r="235" spans="1:12" x14ac:dyDescent="0.25">
      <c r="A235">
        <f t="shared" si="3"/>
        <v>234</v>
      </c>
      <c r="B235" t="s">
        <v>1005</v>
      </c>
      <c r="C235" t="s">
        <v>764</v>
      </c>
      <c r="D235">
        <v>89</v>
      </c>
      <c r="E235" t="s">
        <v>746</v>
      </c>
      <c r="F235" t="str">
        <f>IF(Client_churn3[[#This Row],[Type_Forfait]]= "Pro Monde", "B2B", "B2C")</f>
        <v>B2B</v>
      </c>
      <c r="G235">
        <v>203</v>
      </c>
      <c r="H235" s="7">
        <v>80.680000000000007</v>
      </c>
      <c r="I2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35" s="9">
        <f>Client_churn3[[#This Row],[Facture_Mensuelle]]*Client_churn3[[#This Row],[Remise Client]]</f>
        <v>8.0680000000000014</v>
      </c>
      <c r="K235">
        <v>5</v>
      </c>
      <c r="L235"/>
    </row>
    <row r="236" spans="1:12" x14ac:dyDescent="0.25">
      <c r="A236">
        <f t="shared" si="3"/>
        <v>235</v>
      </c>
      <c r="B236" t="s">
        <v>1006</v>
      </c>
      <c r="C236" t="s">
        <v>774</v>
      </c>
      <c r="D236">
        <v>18</v>
      </c>
      <c r="E236" t="s">
        <v>743</v>
      </c>
      <c r="F236" t="str">
        <f>IF(Client_churn3[[#This Row],[Type_Forfait]]= "Pro Monde", "B2B", "B2C")</f>
        <v>B2C</v>
      </c>
      <c r="G236">
        <v>291</v>
      </c>
      <c r="H236" s="7">
        <v>97.98</v>
      </c>
      <c r="I2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36" s="9">
        <f>Client_churn3[[#This Row],[Facture_Mensuelle]]*Client_churn3[[#This Row],[Remise Client]]</f>
        <v>44.091000000000001</v>
      </c>
      <c r="K236">
        <v>1</v>
      </c>
      <c r="L236"/>
    </row>
    <row r="237" spans="1:12" x14ac:dyDescent="0.25">
      <c r="A237">
        <f t="shared" si="3"/>
        <v>236</v>
      </c>
      <c r="B237" t="s">
        <v>1007</v>
      </c>
      <c r="C237" t="s">
        <v>785</v>
      </c>
      <c r="D237">
        <v>12</v>
      </c>
      <c r="E237" t="s">
        <v>749</v>
      </c>
      <c r="F237" t="str">
        <f>IF(Client_churn3[[#This Row],[Type_Forfait]]= "Pro Monde", "B2B", "B2C")</f>
        <v>B2C</v>
      </c>
      <c r="G237">
        <v>138</v>
      </c>
      <c r="H237" s="7">
        <v>17</v>
      </c>
      <c r="I2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37" s="9">
        <f>Client_churn3[[#This Row],[Facture_Mensuelle]]*Client_churn3[[#This Row],[Remise Client]]</f>
        <v>0</v>
      </c>
      <c r="K237">
        <v>2</v>
      </c>
      <c r="L237"/>
    </row>
    <row r="238" spans="1:12" x14ac:dyDescent="0.25">
      <c r="A238">
        <f t="shared" si="3"/>
        <v>237</v>
      </c>
      <c r="B238" t="s">
        <v>1008</v>
      </c>
      <c r="C238" t="s">
        <v>754</v>
      </c>
      <c r="D238">
        <v>96</v>
      </c>
      <c r="E238" t="s">
        <v>749</v>
      </c>
      <c r="F238" t="str">
        <f>IF(Client_churn3[[#This Row],[Type_Forfait]]= "Pro Monde", "B2B", "B2C")</f>
        <v>B2C</v>
      </c>
      <c r="G238">
        <v>381</v>
      </c>
      <c r="H238" s="7">
        <v>90.78</v>
      </c>
      <c r="I2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38" s="9">
        <f>Client_churn3[[#This Row],[Facture_Mensuelle]]*Client_churn3[[#This Row],[Remise Client]]</f>
        <v>40.850999999999999</v>
      </c>
      <c r="K238">
        <v>2</v>
      </c>
      <c r="L238"/>
    </row>
    <row r="239" spans="1:12" x14ac:dyDescent="0.25">
      <c r="A239">
        <f t="shared" si="3"/>
        <v>238</v>
      </c>
      <c r="B239" t="s">
        <v>1009</v>
      </c>
      <c r="C239" t="s">
        <v>748</v>
      </c>
      <c r="D239">
        <v>120</v>
      </c>
      <c r="E239" t="s">
        <v>743</v>
      </c>
      <c r="F239" t="str">
        <f>IF(Client_churn3[[#This Row],[Type_Forfait]]= "Pro Monde", "B2B", "B2C")</f>
        <v>B2C</v>
      </c>
      <c r="G239">
        <v>27</v>
      </c>
      <c r="H239" s="7">
        <v>24.46</v>
      </c>
      <c r="I2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39" s="9">
        <f>Client_churn3[[#This Row],[Facture_Mensuelle]]*Client_churn3[[#This Row],[Remise Client]]</f>
        <v>0</v>
      </c>
      <c r="K239">
        <v>3</v>
      </c>
      <c r="L239"/>
    </row>
    <row r="240" spans="1:12" x14ac:dyDescent="0.25">
      <c r="A240">
        <f t="shared" si="3"/>
        <v>239</v>
      </c>
      <c r="B240" t="s">
        <v>1010</v>
      </c>
      <c r="C240" t="s">
        <v>768</v>
      </c>
      <c r="D240">
        <v>65</v>
      </c>
      <c r="E240" t="s">
        <v>743</v>
      </c>
      <c r="F240" t="str">
        <f>IF(Client_churn3[[#This Row],[Type_Forfait]]= "Pro Monde", "B2B", "B2C")</f>
        <v>B2C</v>
      </c>
      <c r="G240">
        <v>118</v>
      </c>
      <c r="H240" s="7">
        <v>72.430000000000007</v>
      </c>
      <c r="I2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40" s="9">
        <f>Client_churn3[[#This Row],[Facture_Mensuelle]]*Client_churn3[[#This Row],[Remise Client]]</f>
        <v>0</v>
      </c>
      <c r="K240">
        <v>1</v>
      </c>
      <c r="L240"/>
    </row>
    <row r="241" spans="1:12" x14ac:dyDescent="0.25">
      <c r="A241">
        <f t="shared" si="3"/>
        <v>240</v>
      </c>
      <c r="B241" t="s">
        <v>1011</v>
      </c>
      <c r="C241" t="s">
        <v>778</v>
      </c>
      <c r="D241">
        <v>13</v>
      </c>
      <c r="E241" t="s">
        <v>746</v>
      </c>
      <c r="F241" t="str">
        <f>IF(Client_churn3[[#This Row],[Type_Forfait]]= "Pro Monde", "B2B", "B2C")</f>
        <v>B2B</v>
      </c>
      <c r="G241">
        <v>347</v>
      </c>
      <c r="H241" s="7">
        <v>32.35</v>
      </c>
      <c r="I2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41" s="9">
        <f>Client_churn3[[#This Row],[Facture_Mensuelle]]*Client_churn3[[#This Row],[Remise Client]]</f>
        <v>3.2350000000000003</v>
      </c>
      <c r="K241">
        <v>2</v>
      </c>
      <c r="L241"/>
    </row>
    <row r="242" spans="1:12" x14ac:dyDescent="0.25">
      <c r="A242">
        <f t="shared" si="3"/>
        <v>241</v>
      </c>
      <c r="B242" t="s">
        <v>1012</v>
      </c>
      <c r="C242" t="s">
        <v>794</v>
      </c>
      <c r="D242">
        <v>120</v>
      </c>
      <c r="E242" t="s">
        <v>746</v>
      </c>
      <c r="F242" t="str">
        <f>IF(Client_churn3[[#This Row],[Type_Forfait]]= "Pro Monde", "B2B", "B2C")</f>
        <v>B2B</v>
      </c>
      <c r="G242">
        <v>72</v>
      </c>
      <c r="H242" s="7">
        <v>29.07</v>
      </c>
      <c r="I2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42" s="9">
        <f>Client_churn3[[#This Row],[Facture_Mensuelle]]*Client_churn3[[#This Row],[Remise Client]]</f>
        <v>2.907</v>
      </c>
      <c r="K242">
        <v>3</v>
      </c>
      <c r="L242"/>
    </row>
    <row r="243" spans="1:12" x14ac:dyDescent="0.25">
      <c r="A243">
        <f t="shared" si="3"/>
        <v>242</v>
      </c>
      <c r="B243" t="s">
        <v>1013</v>
      </c>
      <c r="C243" t="s">
        <v>782</v>
      </c>
      <c r="D243">
        <v>114</v>
      </c>
      <c r="E243" t="s">
        <v>755</v>
      </c>
      <c r="F243" t="str">
        <f>IF(Client_churn3[[#This Row],[Type_Forfait]]= "Pro Monde", "B2B", "B2C")</f>
        <v>B2C</v>
      </c>
      <c r="G243">
        <v>283</v>
      </c>
      <c r="H243" s="7">
        <v>29.15</v>
      </c>
      <c r="I2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3" s="9">
        <f>Client_churn3[[#This Row],[Facture_Mensuelle]]*Client_churn3[[#This Row],[Remise Client]]</f>
        <v>13.1175</v>
      </c>
      <c r="K243">
        <v>3</v>
      </c>
      <c r="L243"/>
    </row>
    <row r="244" spans="1:12" x14ac:dyDescent="0.25">
      <c r="A244">
        <f t="shared" si="3"/>
        <v>243</v>
      </c>
      <c r="B244" t="s">
        <v>1014</v>
      </c>
      <c r="C244" t="s">
        <v>780</v>
      </c>
      <c r="D244">
        <v>58</v>
      </c>
      <c r="E244" t="s">
        <v>743</v>
      </c>
      <c r="F244" t="str">
        <f>IF(Client_churn3[[#This Row],[Type_Forfait]]= "Pro Monde", "B2B", "B2C")</f>
        <v>B2C</v>
      </c>
      <c r="G244">
        <v>405</v>
      </c>
      <c r="H244" s="7">
        <v>18.39</v>
      </c>
      <c r="I2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4" s="9">
        <f>Client_churn3[[#This Row],[Facture_Mensuelle]]*Client_churn3[[#This Row],[Remise Client]]</f>
        <v>8.275500000000001</v>
      </c>
      <c r="K244">
        <v>0</v>
      </c>
      <c r="L244"/>
    </row>
    <row r="245" spans="1:12" x14ac:dyDescent="0.25">
      <c r="A245">
        <f t="shared" si="3"/>
        <v>244</v>
      </c>
      <c r="B245" t="s">
        <v>1015</v>
      </c>
      <c r="C245" t="s">
        <v>794</v>
      </c>
      <c r="D245">
        <v>94</v>
      </c>
      <c r="E245" t="s">
        <v>749</v>
      </c>
      <c r="F245" t="str">
        <f>IF(Client_churn3[[#This Row],[Type_Forfait]]= "Pro Monde", "B2B", "B2C")</f>
        <v>B2C</v>
      </c>
      <c r="G245">
        <v>261</v>
      </c>
      <c r="H245" s="7">
        <v>70.09</v>
      </c>
      <c r="I2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5" s="9">
        <f>Client_churn3[[#This Row],[Facture_Mensuelle]]*Client_churn3[[#This Row],[Remise Client]]</f>
        <v>31.540500000000002</v>
      </c>
      <c r="K245">
        <v>3</v>
      </c>
      <c r="L245"/>
    </row>
    <row r="246" spans="1:12" x14ac:dyDescent="0.25">
      <c r="A246">
        <f t="shared" si="3"/>
        <v>245</v>
      </c>
      <c r="B246" t="s">
        <v>1016</v>
      </c>
      <c r="C246" t="s">
        <v>780</v>
      </c>
      <c r="D246">
        <v>74</v>
      </c>
      <c r="E246" t="s">
        <v>749</v>
      </c>
      <c r="F246" t="str">
        <f>IF(Client_churn3[[#This Row],[Type_Forfait]]= "Pro Monde", "B2B", "B2C")</f>
        <v>B2C</v>
      </c>
      <c r="G246">
        <v>253</v>
      </c>
      <c r="H246" s="7">
        <v>36.94</v>
      </c>
      <c r="I2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6" s="9">
        <f>Client_churn3[[#This Row],[Facture_Mensuelle]]*Client_churn3[[#This Row],[Remise Client]]</f>
        <v>16.623000000000001</v>
      </c>
      <c r="K246">
        <v>5</v>
      </c>
      <c r="L246"/>
    </row>
    <row r="247" spans="1:12" x14ac:dyDescent="0.25">
      <c r="A247">
        <f t="shared" si="3"/>
        <v>246</v>
      </c>
      <c r="B247" t="s">
        <v>1017</v>
      </c>
      <c r="C247" t="s">
        <v>748</v>
      </c>
      <c r="D247">
        <v>50</v>
      </c>
      <c r="E247" t="s">
        <v>749</v>
      </c>
      <c r="F247" t="str">
        <f>IF(Client_churn3[[#This Row],[Type_Forfait]]= "Pro Monde", "B2B", "B2C")</f>
        <v>B2C</v>
      </c>
      <c r="G247">
        <v>177</v>
      </c>
      <c r="H247" s="7">
        <v>74.569999999999993</v>
      </c>
      <c r="I2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47" s="9">
        <f>Client_churn3[[#This Row],[Facture_Mensuelle]]*Client_churn3[[#This Row],[Remise Client]]</f>
        <v>0</v>
      </c>
      <c r="K247">
        <v>4</v>
      </c>
      <c r="L247"/>
    </row>
    <row r="248" spans="1:12" x14ac:dyDescent="0.25">
      <c r="A248">
        <f t="shared" si="3"/>
        <v>247</v>
      </c>
      <c r="B248" t="s">
        <v>1018</v>
      </c>
      <c r="C248" t="s">
        <v>764</v>
      </c>
      <c r="D248">
        <v>26</v>
      </c>
      <c r="E248" t="s">
        <v>749</v>
      </c>
      <c r="F248" t="str">
        <f>IF(Client_churn3[[#This Row],[Type_Forfait]]= "Pro Monde", "B2B", "B2C")</f>
        <v>B2C</v>
      </c>
      <c r="G248">
        <v>378</v>
      </c>
      <c r="H248" s="7">
        <v>88.59</v>
      </c>
      <c r="I2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8" s="9">
        <f>Client_churn3[[#This Row],[Facture_Mensuelle]]*Client_churn3[[#This Row],[Remise Client]]</f>
        <v>39.865500000000004</v>
      </c>
      <c r="K248">
        <v>4</v>
      </c>
      <c r="L248"/>
    </row>
    <row r="249" spans="1:12" x14ac:dyDescent="0.25">
      <c r="A249">
        <f t="shared" si="3"/>
        <v>248</v>
      </c>
      <c r="B249" t="s">
        <v>1019</v>
      </c>
      <c r="C249" t="s">
        <v>778</v>
      </c>
      <c r="D249">
        <v>26</v>
      </c>
      <c r="E249" t="s">
        <v>755</v>
      </c>
      <c r="F249" t="str">
        <f>IF(Client_churn3[[#This Row],[Type_Forfait]]= "Pro Monde", "B2B", "B2C")</f>
        <v>B2C</v>
      </c>
      <c r="G249">
        <v>391</v>
      </c>
      <c r="H249" s="7">
        <v>18.28</v>
      </c>
      <c r="I2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49" s="9">
        <f>Client_churn3[[#This Row],[Facture_Mensuelle]]*Client_churn3[[#This Row],[Remise Client]]</f>
        <v>8.2260000000000009</v>
      </c>
      <c r="K249">
        <v>3</v>
      </c>
      <c r="L249"/>
    </row>
    <row r="250" spans="1:12" x14ac:dyDescent="0.25">
      <c r="A250">
        <f t="shared" si="3"/>
        <v>249</v>
      </c>
      <c r="B250" t="s">
        <v>1020</v>
      </c>
      <c r="C250" t="s">
        <v>751</v>
      </c>
      <c r="D250">
        <v>104</v>
      </c>
      <c r="E250" t="s">
        <v>746</v>
      </c>
      <c r="F250" t="str">
        <f>IF(Client_churn3[[#This Row],[Type_Forfait]]= "Pro Monde", "B2B", "B2C")</f>
        <v>B2B</v>
      </c>
      <c r="G250">
        <v>421</v>
      </c>
      <c r="H250" s="7">
        <v>26.24</v>
      </c>
      <c r="I2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50" s="9">
        <f>Client_churn3[[#This Row],[Facture_Mensuelle]]*Client_churn3[[#This Row],[Remise Client]]</f>
        <v>2.6240000000000001</v>
      </c>
      <c r="K250">
        <v>3</v>
      </c>
      <c r="L250"/>
    </row>
    <row r="251" spans="1:12" x14ac:dyDescent="0.25">
      <c r="A251">
        <f t="shared" si="3"/>
        <v>250</v>
      </c>
      <c r="B251" t="s">
        <v>1021</v>
      </c>
      <c r="C251" t="s">
        <v>760</v>
      </c>
      <c r="D251">
        <v>108</v>
      </c>
      <c r="E251" t="s">
        <v>755</v>
      </c>
      <c r="F251" t="str">
        <f>IF(Client_churn3[[#This Row],[Type_Forfait]]= "Pro Monde", "B2B", "B2C")</f>
        <v>B2C</v>
      </c>
      <c r="G251">
        <v>230</v>
      </c>
      <c r="H251" s="7">
        <v>16.3</v>
      </c>
      <c r="I2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51" s="9">
        <f>Client_churn3[[#This Row],[Facture_Mensuelle]]*Client_churn3[[#This Row],[Remise Client]]</f>
        <v>0</v>
      </c>
      <c r="K251">
        <v>5</v>
      </c>
      <c r="L251"/>
    </row>
    <row r="252" spans="1:12" x14ac:dyDescent="0.25">
      <c r="A252">
        <f t="shared" si="3"/>
        <v>251</v>
      </c>
      <c r="B252" t="s">
        <v>1022</v>
      </c>
      <c r="C252" t="s">
        <v>760</v>
      </c>
      <c r="D252">
        <v>103</v>
      </c>
      <c r="E252" t="s">
        <v>746</v>
      </c>
      <c r="F252" t="str">
        <f>IF(Client_churn3[[#This Row],[Type_Forfait]]= "Pro Monde", "B2B", "B2C")</f>
        <v>B2B</v>
      </c>
      <c r="G252">
        <v>270</v>
      </c>
      <c r="H252" s="7">
        <v>67.87</v>
      </c>
      <c r="I2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52" s="9">
        <f>Client_churn3[[#This Row],[Facture_Mensuelle]]*Client_churn3[[#This Row],[Remise Client]]</f>
        <v>6.7870000000000008</v>
      </c>
      <c r="K252">
        <v>3</v>
      </c>
      <c r="L252"/>
    </row>
    <row r="253" spans="1:12" x14ac:dyDescent="0.25">
      <c r="A253">
        <f t="shared" si="3"/>
        <v>252</v>
      </c>
      <c r="B253" t="s">
        <v>1023</v>
      </c>
      <c r="C253" t="s">
        <v>834</v>
      </c>
      <c r="D253">
        <v>93</v>
      </c>
      <c r="E253" t="s">
        <v>746</v>
      </c>
      <c r="F253" t="str">
        <f>IF(Client_churn3[[#This Row],[Type_Forfait]]= "Pro Monde", "B2B", "B2C")</f>
        <v>B2B</v>
      </c>
      <c r="G253">
        <v>56</v>
      </c>
      <c r="H253" s="7">
        <v>96.31</v>
      </c>
      <c r="I2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53" s="9">
        <f>Client_churn3[[#This Row],[Facture_Mensuelle]]*Client_churn3[[#This Row],[Remise Client]]</f>
        <v>9.6310000000000002</v>
      </c>
      <c r="K253">
        <v>4</v>
      </c>
      <c r="L253"/>
    </row>
    <row r="254" spans="1:12" x14ac:dyDescent="0.25">
      <c r="A254">
        <f t="shared" si="3"/>
        <v>253</v>
      </c>
      <c r="B254" t="s">
        <v>1024</v>
      </c>
      <c r="C254" t="s">
        <v>766</v>
      </c>
      <c r="D254">
        <v>86</v>
      </c>
      <c r="E254" t="s">
        <v>755</v>
      </c>
      <c r="F254" t="str">
        <f>IF(Client_churn3[[#This Row],[Type_Forfait]]= "Pro Monde", "B2B", "B2C")</f>
        <v>B2C</v>
      </c>
      <c r="G254">
        <v>452</v>
      </c>
      <c r="H254" s="7">
        <v>75.680000000000007</v>
      </c>
      <c r="I2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54" s="9">
        <f>Client_churn3[[#This Row],[Facture_Mensuelle]]*Client_churn3[[#This Row],[Remise Client]]</f>
        <v>34.056000000000004</v>
      </c>
      <c r="K254">
        <v>0</v>
      </c>
      <c r="L254"/>
    </row>
    <row r="255" spans="1:12" x14ac:dyDescent="0.25">
      <c r="A255">
        <f t="shared" si="3"/>
        <v>254</v>
      </c>
      <c r="B255" t="s">
        <v>1025</v>
      </c>
      <c r="C255" t="s">
        <v>794</v>
      </c>
      <c r="D255">
        <v>47</v>
      </c>
      <c r="E255" t="s">
        <v>749</v>
      </c>
      <c r="F255" t="str">
        <f>IF(Client_churn3[[#This Row],[Type_Forfait]]= "Pro Monde", "B2B", "B2C")</f>
        <v>B2C</v>
      </c>
      <c r="G255">
        <v>385</v>
      </c>
      <c r="H255" s="7">
        <v>41.33</v>
      </c>
      <c r="I2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55" s="9">
        <f>Client_churn3[[#This Row],[Facture_Mensuelle]]*Client_churn3[[#This Row],[Remise Client]]</f>
        <v>18.598500000000001</v>
      </c>
      <c r="K255">
        <v>0</v>
      </c>
      <c r="L255"/>
    </row>
    <row r="256" spans="1:12" x14ac:dyDescent="0.25">
      <c r="A256">
        <f t="shared" si="3"/>
        <v>255</v>
      </c>
      <c r="B256" t="s">
        <v>1026</v>
      </c>
      <c r="C256" t="s">
        <v>745</v>
      </c>
      <c r="D256">
        <v>83</v>
      </c>
      <c r="E256" t="s">
        <v>755</v>
      </c>
      <c r="F256" t="str">
        <f>IF(Client_churn3[[#This Row],[Type_Forfait]]= "Pro Monde", "B2B", "B2C")</f>
        <v>B2C</v>
      </c>
      <c r="G256">
        <v>105</v>
      </c>
      <c r="H256" s="7">
        <v>20.46</v>
      </c>
      <c r="I2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56" s="9">
        <f>Client_churn3[[#This Row],[Facture_Mensuelle]]*Client_churn3[[#This Row],[Remise Client]]</f>
        <v>0</v>
      </c>
      <c r="K256">
        <v>1</v>
      </c>
      <c r="L256"/>
    </row>
    <row r="257" spans="1:12" x14ac:dyDescent="0.25">
      <c r="A257">
        <f t="shared" si="3"/>
        <v>256</v>
      </c>
      <c r="B257" t="s">
        <v>1027</v>
      </c>
      <c r="C257" t="s">
        <v>782</v>
      </c>
      <c r="D257">
        <v>84</v>
      </c>
      <c r="E257" t="s">
        <v>743</v>
      </c>
      <c r="F257" t="str">
        <f>IF(Client_churn3[[#This Row],[Type_Forfait]]= "Pro Monde", "B2B", "B2C")</f>
        <v>B2C</v>
      </c>
      <c r="G257">
        <v>317</v>
      </c>
      <c r="H257" s="7">
        <v>36.200000000000003</v>
      </c>
      <c r="I2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57" s="9">
        <f>Client_churn3[[#This Row],[Facture_Mensuelle]]*Client_churn3[[#This Row],[Remise Client]]</f>
        <v>16.290000000000003</v>
      </c>
      <c r="K257">
        <v>3</v>
      </c>
      <c r="L257"/>
    </row>
    <row r="258" spans="1:12" x14ac:dyDescent="0.25">
      <c r="A258">
        <f t="shared" si="3"/>
        <v>257</v>
      </c>
      <c r="B258" t="s">
        <v>1028</v>
      </c>
      <c r="C258" t="s">
        <v>802</v>
      </c>
      <c r="D258">
        <v>6</v>
      </c>
      <c r="E258" t="s">
        <v>755</v>
      </c>
      <c r="F258" t="str">
        <f>IF(Client_churn3[[#This Row],[Type_Forfait]]= "Pro Monde", "B2B", "B2C")</f>
        <v>B2C</v>
      </c>
      <c r="G258">
        <v>207</v>
      </c>
      <c r="H258" s="7">
        <v>61.55</v>
      </c>
      <c r="I2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58" s="9">
        <f>Client_churn3[[#This Row],[Facture_Mensuelle]]*Client_churn3[[#This Row],[Remise Client]]</f>
        <v>0</v>
      </c>
      <c r="K258">
        <v>0</v>
      </c>
      <c r="L258"/>
    </row>
    <row r="259" spans="1:12" x14ac:dyDescent="0.25">
      <c r="A259">
        <f t="shared" si="3"/>
        <v>258</v>
      </c>
      <c r="B259" t="s">
        <v>1029</v>
      </c>
      <c r="C259" t="s">
        <v>766</v>
      </c>
      <c r="D259">
        <v>40</v>
      </c>
      <c r="E259" t="s">
        <v>755</v>
      </c>
      <c r="F259" t="str">
        <f>IF(Client_churn3[[#This Row],[Type_Forfait]]= "Pro Monde", "B2B", "B2C")</f>
        <v>B2C</v>
      </c>
      <c r="G259">
        <v>102</v>
      </c>
      <c r="H259" s="7">
        <v>96.59</v>
      </c>
      <c r="I2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59" s="9">
        <f>Client_churn3[[#This Row],[Facture_Mensuelle]]*Client_churn3[[#This Row],[Remise Client]]</f>
        <v>0</v>
      </c>
      <c r="K259">
        <v>5</v>
      </c>
      <c r="L259"/>
    </row>
    <row r="260" spans="1:12" x14ac:dyDescent="0.25">
      <c r="A260">
        <f t="shared" si="3"/>
        <v>259</v>
      </c>
      <c r="B260" t="s">
        <v>1030</v>
      </c>
      <c r="C260" t="s">
        <v>748</v>
      </c>
      <c r="D260">
        <v>42</v>
      </c>
      <c r="E260" t="s">
        <v>749</v>
      </c>
      <c r="F260" t="str">
        <f>IF(Client_churn3[[#This Row],[Type_Forfait]]= "Pro Monde", "B2B", "B2C")</f>
        <v>B2C</v>
      </c>
      <c r="G260">
        <v>173</v>
      </c>
      <c r="H260" s="7">
        <v>69.19</v>
      </c>
      <c r="I2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0" s="9">
        <f>Client_churn3[[#This Row],[Facture_Mensuelle]]*Client_churn3[[#This Row],[Remise Client]]</f>
        <v>0</v>
      </c>
      <c r="K260">
        <v>4</v>
      </c>
      <c r="L260"/>
    </row>
    <row r="261" spans="1:12" x14ac:dyDescent="0.25">
      <c r="A261">
        <f t="shared" ref="A261:A324" si="4">A260+1</f>
        <v>260</v>
      </c>
      <c r="B261" t="s">
        <v>1031</v>
      </c>
      <c r="C261" t="s">
        <v>768</v>
      </c>
      <c r="D261">
        <v>51</v>
      </c>
      <c r="E261" t="s">
        <v>743</v>
      </c>
      <c r="F261" t="str">
        <f>IF(Client_churn3[[#This Row],[Type_Forfait]]= "Pro Monde", "B2B", "B2C")</f>
        <v>B2C</v>
      </c>
      <c r="G261">
        <v>337</v>
      </c>
      <c r="H261" s="7">
        <v>68.67</v>
      </c>
      <c r="I2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61" s="9">
        <f>Client_churn3[[#This Row],[Facture_Mensuelle]]*Client_churn3[[#This Row],[Remise Client]]</f>
        <v>30.901500000000002</v>
      </c>
      <c r="K261">
        <v>5</v>
      </c>
      <c r="L261"/>
    </row>
    <row r="262" spans="1:12" x14ac:dyDescent="0.25">
      <c r="A262">
        <f t="shared" si="4"/>
        <v>261</v>
      </c>
      <c r="B262" t="s">
        <v>1032</v>
      </c>
      <c r="C262" t="s">
        <v>745</v>
      </c>
      <c r="D262">
        <v>108</v>
      </c>
      <c r="E262" t="s">
        <v>749</v>
      </c>
      <c r="F262" t="str">
        <f>IF(Client_churn3[[#This Row],[Type_Forfait]]= "Pro Monde", "B2B", "B2C")</f>
        <v>B2C</v>
      </c>
      <c r="G262">
        <v>123</v>
      </c>
      <c r="H262" s="7">
        <v>83.1</v>
      </c>
      <c r="I2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2" s="9">
        <f>Client_churn3[[#This Row],[Facture_Mensuelle]]*Client_churn3[[#This Row],[Remise Client]]</f>
        <v>0</v>
      </c>
      <c r="K262">
        <v>1</v>
      </c>
      <c r="L262"/>
    </row>
    <row r="263" spans="1:12" x14ac:dyDescent="0.25">
      <c r="A263">
        <f t="shared" si="4"/>
        <v>262</v>
      </c>
      <c r="B263" t="s">
        <v>1033</v>
      </c>
      <c r="C263" t="s">
        <v>774</v>
      </c>
      <c r="D263">
        <v>113</v>
      </c>
      <c r="E263" t="s">
        <v>755</v>
      </c>
      <c r="F263" t="str">
        <f>IF(Client_churn3[[#This Row],[Type_Forfait]]= "Pro Monde", "B2B", "B2C")</f>
        <v>B2C</v>
      </c>
      <c r="G263">
        <v>89</v>
      </c>
      <c r="H263" s="7">
        <v>54.28</v>
      </c>
      <c r="I2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3" s="9">
        <f>Client_churn3[[#This Row],[Facture_Mensuelle]]*Client_churn3[[#This Row],[Remise Client]]</f>
        <v>0</v>
      </c>
      <c r="K263">
        <v>0</v>
      </c>
      <c r="L263"/>
    </row>
    <row r="264" spans="1:12" x14ac:dyDescent="0.25">
      <c r="A264">
        <f t="shared" si="4"/>
        <v>263</v>
      </c>
      <c r="B264" t="s">
        <v>1034</v>
      </c>
      <c r="C264" t="s">
        <v>760</v>
      </c>
      <c r="D264">
        <v>101</v>
      </c>
      <c r="E264" t="s">
        <v>743</v>
      </c>
      <c r="F264" t="str">
        <f>IF(Client_churn3[[#This Row],[Type_Forfait]]= "Pro Monde", "B2B", "B2C")</f>
        <v>B2C</v>
      </c>
      <c r="G264">
        <v>416</v>
      </c>
      <c r="H264" s="7">
        <v>83.49</v>
      </c>
      <c r="I2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64" s="9">
        <f>Client_churn3[[#This Row],[Facture_Mensuelle]]*Client_churn3[[#This Row],[Remise Client]]</f>
        <v>37.570499999999996</v>
      </c>
      <c r="K264">
        <v>2</v>
      </c>
      <c r="L264"/>
    </row>
    <row r="265" spans="1:12" x14ac:dyDescent="0.25">
      <c r="A265">
        <f t="shared" si="4"/>
        <v>264</v>
      </c>
      <c r="B265" t="s">
        <v>1035</v>
      </c>
      <c r="C265" t="s">
        <v>802</v>
      </c>
      <c r="D265">
        <v>74</v>
      </c>
      <c r="E265" t="s">
        <v>755</v>
      </c>
      <c r="F265" t="str">
        <f>IF(Client_churn3[[#This Row],[Type_Forfait]]= "Pro Monde", "B2B", "B2C")</f>
        <v>B2C</v>
      </c>
      <c r="G265">
        <v>208</v>
      </c>
      <c r="H265" s="7">
        <v>39.56</v>
      </c>
      <c r="I2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5" s="9">
        <f>Client_churn3[[#This Row],[Facture_Mensuelle]]*Client_churn3[[#This Row],[Remise Client]]</f>
        <v>0</v>
      </c>
      <c r="K265">
        <v>0</v>
      </c>
      <c r="L265"/>
    </row>
    <row r="266" spans="1:12" x14ac:dyDescent="0.25">
      <c r="A266">
        <f t="shared" si="4"/>
        <v>265</v>
      </c>
      <c r="B266" t="s">
        <v>1036</v>
      </c>
      <c r="C266" t="s">
        <v>780</v>
      </c>
      <c r="D266">
        <v>10</v>
      </c>
      <c r="E266" t="s">
        <v>743</v>
      </c>
      <c r="F266" t="str">
        <f>IF(Client_churn3[[#This Row],[Type_Forfait]]= "Pro Monde", "B2B", "B2C")</f>
        <v>B2C</v>
      </c>
      <c r="G266">
        <v>93</v>
      </c>
      <c r="H266" s="7">
        <v>78.12</v>
      </c>
      <c r="I2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66" s="9">
        <f>Client_churn3[[#This Row],[Facture_Mensuelle]]*Client_churn3[[#This Row],[Remise Client]]</f>
        <v>0</v>
      </c>
      <c r="K266">
        <v>4</v>
      </c>
      <c r="L266"/>
    </row>
    <row r="267" spans="1:12" x14ac:dyDescent="0.25">
      <c r="A267">
        <f t="shared" si="4"/>
        <v>266</v>
      </c>
      <c r="B267" t="s">
        <v>1037</v>
      </c>
      <c r="C267" t="s">
        <v>742</v>
      </c>
      <c r="D267">
        <v>16</v>
      </c>
      <c r="E267" t="s">
        <v>755</v>
      </c>
      <c r="F267" t="str">
        <f>IF(Client_churn3[[#This Row],[Type_Forfait]]= "Pro Monde", "B2B", "B2C")</f>
        <v>B2C</v>
      </c>
      <c r="G267">
        <v>391</v>
      </c>
      <c r="H267" s="7">
        <v>90.12</v>
      </c>
      <c r="I2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67" s="9">
        <f>Client_churn3[[#This Row],[Facture_Mensuelle]]*Client_churn3[[#This Row],[Remise Client]]</f>
        <v>40.554000000000002</v>
      </c>
      <c r="K267">
        <v>5</v>
      </c>
      <c r="L267"/>
    </row>
    <row r="268" spans="1:12" x14ac:dyDescent="0.25">
      <c r="A268">
        <f t="shared" si="4"/>
        <v>267</v>
      </c>
      <c r="B268" t="s">
        <v>1038</v>
      </c>
      <c r="C268" t="s">
        <v>776</v>
      </c>
      <c r="D268">
        <v>59</v>
      </c>
      <c r="E268" t="s">
        <v>746</v>
      </c>
      <c r="F268" t="str">
        <f>IF(Client_churn3[[#This Row],[Type_Forfait]]= "Pro Monde", "B2B", "B2C")</f>
        <v>B2B</v>
      </c>
      <c r="G268">
        <v>72</v>
      </c>
      <c r="H268" s="7">
        <v>94.51</v>
      </c>
      <c r="I2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68" s="9">
        <f>Client_churn3[[#This Row],[Facture_Mensuelle]]*Client_churn3[[#This Row],[Remise Client]]</f>
        <v>9.4510000000000005</v>
      </c>
      <c r="K268">
        <v>2</v>
      </c>
      <c r="L268"/>
    </row>
    <row r="269" spans="1:12" x14ac:dyDescent="0.25">
      <c r="A269">
        <f t="shared" si="4"/>
        <v>268</v>
      </c>
      <c r="B269" t="s">
        <v>1039</v>
      </c>
      <c r="C269" t="s">
        <v>764</v>
      </c>
      <c r="D269">
        <v>41</v>
      </c>
      <c r="E269" t="s">
        <v>746</v>
      </c>
      <c r="F269" t="str">
        <f>IF(Client_churn3[[#This Row],[Type_Forfait]]= "Pro Monde", "B2B", "B2C")</f>
        <v>B2B</v>
      </c>
      <c r="G269">
        <v>474</v>
      </c>
      <c r="H269" s="7">
        <v>54.03</v>
      </c>
      <c r="I2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69" s="9">
        <f>Client_churn3[[#This Row],[Facture_Mensuelle]]*Client_churn3[[#This Row],[Remise Client]]</f>
        <v>5.4030000000000005</v>
      </c>
      <c r="K269">
        <v>4</v>
      </c>
      <c r="L269"/>
    </row>
    <row r="270" spans="1:12" x14ac:dyDescent="0.25">
      <c r="A270">
        <f t="shared" si="4"/>
        <v>269</v>
      </c>
      <c r="B270" t="s">
        <v>1040</v>
      </c>
      <c r="C270" t="s">
        <v>768</v>
      </c>
      <c r="D270">
        <v>5</v>
      </c>
      <c r="E270" t="s">
        <v>749</v>
      </c>
      <c r="F270" t="str">
        <f>IF(Client_churn3[[#This Row],[Type_Forfait]]= "Pro Monde", "B2B", "B2C")</f>
        <v>B2C</v>
      </c>
      <c r="G270">
        <v>337</v>
      </c>
      <c r="H270" s="7">
        <v>21.07</v>
      </c>
      <c r="I2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0" s="9">
        <f>Client_churn3[[#This Row],[Facture_Mensuelle]]*Client_churn3[[#This Row],[Remise Client]]</f>
        <v>9.4815000000000005</v>
      </c>
      <c r="K270">
        <v>4</v>
      </c>
      <c r="L270"/>
    </row>
    <row r="271" spans="1:12" x14ac:dyDescent="0.25">
      <c r="A271">
        <f t="shared" si="4"/>
        <v>270</v>
      </c>
      <c r="B271" t="s">
        <v>1041</v>
      </c>
      <c r="C271" t="s">
        <v>809</v>
      </c>
      <c r="D271">
        <v>118</v>
      </c>
      <c r="E271" t="s">
        <v>749</v>
      </c>
      <c r="F271" t="str">
        <f>IF(Client_churn3[[#This Row],[Type_Forfait]]= "Pro Monde", "B2B", "B2C")</f>
        <v>B2C</v>
      </c>
      <c r="G271">
        <v>430</v>
      </c>
      <c r="H271" s="7">
        <v>36.97</v>
      </c>
      <c r="I2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1" s="9">
        <f>Client_churn3[[#This Row],[Facture_Mensuelle]]*Client_churn3[[#This Row],[Remise Client]]</f>
        <v>16.636500000000002</v>
      </c>
      <c r="K271">
        <v>2</v>
      </c>
      <c r="L271"/>
    </row>
    <row r="272" spans="1:12" x14ac:dyDescent="0.25">
      <c r="A272">
        <f t="shared" si="4"/>
        <v>271</v>
      </c>
      <c r="B272" t="s">
        <v>1042</v>
      </c>
      <c r="C272" t="s">
        <v>745</v>
      </c>
      <c r="D272">
        <v>53</v>
      </c>
      <c r="E272" t="s">
        <v>755</v>
      </c>
      <c r="F272" t="str">
        <f>IF(Client_churn3[[#This Row],[Type_Forfait]]= "Pro Monde", "B2B", "B2C")</f>
        <v>B2C</v>
      </c>
      <c r="G272">
        <v>243</v>
      </c>
      <c r="H272" s="7">
        <v>55.19</v>
      </c>
      <c r="I2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2" s="9">
        <f>Client_churn3[[#This Row],[Facture_Mensuelle]]*Client_churn3[[#This Row],[Remise Client]]</f>
        <v>24.8355</v>
      </c>
      <c r="K272">
        <v>4</v>
      </c>
      <c r="L272"/>
    </row>
    <row r="273" spans="1:12" x14ac:dyDescent="0.25">
      <c r="A273">
        <f t="shared" si="4"/>
        <v>272</v>
      </c>
      <c r="B273" t="s">
        <v>1043</v>
      </c>
      <c r="C273" t="s">
        <v>834</v>
      </c>
      <c r="D273">
        <v>95</v>
      </c>
      <c r="E273" t="s">
        <v>746</v>
      </c>
      <c r="F273" t="str">
        <f>IF(Client_churn3[[#This Row],[Type_Forfait]]= "Pro Monde", "B2B", "B2C")</f>
        <v>B2B</v>
      </c>
      <c r="G273">
        <v>95</v>
      </c>
      <c r="H273" s="7">
        <v>82.65</v>
      </c>
      <c r="I2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73" s="9">
        <f>Client_churn3[[#This Row],[Facture_Mensuelle]]*Client_churn3[[#This Row],[Remise Client]]</f>
        <v>8.2650000000000006</v>
      </c>
      <c r="K273">
        <v>2</v>
      </c>
      <c r="L273"/>
    </row>
    <row r="274" spans="1:12" x14ac:dyDescent="0.25">
      <c r="A274">
        <f t="shared" si="4"/>
        <v>273</v>
      </c>
      <c r="B274" t="s">
        <v>1044</v>
      </c>
      <c r="C274" t="s">
        <v>834</v>
      </c>
      <c r="D274">
        <v>83</v>
      </c>
      <c r="E274" t="s">
        <v>749</v>
      </c>
      <c r="F274" t="str">
        <f>IF(Client_churn3[[#This Row],[Type_Forfait]]= "Pro Monde", "B2B", "B2C")</f>
        <v>B2C</v>
      </c>
      <c r="G274">
        <v>14</v>
      </c>
      <c r="H274" s="7">
        <v>58.07</v>
      </c>
      <c r="I2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74" s="9">
        <f>Client_churn3[[#This Row],[Facture_Mensuelle]]*Client_churn3[[#This Row],[Remise Client]]</f>
        <v>0</v>
      </c>
      <c r="K274">
        <v>3</v>
      </c>
      <c r="L274"/>
    </row>
    <row r="275" spans="1:12" x14ac:dyDescent="0.25">
      <c r="A275">
        <f t="shared" si="4"/>
        <v>274</v>
      </c>
      <c r="B275" t="s">
        <v>1045</v>
      </c>
      <c r="C275" t="s">
        <v>768</v>
      </c>
      <c r="D275">
        <v>4</v>
      </c>
      <c r="E275" t="s">
        <v>743</v>
      </c>
      <c r="F275" t="str">
        <f>IF(Client_churn3[[#This Row],[Type_Forfait]]= "Pro Monde", "B2B", "B2C")</f>
        <v>B2C</v>
      </c>
      <c r="G275">
        <v>21</v>
      </c>
      <c r="H275" s="7">
        <v>45.8</v>
      </c>
      <c r="I2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75" s="9">
        <f>Client_churn3[[#This Row],[Facture_Mensuelle]]*Client_churn3[[#This Row],[Remise Client]]</f>
        <v>0</v>
      </c>
      <c r="K275">
        <v>1</v>
      </c>
      <c r="L275"/>
    </row>
    <row r="276" spans="1:12" x14ac:dyDescent="0.25">
      <c r="A276">
        <f t="shared" si="4"/>
        <v>275</v>
      </c>
      <c r="B276" t="s">
        <v>1046</v>
      </c>
      <c r="C276" t="s">
        <v>758</v>
      </c>
      <c r="D276">
        <v>35</v>
      </c>
      <c r="E276" t="s">
        <v>746</v>
      </c>
      <c r="F276" t="str">
        <f>IF(Client_churn3[[#This Row],[Type_Forfait]]= "Pro Monde", "B2B", "B2C")</f>
        <v>B2B</v>
      </c>
      <c r="G276">
        <v>299</v>
      </c>
      <c r="H276" s="7">
        <v>96.32</v>
      </c>
      <c r="I2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76" s="9">
        <f>Client_churn3[[#This Row],[Facture_Mensuelle]]*Client_churn3[[#This Row],[Remise Client]]</f>
        <v>9.6319999999999997</v>
      </c>
      <c r="K276">
        <v>4</v>
      </c>
      <c r="L276"/>
    </row>
    <row r="277" spans="1:12" x14ac:dyDescent="0.25">
      <c r="A277">
        <f t="shared" si="4"/>
        <v>276</v>
      </c>
      <c r="B277" t="s">
        <v>1047</v>
      </c>
      <c r="C277" t="s">
        <v>785</v>
      </c>
      <c r="D277">
        <v>97</v>
      </c>
      <c r="E277" t="s">
        <v>743</v>
      </c>
      <c r="F277" t="str">
        <f>IF(Client_churn3[[#This Row],[Type_Forfait]]= "Pro Monde", "B2B", "B2C")</f>
        <v>B2C</v>
      </c>
      <c r="G277">
        <v>484</v>
      </c>
      <c r="H277" s="7">
        <v>61.98</v>
      </c>
      <c r="I2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7" s="9">
        <f>Client_churn3[[#This Row],[Facture_Mensuelle]]*Client_churn3[[#This Row],[Remise Client]]</f>
        <v>27.890999999999998</v>
      </c>
      <c r="K277">
        <v>1</v>
      </c>
      <c r="L277"/>
    </row>
    <row r="278" spans="1:12" x14ac:dyDescent="0.25">
      <c r="A278">
        <f t="shared" si="4"/>
        <v>277</v>
      </c>
      <c r="B278" t="s">
        <v>1048</v>
      </c>
      <c r="C278" t="s">
        <v>794</v>
      </c>
      <c r="D278">
        <v>76</v>
      </c>
      <c r="E278" t="s">
        <v>749</v>
      </c>
      <c r="F278" t="str">
        <f>IF(Client_churn3[[#This Row],[Type_Forfait]]= "Pro Monde", "B2B", "B2C")</f>
        <v>B2C</v>
      </c>
      <c r="G278">
        <v>383</v>
      </c>
      <c r="H278" s="7">
        <v>53.73</v>
      </c>
      <c r="I2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8" s="9">
        <f>Client_churn3[[#This Row],[Facture_Mensuelle]]*Client_churn3[[#This Row],[Remise Client]]</f>
        <v>24.1785</v>
      </c>
      <c r="K278">
        <v>2</v>
      </c>
      <c r="L278"/>
    </row>
    <row r="279" spans="1:12" x14ac:dyDescent="0.25">
      <c r="A279">
        <f t="shared" si="4"/>
        <v>278</v>
      </c>
      <c r="B279" t="s">
        <v>1049</v>
      </c>
      <c r="C279" t="s">
        <v>768</v>
      </c>
      <c r="D279">
        <v>10</v>
      </c>
      <c r="E279" t="s">
        <v>755</v>
      </c>
      <c r="F279" t="str">
        <f>IF(Client_churn3[[#This Row],[Type_Forfait]]= "Pro Monde", "B2B", "B2C")</f>
        <v>B2C</v>
      </c>
      <c r="G279">
        <v>425</v>
      </c>
      <c r="H279" s="7">
        <v>85.75</v>
      </c>
      <c r="I2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79" s="9">
        <f>Client_churn3[[#This Row],[Facture_Mensuelle]]*Client_churn3[[#This Row],[Remise Client]]</f>
        <v>38.587499999999999</v>
      </c>
      <c r="K279">
        <v>0</v>
      </c>
      <c r="L279"/>
    </row>
    <row r="280" spans="1:12" x14ac:dyDescent="0.25">
      <c r="A280">
        <f t="shared" si="4"/>
        <v>279</v>
      </c>
      <c r="B280" t="s">
        <v>1050</v>
      </c>
      <c r="C280" t="s">
        <v>782</v>
      </c>
      <c r="D280">
        <v>68</v>
      </c>
      <c r="E280" t="s">
        <v>746</v>
      </c>
      <c r="F280" t="str">
        <f>IF(Client_churn3[[#This Row],[Type_Forfait]]= "Pro Monde", "B2B", "B2C")</f>
        <v>B2B</v>
      </c>
      <c r="G280">
        <v>462</v>
      </c>
      <c r="H280" s="7">
        <v>41.91</v>
      </c>
      <c r="I2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80" s="9">
        <f>Client_churn3[[#This Row],[Facture_Mensuelle]]*Client_churn3[[#This Row],[Remise Client]]</f>
        <v>4.1909999999999998</v>
      </c>
      <c r="K280">
        <v>1</v>
      </c>
      <c r="L280"/>
    </row>
    <row r="281" spans="1:12" x14ac:dyDescent="0.25">
      <c r="A281">
        <f t="shared" si="4"/>
        <v>280</v>
      </c>
      <c r="B281" t="s">
        <v>1051</v>
      </c>
      <c r="C281" t="s">
        <v>766</v>
      </c>
      <c r="D281">
        <v>16</v>
      </c>
      <c r="E281" t="s">
        <v>743</v>
      </c>
      <c r="F281" t="str">
        <f>IF(Client_churn3[[#This Row],[Type_Forfait]]= "Pro Monde", "B2B", "B2C")</f>
        <v>B2C</v>
      </c>
      <c r="G281">
        <v>43</v>
      </c>
      <c r="H281" s="7">
        <v>56.48</v>
      </c>
      <c r="I2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1" s="9">
        <f>Client_churn3[[#This Row],[Facture_Mensuelle]]*Client_churn3[[#This Row],[Remise Client]]</f>
        <v>0</v>
      </c>
      <c r="K281">
        <v>0</v>
      </c>
      <c r="L281"/>
    </row>
    <row r="282" spans="1:12" x14ac:dyDescent="0.25">
      <c r="A282">
        <f t="shared" si="4"/>
        <v>281</v>
      </c>
      <c r="B282" t="s">
        <v>1052</v>
      </c>
      <c r="C282" t="s">
        <v>809</v>
      </c>
      <c r="D282">
        <v>109</v>
      </c>
      <c r="E282" t="s">
        <v>746</v>
      </c>
      <c r="F282" t="str">
        <f>IF(Client_churn3[[#This Row],[Type_Forfait]]= "Pro Monde", "B2B", "B2C")</f>
        <v>B2B</v>
      </c>
      <c r="G282">
        <v>397</v>
      </c>
      <c r="H282" s="7">
        <v>63.92</v>
      </c>
      <c r="I2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82" s="9">
        <f>Client_churn3[[#This Row],[Facture_Mensuelle]]*Client_churn3[[#This Row],[Remise Client]]</f>
        <v>6.3920000000000003</v>
      </c>
      <c r="K282">
        <v>1</v>
      </c>
      <c r="L282"/>
    </row>
    <row r="283" spans="1:12" x14ac:dyDescent="0.25">
      <c r="A283">
        <f t="shared" si="4"/>
        <v>282</v>
      </c>
      <c r="B283" t="s">
        <v>1053</v>
      </c>
      <c r="C283" t="s">
        <v>794</v>
      </c>
      <c r="D283">
        <v>61</v>
      </c>
      <c r="E283" t="s">
        <v>755</v>
      </c>
      <c r="F283" t="str">
        <f>IF(Client_churn3[[#This Row],[Type_Forfait]]= "Pro Monde", "B2B", "B2C")</f>
        <v>B2C</v>
      </c>
      <c r="G283">
        <v>140</v>
      </c>
      <c r="H283" s="7">
        <v>76.3</v>
      </c>
      <c r="I2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3" s="9">
        <f>Client_churn3[[#This Row],[Facture_Mensuelle]]*Client_churn3[[#This Row],[Remise Client]]</f>
        <v>0</v>
      </c>
      <c r="K283">
        <v>4</v>
      </c>
      <c r="L283"/>
    </row>
    <row r="284" spans="1:12" x14ac:dyDescent="0.25">
      <c r="A284">
        <f t="shared" si="4"/>
        <v>283</v>
      </c>
      <c r="B284" t="s">
        <v>1054</v>
      </c>
      <c r="C284" t="s">
        <v>809</v>
      </c>
      <c r="D284">
        <v>96</v>
      </c>
      <c r="E284" t="s">
        <v>746</v>
      </c>
      <c r="F284" t="str">
        <f>IF(Client_churn3[[#This Row],[Type_Forfait]]= "Pro Monde", "B2B", "B2C")</f>
        <v>B2B</v>
      </c>
      <c r="G284">
        <v>280</v>
      </c>
      <c r="H284" s="7">
        <v>80.36</v>
      </c>
      <c r="I2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284" s="9">
        <f>Client_churn3[[#This Row],[Facture_Mensuelle]]*Client_churn3[[#This Row],[Remise Client]]</f>
        <v>8.0359999999999996</v>
      </c>
      <c r="K284">
        <v>5</v>
      </c>
      <c r="L284"/>
    </row>
    <row r="285" spans="1:12" x14ac:dyDescent="0.25">
      <c r="A285">
        <f t="shared" si="4"/>
        <v>284</v>
      </c>
      <c r="B285" t="s">
        <v>1055</v>
      </c>
      <c r="C285" t="s">
        <v>809</v>
      </c>
      <c r="D285">
        <v>25</v>
      </c>
      <c r="E285" t="s">
        <v>743</v>
      </c>
      <c r="F285" t="str">
        <f>IF(Client_churn3[[#This Row],[Type_Forfait]]= "Pro Monde", "B2B", "B2C")</f>
        <v>B2C</v>
      </c>
      <c r="G285">
        <v>33</v>
      </c>
      <c r="H285" s="7">
        <v>30.93</v>
      </c>
      <c r="I2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5" s="9">
        <f>Client_churn3[[#This Row],[Facture_Mensuelle]]*Client_churn3[[#This Row],[Remise Client]]</f>
        <v>0</v>
      </c>
      <c r="K285">
        <v>1</v>
      </c>
      <c r="L285"/>
    </row>
    <row r="286" spans="1:12" x14ac:dyDescent="0.25">
      <c r="A286">
        <f t="shared" si="4"/>
        <v>285</v>
      </c>
      <c r="B286" t="s">
        <v>1056</v>
      </c>
      <c r="C286" t="s">
        <v>842</v>
      </c>
      <c r="D286">
        <v>45</v>
      </c>
      <c r="E286" t="s">
        <v>749</v>
      </c>
      <c r="F286" t="str">
        <f>IF(Client_churn3[[#This Row],[Type_Forfait]]= "Pro Monde", "B2B", "B2C")</f>
        <v>B2C</v>
      </c>
      <c r="G286">
        <v>43</v>
      </c>
      <c r="H286" s="7">
        <v>12.31</v>
      </c>
      <c r="I2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6" s="9">
        <f>Client_churn3[[#This Row],[Facture_Mensuelle]]*Client_churn3[[#This Row],[Remise Client]]</f>
        <v>0</v>
      </c>
      <c r="K286">
        <v>0</v>
      </c>
      <c r="L286"/>
    </row>
    <row r="287" spans="1:12" x14ac:dyDescent="0.25">
      <c r="A287">
        <f t="shared" si="4"/>
        <v>286</v>
      </c>
      <c r="B287" t="s">
        <v>1057</v>
      </c>
      <c r="C287" t="s">
        <v>768</v>
      </c>
      <c r="D287">
        <v>63</v>
      </c>
      <c r="E287" t="s">
        <v>749</v>
      </c>
      <c r="F287" t="str">
        <f>IF(Client_churn3[[#This Row],[Type_Forfait]]= "Pro Monde", "B2B", "B2C")</f>
        <v>B2C</v>
      </c>
      <c r="G287">
        <v>109</v>
      </c>
      <c r="H287" s="7">
        <v>10.33</v>
      </c>
      <c r="I2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7" s="9">
        <f>Client_churn3[[#This Row],[Facture_Mensuelle]]*Client_churn3[[#This Row],[Remise Client]]</f>
        <v>0</v>
      </c>
      <c r="K287">
        <v>3</v>
      </c>
      <c r="L287"/>
    </row>
    <row r="288" spans="1:12" x14ac:dyDescent="0.25">
      <c r="A288">
        <f t="shared" si="4"/>
        <v>287</v>
      </c>
      <c r="B288" t="s">
        <v>1058</v>
      </c>
      <c r="C288" t="s">
        <v>806</v>
      </c>
      <c r="D288">
        <v>41</v>
      </c>
      <c r="E288" t="s">
        <v>749</v>
      </c>
      <c r="F288" t="str">
        <f>IF(Client_churn3[[#This Row],[Type_Forfait]]= "Pro Monde", "B2B", "B2C")</f>
        <v>B2C</v>
      </c>
      <c r="G288">
        <v>90</v>
      </c>
      <c r="H288" s="7">
        <v>97.26</v>
      </c>
      <c r="I2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8" s="9">
        <f>Client_churn3[[#This Row],[Facture_Mensuelle]]*Client_churn3[[#This Row],[Remise Client]]</f>
        <v>0</v>
      </c>
      <c r="K288">
        <v>1</v>
      </c>
      <c r="L288"/>
    </row>
    <row r="289" spans="1:12" x14ac:dyDescent="0.25">
      <c r="A289">
        <f t="shared" si="4"/>
        <v>288</v>
      </c>
      <c r="B289" t="s">
        <v>1059</v>
      </c>
      <c r="C289" t="s">
        <v>751</v>
      </c>
      <c r="D289">
        <v>35</v>
      </c>
      <c r="E289" t="s">
        <v>749</v>
      </c>
      <c r="F289" t="str">
        <f>IF(Client_churn3[[#This Row],[Type_Forfait]]= "Pro Monde", "B2B", "B2C")</f>
        <v>B2C</v>
      </c>
      <c r="G289">
        <v>107</v>
      </c>
      <c r="H289" s="7">
        <v>66.69</v>
      </c>
      <c r="I2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89" s="9">
        <f>Client_churn3[[#This Row],[Facture_Mensuelle]]*Client_churn3[[#This Row],[Remise Client]]</f>
        <v>0</v>
      </c>
      <c r="K289">
        <v>4</v>
      </c>
      <c r="L289"/>
    </row>
    <row r="290" spans="1:12" x14ac:dyDescent="0.25">
      <c r="A290">
        <f t="shared" si="4"/>
        <v>289</v>
      </c>
      <c r="B290" t="s">
        <v>1060</v>
      </c>
      <c r="C290" t="s">
        <v>778</v>
      </c>
      <c r="D290">
        <v>106</v>
      </c>
      <c r="E290" t="s">
        <v>743</v>
      </c>
      <c r="F290" t="str">
        <f>IF(Client_churn3[[#This Row],[Type_Forfait]]= "Pro Monde", "B2B", "B2C")</f>
        <v>B2C</v>
      </c>
      <c r="G290">
        <v>400</v>
      </c>
      <c r="H290" s="7">
        <v>70.02</v>
      </c>
      <c r="I2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0" s="9">
        <f>Client_churn3[[#This Row],[Facture_Mensuelle]]*Client_churn3[[#This Row],[Remise Client]]</f>
        <v>31.509</v>
      </c>
      <c r="K290">
        <v>4</v>
      </c>
      <c r="L290"/>
    </row>
    <row r="291" spans="1:12" x14ac:dyDescent="0.25">
      <c r="A291">
        <f t="shared" si="4"/>
        <v>290</v>
      </c>
      <c r="B291" t="s">
        <v>1061</v>
      </c>
      <c r="C291" t="s">
        <v>768</v>
      </c>
      <c r="D291">
        <v>16</v>
      </c>
      <c r="E291" t="s">
        <v>743</v>
      </c>
      <c r="F291" t="str">
        <f>IF(Client_churn3[[#This Row],[Type_Forfait]]= "Pro Monde", "B2B", "B2C")</f>
        <v>B2C</v>
      </c>
      <c r="G291">
        <v>390</v>
      </c>
      <c r="H291" s="7">
        <v>98.17</v>
      </c>
      <c r="I2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1" s="9">
        <f>Client_churn3[[#This Row],[Facture_Mensuelle]]*Client_churn3[[#This Row],[Remise Client]]</f>
        <v>44.176500000000004</v>
      </c>
      <c r="K291">
        <v>5</v>
      </c>
      <c r="L291"/>
    </row>
    <row r="292" spans="1:12" x14ac:dyDescent="0.25">
      <c r="A292">
        <f t="shared" si="4"/>
        <v>291</v>
      </c>
      <c r="B292" t="s">
        <v>1062</v>
      </c>
      <c r="C292" t="s">
        <v>796</v>
      </c>
      <c r="D292">
        <v>92</v>
      </c>
      <c r="E292" t="s">
        <v>743</v>
      </c>
      <c r="F292" t="str">
        <f>IF(Client_churn3[[#This Row],[Type_Forfait]]= "Pro Monde", "B2B", "B2C")</f>
        <v>B2C</v>
      </c>
      <c r="G292">
        <v>472</v>
      </c>
      <c r="H292" s="7">
        <v>78.44</v>
      </c>
      <c r="I2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2" s="9">
        <f>Client_churn3[[#This Row],[Facture_Mensuelle]]*Client_churn3[[#This Row],[Remise Client]]</f>
        <v>35.298000000000002</v>
      </c>
      <c r="K292">
        <v>1</v>
      </c>
      <c r="L292"/>
    </row>
    <row r="293" spans="1:12" x14ac:dyDescent="0.25">
      <c r="A293">
        <f t="shared" si="4"/>
        <v>292</v>
      </c>
      <c r="B293" t="s">
        <v>1063</v>
      </c>
      <c r="C293" t="s">
        <v>751</v>
      </c>
      <c r="D293">
        <v>115</v>
      </c>
      <c r="E293" t="s">
        <v>743</v>
      </c>
      <c r="F293" t="str">
        <f>IF(Client_churn3[[#This Row],[Type_Forfait]]= "Pro Monde", "B2B", "B2C")</f>
        <v>B2C</v>
      </c>
      <c r="G293">
        <v>236</v>
      </c>
      <c r="H293" s="7">
        <v>50.64</v>
      </c>
      <c r="I2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93" s="9">
        <f>Client_churn3[[#This Row],[Facture_Mensuelle]]*Client_churn3[[#This Row],[Remise Client]]</f>
        <v>0</v>
      </c>
      <c r="K293">
        <v>1</v>
      </c>
      <c r="L293"/>
    </row>
    <row r="294" spans="1:12" x14ac:dyDescent="0.25">
      <c r="A294">
        <f t="shared" si="4"/>
        <v>293</v>
      </c>
      <c r="B294" t="s">
        <v>1064</v>
      </c>
      <c r="C294" t="s">
        <v>754</v>
      </c>
      <c r="D294">
        <v>63</v>
      </c>
      <c r="E294" t="s">
        <v>749</v>
      </c>
      <c r="F294" t="str">
        <f>IF(Client_churn3[[#This Row],[Type_Forfait]]= "Pro Monde", "B2B", "B2C")</f>
        <v>B2C</v>
      </c>
      <c r="G294">
        <v>95</v>
      </c>
      <c r="H294" s="7">
        <v>56.81</v>
      </c>
      <c r="I2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94" s="9">
        <f>Client_churn3[[#This Row],[Facture_Mensuelle]]*Client_churn3[[#This Row],[Remise Client]]</f>
        <v>0</v>
      </c>
      <c r="K294">
        <v>0</v>
      </c>
      <c r="L294"/>
    </row>
    <row r="295" spans="1:12" x14ac:dyDescent="0.25">
      <c r="A295">
        <f t="shared" si="4"/>
        <v>294</v>
      </c>
      <c r="B295" t="s">
        <v>1065</v>
      </c>
      <c r="C295" t="s">
        <v>799</v>
      </c>
      <c r="D295">
        <v>119</v>
      </c>
      <c r="E295" t="s">
        <v>743</v>
      </c>
      <c r="F295" t="str">
        <f>IF(Client_churn3[[#This Row],[Type_Forfait]]= "Pro Monde", "B2B", "B2C")</f>
        <v>B2C</v>
      </c>
      <c r="G295">
        <v>133</v>
      </c>
      <c r="H295" s="7">
        <v>30.27</v>
      </c>
      <c r="I2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295" s="9">
        <f>Client_churn3[[#This Row],[Facture_Mensuelle]]*Client_churn3[[#This Row],[Remise Client]]</f>
        <v>0</v>
      </c>
      <c r="K295">
        <v>5</v>
      </c>
      <c r="L295"/>
    </row>
    <row r="296" spans="1:12" x14ac:dyDescent="0.25">
      <c r="A296">
        <f t="shared" si="4"/>
        <v>295</v>
      </c>
      <c r="B296" t="s">
        <v>1066</v>
      </c>
      <c r="C296" t="s">
        <v>834</v>
      </c>
      <c r="D296">
        <v>14</v>
      </c>
      <c r="E296" t="s">
        <v>749</v>
      </c>
      <c r="F296" t="str">
        <f>IF(Client_churn3[[#This Row],[Type_Forfait]]= "Pro Monde", "B2B", "B2C")</f>
        <v>B2C</v>
      </c>
      <c r="G296">
        <v>304</v>
      </c>
      <c r="H296" s="7">
        <v>48.13</v>
      </c>
      <c r="I2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6" s="9">
        <f>Client_churn3[[#This Row],[Facture_Mensuelle]]*Client_churn3[[#This Row],[Remise Client]]</f>
        <v>21.6585</v>
      </c>
      <c r="K296">
        <v>2</v>
      </c>
      <c r="L296"/>
    </row>
    <row r="297" spans="1:12" x14ac:dyDescent="0.25">
      <c r="A297">
        <f t="shared" si="4"/>
        <v>296</v>
      </c>
      <c r="B297" t="s">
        <v>1067</v>
      </c>
      <c r="C297" t="s">
        <v>799</v>
      </c>
      <c r="D297">
        <v>18</v>
      </c>
      <c r="E297" t="s">
        <v>743</v>
      </c>
      <c r="F297" t="str">
        <f>IF(Client_churn3[[#This Row],[Type_Forfait]]= "Pro Monde", "B2B", "B2C")</f>
        <v>B2C</v>
      </c>
      <c r="G297">
        <v>463</v>
      </c>
      <c r="H297" s="7">
        <v>41.66</v>
      </c>
      <c r="I2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7" s="9">
        <f>Client_churn3[[#This Row],[Facture_Mensuelle]]*Client_churn3[[#This Row],[Remise Client]]</f>
        <v>18.747</v>
      </c>
      <c r="K297">
        <v>4</v>
      </c>
      <c r="L297"/>
    </row>
    <row r="298" spans="1:12" x14ac:dyDescent="0.25">
      <c r="A298">
        <f t="shared" si="4"/>
        <v>297</v>
      </c>
      <c r="B298" t="s">
        <v>1068</v>
      </c>
      <c r="C298" t="s">
        <v>754</v>
      </c>
      <c r="D298">
        <v>76</v>
      </c>
      <c r="E298" t="s">
        <v>749</v>
      </c>
      <c r="F298" t="str">
        <f>IF(Client_churn3[[#This Row],[Type_Forfait]]= "Pro Monde", "B2B", "B2C")</f>
        <v>B2C</v>
      </c>
      <c r="G298">
        <v>332</v>
      </c>
      <c r="H298" s="7">
        <v>68.010000000000005</v>
      </c>
      <c r="I2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8" s="9">
        <f>Client_churn3[[#This Row],[Facture_Mensuelle]]*Client_churn3[[#This Row],[Remise Client]]</f>
        <v>30.604500000000002</v>
      </c>
      <c r="K298">
        <v>4</v>
      </c>
      <c r="L298"/>
    </row>
    <row r="299" spans="1:12" x14ac:dyDescent="0.25">
      <c r="A299">
        <f t="shared" si="4"/>
        <v>298</v>
      </c>
      <c r="B299" t="s">
        <v>1069</v>
      </c>
      <c r="C299" t="s">
        <v>785</v>
      </c>
      <c r="D299">
        <v>48</v>
      </c>
      <c r="E299" t="s">
        <v>743</v>
      </c>
      <c r="F299" t="str">
        <f>IF(Client_churn3[[#This Row],[Type_Forfait]]= "Pro Monde", "B2B", "B2C")</f>
        <v>B2C</v>
      </c>
      <c r="G299">
        <v>436</v>
      </c>
      <c r="H299" s="7">
        <v>15.17</v>
      </c>
      <c r="I2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299" s="9">
        <f>Client_churn3[[#This Row],[Facture_Mensuelle]]*Client_churn3[[#This Row],[Remise Client]]</f>
        <v>6.8265000000000002</v>
      </c>
      <c r="K299">
        <v>0</v>
      </c>
      <c r="L299"/>
    </row>
    <row r="300" spans="1:12" x14ac:dyDescent="0.25">
      <c r="A300">
        <f t="shared" si="4"/>
        <v>299</v>
      </c>
      <c r="B300" t="s">
        <v>1070</v>
      </c>
      <c r="C300" t="s">
        <v>748</v>
      </c>
      <c r="D300">
        <v>34</v>
      </c>
      <c r="E300" t="s">
        <v>746</v>
      </c>
      <c r="F300" t="str">
        <f>IF(Client_churn3[[#This Row],[Type_Forfait]]= "Pro Monde", "B2B", "B2C")</f>
        <v>B2B</v>
      </c>
      <c r="G300">
        <v>453</v>
      </c>
      <c r="H300" s="7">
        <v>56.84</v>
      </c>
      <c r="I3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00" s="9">
        <f>Client_churn3[[#This Row],[Facture_Mensuelle]]*Client_churn3[[#This Row],[Remise Client]]</f>
        <v>5.6840000000000011</v>
      </c>
      <c r="K300">
        <v>0</v>
      </c>
      <c r="L300"/>
    </row>
    <row r="301" spans="1:12" x14ac:dyDescent="0.25">
      <c r="A301">
        <f t="shared" si="4"/>
        <v>300</v>
      </c>
      <c r="B301" t="s">
        <v>1071</v>
      </c>
      <c r="C301" t="s">
        <v>794</v>
      </c>
      <c r="D301">
        <v>31</v>
      </c>
      <c r="E301" t="s">
        <v>743</v>
      </c>
      <c r="F301" t="str">
        <f>IF(Client_churn3[[#This Row],[Type_Forfait]]= "Pro Monde", "B2B", "B2C")</f>
        <v>B2C</v>
      </c>
      <c r="G301">
        <v>160</v>
      </c>
      <c r="H301" s="7">
        <v>59.76</v>
      </c>
      <c r="I3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1" s="9">
        <f>Client_churn3[[#This Row],[Facture_Mensuelle]]*Client_churn3[[#This Row],[Remise Client]]</f>
        <v>0</v>
      </c>
      <c r="K301">
        <v>4</v>
      </c>
      <c r="L301"/>
    </row>
    <row r="302" spans="1:12" x14ac:dyDescent="0.25">
      <c r="A302">
        <f t="shared" si="4"/>
        <v>301</v>
      </c>
      <c r="B302" t="s">
        <v>1072</v>
      </c>
      <c r="C302" t="s">
        <v>766</v>
      </c>
      <c r="D302">
        <v>74</v>
      </c>
      <c r="E302" t="s">
        <v>749</v>
      </c>
      <c r="F302" t="str">
        <f>IF(Client_churn3[[#This Row],[Type_Forfait]]= "Pro Monde", "B2B", "B2C")</f>
        <v>B2C</v>
      </c>
      <c r="G302">
        <v>9</v>
      </c>
      <c r="H302" s="7">
        <v>99.89</v>
      </c>
      <c r="I3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2" s="9">
        <f>Client_churn3[[#This Row],[Facture_Mensuelle]]*Client_churn3[[#This Row],[Remise Client]]</f>
        <v>0</v>
      </c>
      <c r="K302">
        <v>0</v>
      </c>
      <c r="L302"/>
    </row>
    <row r="303" spans="1:12" x14ac:dyDescent="0.25">
      <c r="A303">
        <f t="shared" si="4"/>
        <v>302</v>
      </c>
      <c r="B303" t="s">
        <v>1073</v>
      </c>
      <c r="C303" t="s">
        <v>758</v>
      </c>
      <c r="D303">
        <v>88</v>
      </c>
      <c r="E303" t="s">
        <v>749</v>
      </c>
      <c r="F303" t="str">
        <f>IF(Client_churn3[[#This Row],[Type_Forfait]]= "Pro Monde", "B2B", "B2C")</f>
        <v>B2C</v>
      </c>
      <c r="G303">
        <v>319</v>
      </c>
      <c r="H303" s="7">
        <v>56.18</v>
      </c>
      <c r="I3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03" s="9">
        <f>Client_churn3[[#This Row],[Facture_Mensuelle]]*Client_churn3[[#This Row],[Remise Client]]</f>
        <v>25.280999999999999</v>
      </c>
      <c r="K303">
        <v>0</v>
      </c>
      <c r="L303"/>
    </row>
    <row r="304" spans="1:12" x14ac:dyDescent="0.25">
      <c r="A304">
        <f t="shared" si="4"/>
        <v>303</v>
      </c>
      <c r="B304" t="s">
        <v>1074</v>
      </c>
      <c r="C304" t="s">
        <v>806</v>
      </c>
      <c r="D304">
        <v>81</v>
      </c>
      <c r="E304" t="s">
        <v>749</v>
      </c>
      <c r="F304" t="str">
        <f>IF(Client_churn3[[#This Row],[Type_Forfait]]= "Pro Monde", "B2B", "B2C")</f>
        <v>B2C</v>
      </c>
      <c r="G304">
        <v>64</v>
      </c>
      <c r="H304" s="7">
        <v>43.45</v>
      </c>
      <c r="I3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4" s="9">
        <f>Client_churn3[[#This Row],[Facture_Mensuelle]]*Client_churn3[[#This Row],[Remise Client]]</f>
        <v>0</v>
      </c>
      <c r="K304">
        <v>2</v>
      </c>
      <c r="L304"/>
    </row>
    <row r="305" spans="1:12" x14ac:dyDescent="0.25">
      <c r="A305">
        <f t="shared" si="4"/>
        <v>304</v>
      </c>
      <c r="B305" t="s">
        <v>1075</v>
      </c>
      <c r="C305" t="s">
        <v>774</v>
      </c>
      <c r="D305">
        <v>74</v>
      </c>
      <c r="E305" t="s">
        <v>749</v>
      </c>
      <c r="F305" t="str">
        <f>IF(Client_churn3[[#This Row],[Type_Forfait]]= "Pro Monde", "B2B", "B2C")</f>
        <v>B2C</v>
      </c>
      <c r="G305">
        <v>16</v>
      </c>
      <c r="H305" s="7">
        <v>93.01</v>
      </c>
      <c r="I3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5" s="9">
        <f>Client_churn3[[#This Row],[Facture_Mensuelle]]*Client_churn3[[#This Row],[Remise Client]]</f>
        <v>0</v>
      </c>
      <c r="K305">
        <v>3</v>
      </c>
      <c r="L305"/>
    </row>
    <row r="306" spans="1:12" x14ac:dyDescent="0.25">
      <c r="A306">
        <f t="shared" si="4"/>
        <v>305</v>
      </c>
      <c r="B306" t="s">
        <v>1076</v>
      </c>
      <c r="C306" t="s">
        <v>780</v>
      </c>
      <c r="D306">
        <v>108</v>
      </c>
      <c r="E306" t="s">
        <v>743</v>
      </c>
      <c r="F306" t="str">
        <f>IF(Client_churn3[[#This Row],[Type_Forfait]]= "Pro Monde", "B2B", "B2C")</f>
        <v>B2C</v>
      </c>
      <c r="G306">
        <v>460</v>
      </c>
      <c r="H306" s="7">
        <v>88.95</v>
      </c>
      <c r="I3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06" s="9">
        <f>Client_churn3[[#This Row],[Facture_Mensuelle]]*Client_churn3[[#This Row],[Remise Client]]</f>
        <v>40.027500000000003</v>
      </c>
      <c r="K306">
        <v>3</v>
      </c>
      <c r="L306"/>
    </row>
    <row r="307" spans="1:12" x14ac:dyDescent="0.25">
      <c r="A307">
        <f t="shared" si="4"/>
        <v>306</v>
      </c>
      <c r="B307" t="s">
        <v>1077</v>
      </c>
      <c r="C307" t="s">
        <v>842</v>
      </c>
      <c r="D307">
        <v>91</v>
      </c>
      <c r="E307" t="s">
        <v>749</v>
      </c>
      <c r="F307" t="str">
        <f>IF(Client_churn3[[#This Row],[Type_Forfait]]= "Pro Monde", "B2B", "B2C")</f>
        <v>B2C</v>
      </c>
      <c r="G307">
        <v>63</v>
      </c>
      <c r="H307" s="7">
        <v>57.76</v>
      </c>
      <c r="I3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7" s="9">
        <f>Client_churn3[[#This Row],[Facture_Mensuelle]]*Client_churn3[[#This Row],[Remise Client]]</f>
        <v>0</v>
      </c>
      <c r="K307">
        <v>5</v>
      </c>
      <c r="L307"/>
    </row>
    <row r="308" spans="1:12" x14ac:dyDescent="0.25">
      <c r="A308">
        <f t="shared" si="4"/>
        <v>307</v>
      </c>
      <c r="B308" t="s">
        <v>1078</v>
      </c>
      <c r="C308" t="s">
        <v>770</v>
      </c>
      <c r="D308">
        <v>7</v>
      </c>
      <c r="E308" t="s">
        <v>749</v>
      </c>
      <c r="F308" t="str">
        <f>IF(Client_churn3[[#This Row],[Type_Forfait]]= "Pro Monde", "B2B", "B2C")</f>
        <v>B2C</v>
      </c>
      <c r="G308">
        <v>94</v>
      </c>
      <c r="H308" s="7">
        <v>68.38</v>
      </c>
      <c r="I3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8" s="9">
        <f>Client_churn3[[#This Row],[Facture_Mensuelle]]*Client_churn3[[#This Row],[Remise Client]]</f>
        <v>0</v>
      </c>
      <c r="K308">
        <v>3</v>
      </c>
      <c r="L308"/>
    </row>
    <row r="309" spans="1:12" x14ac:dyDescent="0.25">
      <c r="A309">
        <f t="shared" si="4"/>
        <v>308</v>
      </c>
      <c r="B309" t="s">
        <v>1079</v>
      </c>
      <c r="C309" t="s">
        <v>809</v>
      </c>
      <c r="D309">
        <v>47</v>
      </c>
      <c r="E309" t="s">
        <v>755</v>
      </c>
      <c r="F309" t="str">
        <f>IF(Client_churn3[[#This Row],[Type_Forfait]]= "Pro Monde", "B2B", "B2C")</f>
        <v>B2C</v>
      </c>
      <c r="G309">
        <v>49</v>
      </c>
      <c r="H309" s="7">
        <v>55.88</v>
      </c>
      <c r="I3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09" s="9">
        <f>Client_churn3[[#This Row],[Facture_Mensuelle]]*Client_churn3[[#This Row],[Remise Client]]</f>
        <v>0</v>
      </c>
      <c r="K309">
        <v>3</v>
      </c>
      <c r="L309"/>
    </row>
    <row r="310" spans="1:12" x14ac:dyDescent="0.25">
      <c r="A310">
        <f t="shared" si="4"/>
        <v>309</v>
      </c>
      <c r="B310" t="s">
        <v>1080</v>
      </c>
      <c r="C310" t="s">
        <v>768</v>
      </c>
      <c r="D310">
        <v>54</v>
      </c>
      <c r="E310" t="s">
        <v>749</v>
      </c>
      <c r="F310" t="str">
        <f>IF(Client_churn3[[#This Row],[Type_Forfait]]= "Pro Monde", "B2B", "B2C")</f>
        <v>B2C</v>
      </c>
      <c r="G310">
        <v>215</v>
      </c>
      <c r="H310" s="7">
        <v>54.69</v>
      </c>
      <c r="I3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10" s="9">
        <f>Client_churn3[[#This Row],[Facture_Mensuelle]]*Client_churn3[[#This Row],[Remise Client]]</f>
        <v>0</v>
      </c>
      <c r="K310">
        <v>0</v>
      </c>
      <c r="L310"/>
    </row>
    <row r="311" spans="1:12" x14ac:dyDescent="0.25">
      <c r="A311">
        <f t="shared" si="4"/>
        <v>310</v>
      </c>
      <c r="B311" t="s">
        <v>1081</v>
      </c>
      <c r="C311" t="s">
        <v>748</v>
      </c>
      <c r="D311">
        <v>80</v>
      </c>
      <c r="E311" t="s">
        <v>746</v>
      </c>
      <c r="F311" t="str">
        <f>IF(Client_churn3[[#This Row],[Type_Forfait]]= "Pro Monde", "B2B", "B2C")</f>
        <v>B2B</v>
      </c>
      <c r="G311">
        <v>458</v>
      </c>
      <c r="H311" s="7">
        <v>98.11</v>
      </c>
      <c r="I3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11" s="9">
        <f>Client_churn3[[#This Row],[Facture_Mensuelle]]*Client_churn3[[#This Row],[Remise Client]]</f>
        <v>9.8109999999999999</v>
      </c>
      <c r="K311">
        <v>0</v>
      </c>
      <c r="L311"/>
    </row>
    <row r="312" spans="1:12" x14ac:dyDescent="0.25">
      <c r="A312">
        <f t="shared" si="4"/>
        <v>311</v>
      </c>
      <c r="B312" t="s">
        <v>1082</v>
      </c>
      <c r="C312" t="s">
        <v>770</v>
      </c>
      <c r="D312">
        <v>115</v>
      </c>
      <c r="E312" t="s">
        <v>749</v>
      </c>
      <c r="F312" t="str">
        <f>IF(Client_churn3[[#This Row],[Type_Forfait]]= "Pro Monde", "B2B", "B2C")</f>
        <v>B2C</v>
      </c>
      <c r="G312">
        <v>467</v>
      </c>
      <c r="H312" s="7">
        <v>24.57</v>
      </c>
      <c r="I3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12" s="9">
        <f>Client_churn3[[#This Row],[Facture_Mensuelle]]*Client_churn3[[#This Row],[Remise Client]]</f>
        <v>11.0565</v>
      </c>
      <c r="K312">
        <v>3</v>
      </c>
      <c r="L312"/>
    </row>
    <row r="313" spans="1:12" x14ac:dyDescent="0.25">
      <c r="A313">
        <f t="shared" si="4"/>
        <v>312</v>
      </c>
      <c r="B313" t="s">
        <v>1083</v>
      </c>
      <c r="C313" t="s">
        <v>758</v>
      </c>
      <c r="D313">
        <v>103</v>
      </c>
      <c r="E313" t="s">
        <v>755</v>
      </c>
      <c r="F313" t="str">
        <f>IF(Client_churn3[[#This Row],[Type_Forfait]]= "Pro Monde", "B2B", "B2C")</f>
        <v>B2C</v>
      </c>
      <c r="G313">
        <v>310</v>
      </c>
      <c r="H313" s="7">
        <v>49.25</v>
      </c>
      <c r="I3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13" s="9">
        <f>Client_churn3[[#This Row],[Facture_Mensuelle]]*Client_churn3[[#This Row],[Remise Client]]</f>
        <v>22.162500000000001</v>
      </c>
      <c r="K313">
        <v>2</v>
      </c>
      <c r="L313"/>
    </row>
    <row r="314" spans="1:12" x14ac:dyDescent="0.25">
      <c r="A314">
        <f t="shared" si="4"/>
        <v>313</v>
      </c>
      <c r="B314" t="s">
        <v>1084</v>
      </c>
      <c r="C314" t="s">
        <v>782</v>
      </c>
      <c r="D314">
        <v>32</v>
      </c>
      <c r="E314" t="s">
        <v>746</v>
      </c>
      <c r="F314" t="str">
        <f>IF(Client_churn3[[#This Row],[Type_Forfait]]= "Pro Monde", "B2B", "B2C")</f>
        <v>B2B</v>
      </c>
      <c r="G314">
        <v>4</v>
      </c>
      <c r="H314" s="7">
        <v>39</v>
      </c>
      <c r="I3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14" s="9">
        <f>Client_churn3[[#This Row],[Facture_Mensuelle]]*Client_churn3[[#This Row],[Remise Client]]</f>
        <v>3.9000000000000004</v>
      </c>
      <c r="K314">
        <v>0</v>
      </c>
      <c r="L314"/>
    </row>
    <row r="315" spans="1:12" x14ac:dyDescent="0.25">
      <c r="A315">
        <f t="shared" si="4"/>
        <v>314</v>
      </c>
      <c r="B315" t="s">
        <v>1085</v>
      </c>
      <c r="C315" t="s">
        <v>780</v>
      </c>
      <c r="D315">
        <v>54</v>
      </c>
      <c r="E315" t="s">
        <v>743</v>
      </c>
      <c r="F315" t="str">
        <f>IF(Client_churn3[[#This Row],[Type_Forfait]]= "Pro Monde", "B2B", "B2C")</f>
        <v>B2C</v>
      </c>
      <c r="G315">
        <v>450</v>
      </c>
      <c r="H315" s="7">
        <v>90.85</v>
      </c>
      <c r="I3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15" s="9">
        <f>Client_churn3[[#This Row],[Facture_Mensuelle]]*Client_churn3[[#This Row],[Remise Client]]</f>
        <v>40.8825</v>
      </c>
      <c r="K315">
        <v>1</v>
      </c>
      <c r="L315"/>
    </row>
    <row r="316" spans="1:12" x14ac:dyDescent="0.25">
      <c r="A316">
        <f t="shared" si="4"/>
        <v>315</v>
      </c>
      <c r="B316" t="s">
        <v>1086</v>
      </c>
      <c r="C316" t="s">
        <v>760</v>
      </c>
      <c r="D316">
        <v>63</v>
      </c>
      <c r="E316" t="s">
        <v>746</v>
      </c>
      <c r="F316" t="str">
        <f>IF(Client_churn3[[#This Row],[Type_Forfait]]= "Pro Monde", "B2B", "B2C")</f>
        <v>B2B</v>
      </c>
      <c r="G316">
        <v>205</v>
      </c>
      <c r="H316" s="7">
        <v>89.19</v>
      </c>
      <c r="I3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16" s="9">
        <f>Client_churn3[[#This Row],[Facture_Mensuelle]]*Client_churn3[[#This Row],[Remise Client]]</f>
        <v>8.9190000000000005</v>
      </c>
      <c r="K316">
        <v>0</v>
      </c>
      <c r="L316"/>
    </row>
    <row r="317" spans="1:12" x14ac:dyDescent="0.25">
      <c r="A317">
        <f t="shared" si="4"/>
        <v>316</v>
      </c>
      <c r="B317" t="s">
        <v>1087</v>
      </c>
      <c r="C317" t="s">
        <v>780</v>
      </c>
      <c r="D317">
        <v>16</v>
      </c>
      <c r="E317" t="s">
        <v>755</v>
      </c>
      <c r="F317" t="str">
        <f>IF(Client_churn3[[#This Row],[Type_Forfait]]= "Pro Monde", "B2B", "B2C")</f>
        <v>B2C</v>
      </c>
      <c r="G317">
        <v>274</v>
      </c>
      <c r="H317" s="7">
        <v>27.97</v>
      </c>
      <c r="I3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17" s="9">
        <f>Client_churn3[[#This Row],[Facture_Mensuelle]]*Client_churn3[[#This Row],[Remise Client]]</f>
        <v>12.586499999999999</v>
      </c>
      <c r="K317">
        <v>4</v>
      </c>
      <c r="L317"/>
    </row>
    <row r="318" spans="1:12" x14ac:dyDescent="0.25">
      <c r="A318">
        <f t="shared" si="4"/>
        <v>317</v>
      </c>
      <c r="B318" t="s">
        <v>1088</v>
      </c>
      <c r="C318" t="s">
        <v>893</v>
      </c>
      <c r="D318">
        <v>95</v>
      </c>
      <c r="E318" t="s">
        <v>755</v>
      </c>
      <c r="F318" t="str">
        <f>IF(Client_churn3[[#This Row],[Type_Forfait]]= "Pro Monde", "B2B", "B2C")</f>
        <v>B2C</v>
      </c>
      <c r="G318">
        <v>313</v>
      </c>
      <c r="H318" s="7">
        <v>32.49</v>
      </c>
      <c r="I3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18" s="9">
        <f>Client_churn3[[#This Row],[Facture_Mensuelle]]*Client_churn3[[#This Row],[Remise Client]]</f>
        <v>14.620500000000002</v>
      </c>
      <c r="K318">
        <v>1</v>
      </c>
      <c r="L318"/>
    </row>
    <row r="319" spans="1:12" x14ac:dyDescent="0.25">
      <c r="A319">
        <f t="shared" si="4"/>
        <v>318</v>
      </c>
      <c r="B319" t="s">
        <v>1089</v>
      </c>
      <c r="C319" t="s">
        <v>742</v>
      </c>
      <c r="D319">
        <v>48</v>
      </c>
      <c r="E319" t="s">
        <v>746</v>
      </c>
      <c r="F319" t="str">
        <f>IF(Client_churn3[[#This Row],[Type_Forfait]]= "Pro Monde", "B2B", "B2C")</f>
        <v>B2B</v>
      </c>
      <c r="G319">
        <v>76</v>
      </c>
      <c r="H319" s="7">
        <v>39.35</v>
      </c>
      <c r="I3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19" s="9">
        <f>Client_churn3[[#This Row],[Facture_Mensuelle]]*Client_churn3[[#This Row],[Remise Client]]</f>
        <v>3.9350000000000005</v>
      </c>
      <c r="K319">
        <v>2</v>
      </c>
      <c r="L319"/>
    </row>
    <row r="320" spans="1:12" x14ac:dyDescent="0.25">
      <c r="A320">
        <f t="shared" si="4"/>
        <v>319</v>
      </c>
      <c r="B320" t="s">
        <v>1090</v>
      </c>
      <c r="C320" t="s">
        <v>780</v>
      </c>
      <c r="D320">
        <v>83</v>
      </c>
      <c r="E320" t="s">
        <v>743</v>
      </c>
      <c r="F320" t="str">
        <f>IF(Client_churn3[[#This Row],[Type_Forfait]]= "Pro Monde", "B2B", "B2C")</f>
        <v>B2C</v>
      </c>
      <c r="G320">
        <v>126</v>
      </c>
      <c r="H320" s="7">
        <v>67.17</v>
      </c>
      <c r="I3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20" s="9">
        <f>Client_churn3[[#This Row],[Facture_Mensuelle]]*Client_churn3[[#This Row],[Remise Client]]</f>
        <v>0</v>
      </c>
      <c r="K320">
        <v>1</v>
      </c>
      <c r="L320"/>
    </row>
    <row r="321" spans="1:12" x14ac:dyDescent="0.25">
      <c r="A321">
        <f t="shared" si="4"/>
        <v>320</v>
      </c>
      <c r="B321" t="s">
        <v>1091</v>
      </c>
      <c r="C321" t="s">
        <v>748</v>
      </c>
      <c r="D321">
        <v>96</v>
      </c>
      <c r="E321" t="s">
        <v>749</v>
      </c>
      <c r="F321" t="str">
        <f>IF(Client_churn3[[#This Row],[Type_Forfait]]= "Pro Monde", "B2B", "B2C")</f>
        <v>B2C</v>
      </c>
      <c r="G321">
        <v>155</v>
      </c>
      <c r="H321" s="7">
        <v>69.16</v>
      </c>
      <c r="I3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21" s="9">
        <f>Client_churn3[[#This Row],[Facture_Mensuelle]]*Client_churn3[[#This Row],[Remise Client]]</f>
        <v>0</v>
      </c>
      <c r="K321">
        <v>4</v>
      </c>
      <c r="L321"/>
    </row>
    <row r="322" spans="1:12" x14ac:dyDescent="0.25">
      <c r="A322">
        <f t="shared" si="4"/>
        <v>321</v>
      </c>
      <c r="B322" t="s">
        <v>1092</v>
      </c>
      <c r="C322" t="s">
        <v>768</v>
      </c>
      <c r="D322">
        <v>13</v>
      </c>
      <c r="E322" t="s">
        <v>749</v>
      </c>
      <c r="F322" t="str">
        <f>IF(Client_churn3[[#This Row],[Type_Forfait]]= "Pro Monde", "B2B", "B2C")</f>
        <v>B2C</v>
      </c>
      <c r="G322">
        <v>482</v>
      </c>
      <c r="H322" s="7">
        <v>50.15</v>
      </c>
      <c r="I3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22" s="9">
        <f>Client_churn3[[#This Row],[Facture_Mensuelle]]*Client_churn3[[#This Row],[Remise Client]]</f>
        <v>22.567499999999999</v>
      </c>
      <c r="K322">
        <v>0</v>
      </c>
      <c r="L322"/>
    </row>
    <row r="323" spans="1:12" x14ac:dyDescent="0.25">
      <c r="A323">
        <f t="shared" si="4"/>
        <v>322</v>
      </c>
      <c r="B323" t="s">
        <v>1093</v>
      </c>
      <c r="C323" t="s">
        <v>760</v>
      </c>
      <c r="D323">
        <v>4</v>
      </c>
      <c r="E323" t="s">
        <v>743</v>
      </c>
      <c r="F323" t="str">
        <f>IF(Client_churn3[[#This Row],[Type_Forfait]]= "Pro Monde", "B2B", "B2C")</f>
        <v>B2C</v>
      </c>
      <c r="G323">
        <v>227</v>
      </c>
      <c r="H323" s="7">
        <v>83.32</v>
      </c>
      <c r="I3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23" s="9">
        <f>Client_churn3[[#This Row],[Facture_Mensuelle]]*Client_churn3[[#This Row],[Remise Client]]</f>
        <v>0</v>
      </c>
      <c r="K323">
        <v>2</v>
      </c>
      <c r="L323"/>
    </row>
    <row r="324" spans="1:12" x14ac:dyDescent="0.25">
      <c r="A324">
        <f t="shared" si="4"/>
        <v>323</v>
      </c>
      <c r="B324" t="s">
        <v>1094</v>
      </c>
      <c r="C324" t="s">
        <v>776</v>
      </c>
      <c r="D324">
        <v>49</v>
      </c>
      <c r="E324" t="s">
        <v>749</v>
      </c>
      <c r="F324" t="str">
        <f>IF(Client_churn3[[#This Row],[Type_Forfait]]= "Pro Monde", "B2B", "B2C")</f>
        <v>B2C</v>
      </c>
      <c r="G324">
        <v>6</v>
      </c>
      <c r="H324" s="7">
        <v>44.41</v>
      </c>
      <c r="I3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24" s="9">
        <f>Client_churn3[[#This Row],[Facture_Mensuelle]]*Client_churn3[[#This Row],[Remise Client]]</f>
        <v>0</v>
      </c>
      <c r="K324">
        <v>3</v>
      </c>
      <c r="L324"/>
    </row>
    <row r="325" spans="1:12" x14ac:dyDescent="0.25">
      <c r="A325">
        <f t="shared" ref="A325:A388" si="5">A324+1</f>
        <v>324</v>
      </c>
      <c r="B325" t="s">
        <v>1095</v>
      </c>
      <c r="C325" t="s">
        <v>766</v>
      </c>
      <c r="D325">
        <v>37</v>
      </c>
      <c r="E325" t="s">
        <v>755</v>
      </c>
      <c r="F325" t="str">
        <f>IF(Client_churn3[[#This Row],[Type_Forfait]]= "Pro Monde", "B2B", "B2C")</f>
        <v>B2C</v>
      </c>
      <c r="G325">
        <v>420</v>
      </c>
      <c r="H325" s="7">
        <v>67.260000000000005</v>
      </c>
      <c r="I3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25" s="9">
        <f>Client_churn3[[#This Row],[Facture_Mensuelle]]*Client_churn3[[#This Row],[Remise Client]]</f>
        <v>30.267000000000003</v>
      </c>
      <c r="K325">
        <v>4</v>
      </c>
      <c r="L325"/>
    </row>
    <row r="326" spans="1:12" x14ac:dyDescent="0.25">
      <c r="A326">
        <f t="shared" si="5"/>
        <v>325</v>
      </c>
      <c r="B326" t="s">
        <v>1096</v>
      </c>
      <c r="C326" t="s">
        <v>758</v>
      </c>
      <c r="D326">
        <v>88</v>
      </c>
      <c r="E326" t="s">
        <v>743</v>
      </c>
      <c r="F326" t="str">
        <f>IF(Client_churn3[[#This Row],[Type_Forfait]]= "Pro Monde", "B2B", "B2C")</f>
        <v>B2C</v>
      </c>
      <c r="G326">
        <v>246</v>
      </c>
      <c r="H326" s="7">
        <v>90.7</v>
      </c>
      <c r="I3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26" s="9">
        <f>Client_churn3[[#This Row],[Facture_Mensuelle]]*Client_churn3[[#This Row],[Remise Client]]</f>
        <v>40.815000000000005</v>
      </c>
      <c r="K326">
        <v>3</v>
      </c>
      <c r="L326"/>
    </row>
    <row r="327" spans="1:12" x14ac:dyDescent="0.25">
      <c r="A327">
        <f t="shared" si="5"/>
        <v>326</v>
      </c>
      <c r="B327" t="s">
        <v>1097</v>
      </c>
      <c r="C327" t="s">
        <v>806</v>
      </c>
      <c r="D327">
        <v>26</v>
      </c>
      <c r="E327" t="s">
        <v>743</v>
      </c>
      <c r="F327" t="str">
        <f>IF(Client_churn3[[#This Row],[Type_Forfait]]= "Pro Monde", "B2B", "B2C")</f>
        <v>B2C</v>
      </c>
      <c r="G327">
        <v>413</v>
      </c>
      <c r="H327" s="7">
        <v>10.9</v>
      </c>
      <c r="I3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27" s="9">
        <f>Client_churn3[[#This Row],[Facture_Mensuelle]]*Client_churn3[[#This Row],[Remise Client]]</f>
        <v>4.9050000000000002</v>
      </c>
      <c r="K327">
        <v>5</v>
      </c>
      <c r="L327"/>
    </row>
    <row r="328" spans="1:12" x14ac:dyDescent="0.25">
      <c r="A328">
        <f t="shared" si="5"/>
        <v>327</v>
      </c>
      <c r="B328" t="s">
        <v>1098</v>
      </c>
      <c r="C328" t="s">
        <v>780</v>
      </c>
      <c r="D328">
        <v>86</v>
      </c>
      <c r="E328" t="s">
        <v>746</v>
      </c>
      <c r="F328" t="str">
        <f>IF(Client_churn3[[#This Row],[Type_Forfait]]= "Pro Monde", "B2B", "B2C")</f>
        <v>B2B</v>
      </c>
      <c r="G328">
        <v>353</v>
      </c>
      <c r="H328" s="7">
        <v>25.37</v>
      </c>
      <c r="I3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28" s="9">
        <f>Client_churn3[[#This Row],[Facture_Mensuelle]]*Client_churn3[[#This Row],[Remise Client]]</f>
        <v>2.5370000000000004</v>
      </c>
      <c r="K328">
        <v>1</v>
      </c>
      <c r="L328"/>
    </row>
    <row r="329" spans="1:12" x14ac:dyDescent="0.25">
      <c r="A329">
        <f t="shared" si="5"/>
        <v>328</v>
      </c>
      <c r="B329" t="s">
        <v>1099</v>
      </c>
      <c r="C329" t="s">
        <v>764</v>
      </c>
      <c r="D329">
        <v>101</v>
      </c>
      <c r="E329" t="s">
        <v>746</v>
      </c>
      <c r="F329" t="str">
        <f>IF(Client_churn3[[#This Row],[Type_Forfait]]= "Pro Monde", "B2B", "B2C")</f>
        <v>B2B</v>
      </c>
      <c r="G329">
        <v>108</v>
      </c>
      <c r="H329" s="7">
        <v>76.05</v>
      </c>
      <c r="I3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29" s="9">
        <f>Client_churn3[[#This Row],[Facture_Mensuelle]]*Client_churn3[[#This Row],[Remise Client]]</f>
        <v>7.6050000000000004</v>
      </c>
      <c r="K329">
        <v>3</v>
      </c>
      <c r="L329"/>
    </row>
    <row r="330" spans="1:12" x14ac:dyDescent="0.25">
      <c r="A330">
        <f t="shared" si="5"/>
        <v>329</v>
      </c>
      <c r="B330" t="s">
        <v>1100</v>
      </c>
      <c r="C330" t="s">
        <v>806</v>
      </c>
      <c r="D330">
        <v>105</v>
      </c>
      <c r="E330" t="s">
        <v>755</v>
      </c>
      <c r="F330" t="str">
        <f>IF(Client_churn3[[#This Row],[Type_Forfait]]= "Pro Monde", "B2B", "B2C")</f>
        <v>B2C</v>
      </c>
      <c r="G330">
        <v>17</v>
      </c>
      <c r="H330" s="7">
        <v>60.05</v>
      </c>
      <c r="I3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0" s="9">
        <f>Client_churn3[[#This Row],[Facture_Mensuelle]]*Client_churn3[[#This Row],[Remise Client]]</f>
        <v>0</v>
      </c>
      <c r="K330">
        <v>4</v>
      </c>
      <c r="L330"/>
    </row>
    <row r="331" spans="1:12" x14ac:dyDescent="0.25">
      <c r="A331">
        <f t="shared" si="5"/>
        <v>330</v>
      </c>
      <c r="B331" t="s">
        <v>1101</v>
      </c>
      <c r="C331" t="s">
        <v>799</v>
      </c>
      <c r="D331">
        <v>61</v>
      </c>
      <c r="E331" t="s">
        <v>749</v>
      </c>
      <c r="F331" t="str">
        <f>IF(Client_churn3[[#This Row],[Type_Forfait]]= "Pro Monde", "B2B", "B2C")</f>
        <v>B2C</v>
      </c>
      <c r="G331">
        <v>87</v>
      </c>
      <c r="H331" s="7">
        <v>68.319999999999993</v>
      </c>
      <c r="I3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1" s="9">
        <f>Client_churn3[[#This Row],[Facture_Mensuelle]]*Client_churn3[[#This Row],[Remise Client]]</f>
        <v>0</v>
      </c>
      <c r="K331">
        <v>2</v>
      </c>
      <c r="L331"/>
    </row>
    <row r="332" spans="1:12" x14ac:dyDescent="0.25">
      <c r="A332">
        <f t="shared" si="5"/>
        <v>331</v>
      </c>
      <c r="B332" t="s">
        <v>1102</v>
      </c>
      <c r="C332" t="s">
        <v>802</v>
      </c>
      <c r="D332">
        <v>94</v>
      </c>
      <c r="E332" t="s">
        <v>749</v>
      </c>
      <c r="F332" t="str">
        <f>IF(Client_churn3[[#This Row],[Type_Forfait]]= "Pro Monde", "B2B", "B2C")</f>
        <v>B2C</v>
      </c>
      <c r="G332">
        <v>6</v>
      </c>
      <c r="H332" s="7">
        <v>67.459999999999994</v>
      </c>
      <c r="I3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2" s="9">
        <f>Client_churn3[[#This Row],[Facture_Mensuelle]]*Client_churn3[[#This Row],[Remise Client]]</f>
        <v>0</v>
      </c>
      <c r="K332">
        <v>5</v>
      </c>
      <c r="L332"/>
    </row>
    <row r="333" spans="1:12" x14ac:dyDescent="0.25">
      <c r="A333">
        <f t="shared" si="5"/>
        <v>332</v>
      </c>
      <c r="B333" t="s">
        <v>1103</v>
      </c>
      <c r="C333" t="s">
        <v>785</v>
      </c>
      <c r="D333">
        <v>6</v>
      </c>
      <c r="E333" t="s">
        <v>746</v>
      </c>
      <c r="F333" t="str">
        <f>IF(Client_churn3[[#This Row],[Type_Forfait]]= "Pro Monde", "B2B", "B2C")</f>
        <v>B2B</v>
      </c>
      <c r="G333">
        <v>109</v>
      </c>
      <c r="H333" s="7">
        <v>39.880000000000003</v>
      </c>
      <c r="I3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33" s="9">
        <f>Client_churn3[[#This Row],[Facture_Mensuelle]]*Client_churn3[[#This Row],[Remise Client]]</f>
        <v>3.9880000000000004</v>
      </c>
      <c r="K333">
        <v>4</v>
      </c>
      <c r="L333"/>
    </row>
    <row r="334" spans="1:12" x14ac:dyDescent="0.25">
      <c r="A334">
        <f t="shared" si="5"/>
        <v>333</v>
      </c>
      <c r="B334" t="s">
        <v>1104</v>
      </c>
      <c r="C334" t="s">
        <v>834</v>
      </c>
      <c r="D334">
        <v>62</v>
      </c>
      <c r="E334" t="s">
        <v>749</v>
      </c>
      <c r="F334" t="str">
        <f>IF(Client_churn3[[#This Row],[Type_Forfait]]= "Pro Monde", "B2B", "B2C")</f>
        <v>B2C</v>
      </c>
      <c r="G334">
        <v>136</v>
      </c>
      <c r="H334" s="7">
        <v>88.61</v>
      </c>
      <c r="I3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4" s="9">
        <f>Client_churn3[[#This Row],[Facture_Mensuelle]]*Client_churn3[[#This Row],[Remise Client]]</f>
        <v>0</v>
      </c>
      <c r="K334">
        <v>2</v>
      </c>
      <c r="L334"/>
    </row>
    <row r="335" spans="1:12" x14ac:dyDescent="0.25">
      <c r="A335">
        <f t="shared" si="5"/>
        <v>334</v>
      </c>
      <c r="B335" t="s">
        <v>1105</v>
      </c>
      <c r="C335" t="s">
        <v>842</v>
      </c>
      <c r="D335">
        <v>34</v>
      </c>
      <c r="E335" t="s">
        <v>749</v>
      </c>
      <c r="F335" t="str">
        <f>IF(Client_churn3[[#This Row],[Type_Forfait]]= "Pro Monde", "B2B", "B2C")</f>
        <v>B2C</v>
      </c>
      <c r="G335">
        <v>181</v>
      </c>
      <c r="H335" s="7">
        <v>35.92</v>
      </c>
      <c r="I3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5" s="9">
        <f>Client_churn3[[#This Row],[Facture_Mensuelle]]*Client_churn3[[#This Row],[Remise Client]]</f>
        <v>0</v>
      </c>
      <c r="K335">
        <v>2</v>
      </c>
      <c r="L335"/>
    </row>
    <row r="336" spans="1:12" x14ac:dyDescent="0.25">
      <c r="A336">
        <f t="shared" si="5"/>
        <v>335</v>
      </c>
      <c r="B336" t="s">
        <v>1106</v>
      </c>
      <c r="C336" t="s">
        <v>748</v>
      </c>
      <c r="D336">
        <v>99</v>
      </c>
      <c r="E336" t="s">
        <v>746</v>
      </c>
      <c r="F336" t="str">
        <f>IF(Client_churn3[[#This Row],[Type_Forfait]]= "Pro Monde", "B2B", "B2C")</f>
        <v>B2B</v>
      </c>
      <c r="G336">
        <v>138</v>
      </c>
      <c r="H336" s="7">
        <v>54.64</v>
      </c>
      <c r="I3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36" s="9">
        <f>Client_churn3[[#This Row],[Facture_Mensuelle]]*Client_churn3[[#This Row],[Remise Client]]</f>
        <v>5.4640000000000004</v>
      </c>
      <c r="K336">
        <v>5</v>
      </c>
      <c r="L336"/>
    </row>
    <row r="337" spans="1:12" x14ac:dyDescent="0.25">
      <c r="A337">
        <f t="shared" si="5"/>
        <v>336</v>
      </c>
      <c r="B337" t="s">
        <v>1107</v>
      </c>
      <c r="C337" t="s">
        <v>799</v>
      </c>
      <c r="D337">
        <v>59</v>
      </c>
      <c r="E337" t="s">
        <v>755</v>
      </c>
      <c r="F337" t="str">
        <f>IF(Client_churn3[[#This Row],[Type_Forfait]]= "Pro Monde", "B2B", "B2C")</f>
        <v>B2C</v>
      </c>
      <c r="G337">
        <v>352</v>
      </c>
      <c r="H337" s="7">
        <v>74.239999999999995</v>
      </c>
      <c r="I3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37" s="9">
        <f>Client_churn3[[#This Row],[Facture_Mensuelle]]*Client_churn3[[#This Row],[Remise Client]]</f>
        <v>33.408000000000001</v>
      </c>
      <c r="K337">
        <v>0</v>
      </c>
      <c r="L337"/>
    </row>
    <row r="338" spans="1:12" x14ac:dyDescent="0.25">
      <c r="A338">
        <f t="shared" si="5"/>
        <v>337</v>
      </c>
      <c r="B338" t="s">
        <v>1108</v>
      </c>
      <c r="C338" t="s">
        <v>745</v>
      </c>
      <c r="D338">
        <v>19</v>
      </c>
      <c r="E338" t="s">
        <v>743</v>
      </c>
      <c r="F338" t="str">
        <f>IF(Client_churn3[[#This Row],[Type_Forfait]]= "Pro Monde", "B2B", "B2C")</f>
        <v>B2C</v>
      </c>
      <c r="G338">
        <v>71</v>
      </c>
      <c r="H338" s="7">
        <v>68.2</v>
      </c>
      <c r="I3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38" s="9">
        <f>Client_churn3[[#This Row],[Facture_Mensuelle]]*Client_churn3[[#This Row],[Remise Client]]</f>
        <v>0</v>
      </c>
      <c r="K338">
        <v>0</v>
      </c>
      <c r="L338"/>
    </row>
    <row r="339" spans="1:12" x14ac:dyDescent="0.25">
      <c r="A339">
        <f t="shared" si="5"/>
        <v>338</v>
      </c>
      <c r="B339" t="s">
        <v>1109</v>
      </c>
      <c r="C339" t="s">
        <v>796</v>
      </c>
      <c r="D339">
        <v>56</v>
      </c>
      <c r="E339" t="s">
        <v>746</v>
      </c>
      <c r="F339" t="str">
        <f>IF(Client_churn3[[#This Row],[Type_Forfait]]= "Pro Monde", "B2B", "B2C")</f>
        <v>B2B</v>
      </c>
      <c r="G339">
        <v>55</v>
      </c>
      <c r="H339" s="7">
        <v>82.56</v>
      </c>
      <c r="I3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39" s="9">
        <f>Client_churn3[[#This Row],[Facture_Mensuelle]]*Client_churn3[[#This Row],[Remise Client]]</f>
        <v>8.2560000000000002</v>
      </c>
      <c r="K339">
        <v>2</v>
      </c>
      <c r="L339"/>
    </row>
    <row r="340" spans="1:12" x14ac:dyDescent="0.25">
      <c r="A340">
        <f t="shared" si="5"/>
        <v>339</v>
      </c>
      <c r="B340" t="s">
        <v>1110</v>
      </c>
      <c r="C340" t="s">
        <v>742</v>
      </c>
      <c r="D340">
        <v>94</v>
      </c>
      <c r="E340" t="s">
        <v>746</v>
      </c>
      <c r="F340" t="str">
        <f>IF(Client_churn3[[#This Row],[Type_Forfait]]= "Pro Monde", "B2B", "B2C")</f>
        <v>B2B</v>
      </c>
      <c r="G340">
        <v>247</v>
      </c>
      <c r="H340" s="7">
        <v>96.57</v>
      </c>
      <c r="I3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0" s="9">
        <f>Client_churn3[[#This Row],[Facture_Mensuelle]]*Client_churn3[[#This Row],[Remise Client]]</f>
        <v>9.657</v>
      </c>
      <c r="K340">
        <v>0</v>
      </c>
      <c r="L340"/>
    </row>
    <row r="341" spans="1:12" x14ac:dyDescent="0.25">
      <c r="A341">
        <f t="shared" si="5"/>
        <v>340</v>
      </c>
      <c r="B341" t="s">
        <v>1111</v>
      </c>
      <c r="C341" t="s">
        <v>834</v>
      </c>
      <c r="D341">
        <v>14</v>
      </c>
      <c r="E341" t="s">
        <v>746</v>
      </c>
      <c r="F341" t="str">
        <f>IF(Client_churn3[[#This Row],[Type_Forfait]]= "Pro Monde", "B2B", "B2C")</f>
        <v>B2B</v>
      </c>
      <c r="G341">
        <v>236</v>
      </c>
      <c r="H341" s="7">
        <v>54.43</v>
      </c>
      <c r="I3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1" s="9">
        <f>Client_churn3[[#This Row],[Facture_Mensuelle]]*Client_churn3[[#This Row],[Remise Client]]</f>
        <v>5.4430000000000005</v>
      </c>
      <c r="K341">
        <v>3</v>
      </c>
      <c r="L341"/>
    </row>
    <row r="342" spans="1:12" x14ac:dyDescent="0.25">
      <c r="A342">
        <f t="shared" si="5"/>
        <v>341</v>
      </c>
      <c r="B342" t="s">
        <v>1112</v>
      </c>
      <c r="C342" t="s">
        <v>834</v>
      </c>
      <c r="D342">
        <v>63</v>
      </c>
      <c r="E342" t="s">
        <v>746</v>
      </c>
      <c r="F342" t="str">
        <f>IF(Client_churn3[[#This Row],[Type_Forfait]]= "Pro Monde", "B2B", "B2C")</f>
        <v>B2B</v>
      </c>
      <c r="G342">
        <v>121</v>
      </c>
      <c r="H342" s="7">
        <v>39.18</v>
      </c>
      <c r="I3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2" s="9">
        <f>Client_churn3[[#This Row],[Facture_Mensuelle]]*Client_churn3[[#This Row],[Remise Client]]</f>
        <v>3.9180000000000001</v>
      </c>
      <c r="K342">
        <v>2</v>
      </c>
      <c r="L342"/>
    </row>
    <row r="343" spans="1:12" x14ac:dyDescent="0.25">
      <c r="A343">
        <f t="shared" si="5"/>
        <v>342</v>
      </c>
      <c r="B343" t="s">
        <v>1113</v>
      </c>
      <c r="C343" t="s">
        <v>766</v>
      </c>
      <c r="D343">
        <v>111</v>
      </c>
      <c r="E343" t="s">
        <v>743</v>
      </c>
      <c r="F343" t="str">
        <f>IF(Client_churn3[[#This Row],[Type_Forfait]]= "Pro Monde", "B2B", "B2C")</f>
        <v>B2C</v>
      </c>
      <c r="G343">
        <v>194</v>
      </c>
      <c r="H343" s="7">
        <v>48.55</v>
      </c>
      <c r="I3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43" s="9">
        <f>Client_churn3[[#This Row],[Facture_Mensuelle]]*Client_churn3[[#This Row],[Remise Client]]</f>
        <v>0</v>
      </c>
      <c r="K343">
        <v>2</v>
      </c>
      <c r="L343"/>
    </row>
    <row r="344" spans="1:12" x14ac:dyDescent="0.25">
      <c r="A344">
        <f t="shared" si="5"/>
        <v>343</v>
      </c>
      <c r="B344" t="s">
        <v>1114</v>
      </c>
      <c r="C344" t="s">
        <v>745</v>
      </c>
      <c r="D344">
        <v>25</v>
      </c>
      <c r="E344" t="s">
        <v>746</v>
      </c>
      <c r="F344" t="str">
        <f>IF(Client_churn3[[#This Row],[Type_Forfait]]= "Pro Monde", "B2B", "B2C")</f>
        <v>B2B</v>
      </c>
      <c r="G344">
        <v>66</v>
      </c>
      <c r="H344" s="7">
        <v>90.14</v>
      </c>
      <c r="I3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4" s="9">
        <f>Client_churn3[[#This Row],[Facture_Mensuelle]]*Client_churn3[[#This Row],[Remise Client]]</f>
        <v>9.0140000000000011</v>
      </c>
      <c r="K344">
        <v>5</v>
      </c>
      <c r="L344"/>
    </row>
    <row r="345" spans="1:12" x14ac:dyDescent="0.25">
      <c r="A345">
        <f t="shared" si="5"/>
        <v>344</v>
      </c>
      <c r="B345" t="s">
        <v>1115</v>
      </c>
      <c r="C345" t="s">
        <v>809</v>
      </c>
      <c r="D345">
        <v>37</v>
      </c>
      <c r="E345" t="s">
        <v>746</v>
      </c>
      <c r="F345" t="str">
        <f>IF(Client_churn3[[#This Row],[Type_Forfait]]= "Pro Monde", "B2B", "B2C")</f>
        <v>B2B</v>
      </c>
      <c r="G345">
        <v>88</v>
      </c>
      <c r="H345" s="7">
        <v>77.77</v>
      </c>
      <c r="I3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5" s="9">
        <f>Client_churn3[[#This Row],[Facture_Mensuelle]]*Client_churn3[[#This Row],[Remise Client]]</f>
        <v>7.7770000000000001</v>
      </c>
      <c r="K345">
        <v>1</v>
      </c>
      <c r="L345"/>
    </row>
    <row r="346" spans="1:12" x14ac:dyDescent="0.25">
      <c r="A346">
        <f t="shared" si="5"/>
        <v>345</v>
      </c>
      <c r="B346" t="s">
        <v>1116</v>
      </c>
      <c r="C346" t="s">
        <v>758</v>
      </c>
      <c r="D346">
        <v>29</v>
      </c>
      <c r="E346" t="s">
        <v>743</v>
      </c>
      <c r="F346" t="str">
        <f>IF(Client_churn3[[#This Row],[Type_Forfait]]= "Pro Monde", "B2B", "B2C")</f>
        <v>B2C</v>
      </c>
      <c r="G346">
        <v>306</v>
      </c>
      <c r="H346" s="7">
        <v>82.16</v>
      </c>
      <c r="I3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46" s="9">
        <f>Client_churn3[[#This Row],[Facture_Mensuelle]]*Client_churn3[[#This Row],[Remise Client]]</f>
        <v>36.972000000000001</v>
      </c>
      <c r="K346">
        <v>1</v>
      </c>
      <c r="L346"/>
    </row>
    <row r="347" spans="1:12" x14ac:dyDescent="0.25">
      <c r="A347">
        <f t="shared" si="5"/>
        <v>346</v>
      </c>
      <c r="B347" t="s">
        <v>1117</v>
      </c>
      <c r="C347" t="s">
        <v>770</v>
      </c>
      <c r="D347">
        <v>13</v>
      </c>
      <c r="E347" t="s">
        <v>746</v>
      </c>
      <c r="F347" t="str">
        <f>IF(Client_churn3[[#This Row],[Type_Forfait]]= "Pro Monde", "B2B", "B2C")</f>
        <v>B2B</v>
      </c>
      <c r="G347">
        <v>87</v>
      </c>
      <c r="H347" s="7">
        <v>66.36</v>
      </c>
      <c r="I3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47" s="9">
        <f>Client_churn3[[#This Row],[Facture_Mensuelle]]*Client_churn3[[#This Row],[Remise Client]]</f>
        <v>6.6360000000000001</v>
      </c>
      <c r="K347">
        <v>0</v>
      </c>
      <c r="L347"/>
    </row>
    <row r="348" spans="1:12" x14ac:dyDescent="0.25">
      <c r="A348">
        <f t="shared" si="5"/>
        <v>347</v>
      </c>
      <c r="B348" t="s">
        <v>1118</v>
      </c>
      <c r="C348" t="s">
        <v>764</v>
      </c>
      <c r="D348">
        <v>27</v>
      </c>
      <c r="E348" t="s">
        <v>755</v>
      </c>
      <c r="F348" t="str">
        <f>IF(Client_churn3[[#This Row],[Type_Forfait]]= "Pro Monde", "B2B", "B2C")</f>
        <v>B2C</v>
      </c>
      <c r="G348">
        <v>369</v>
      </c>
      <c r="H348" s="7">
        <v>19.78</v>
      </c>
      <c r="I3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48" s="9">
        <f>Client_churn3[[#This Row],[Facture_Mensuelle]]*Client_churn3[[#This Row],[Remise Client]]</f>
        <v>8.9010000000000016</v>
      </c>
      <c r="K348">
        <v>1</v>
      </c>
      <c r="L348"/>
    </row>
    <row r="349" spans="1:12" x14ac:dyDescent="0.25">
      <c r="A349">
        <f t="shared" si="5"/>
        <v>348</v>
      </c>
      <c r="B349" t="s">
        <v>1119</v>
      </c>
      <c r="C349" t="s">
        <v>776</v>
      </c>
      <c r="D349">
        <v>110</v>
      </c>
      <c r="E349" t="s">
        <v>755</v>
      </c>
      <c r="F349" t="str">
        <f>IF(Client_churn3[[#This Row],[Type_Forfait]]= "Pro Monde", "B2B", "B2C")</f>
        <v>B2C</v>
      </c>
      <c r="G349">
        <v>289</v>
      </c>
      <c r="H349" s="7">
        <v>83.67</v>
      </c>
      <c r="I3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49" s="9">
        <f>Client_churn3[[#This Row],[Facture_Mensuelle]]*Client_churn3[[#This Row],[Remise Client]]</f>
        <v>37.651499999999999</v>
      </c>
      <c r="K349">
        <v>4</v>
      </c>
      <c r="L349"/>
    </row>
    <row r="350" spans="1:12" x14ac:dyDescent="0.25">
      <c r="A350">
        <f t="shared" si="5"/>
        <v>349</v>
      </c>
      <c r="B350" t="s">
        <v>1120</v>
      </c>
      <c r="C350" t="s">
        <v>751</v>
      </c>
      <c r="D350">
        <v>82</v>
      </c>
      <c r="E350" t="s">
        <v>746</v>
      </c>
      <c r="F350" t="str">
        <f>IF(Client_churn3[[#This Row],[Type_Forfait]]= "Pro Monde", "B2B", "B2C")</f>
        <v>B2B</v>
      </c>
      <c r="G350">
        <v>312</v>
      </c>
      <c r="H350" s="7">
        <v>40.880000000000003</v>
      </c>
      <c r="I3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50" s="9">
        <f>Client_churn3[[#This Row],[Facture_Mensuelle]]*Client_churn3[[#This Row],[Remise Client]]</f>
        <v>4.0880000000000001</v>
      </c>
      <c r="K350">
        <v>0</v>
      </c>
      <c r="L350"/>
    </row>
    <row r="351" spans="1:12" x14ac:dyDescent="0.25">
      <c r="A351">
        <f t="shared" si="5"/>
        <v>350</v>
      </c>
      <c r="B351" t="s">
        <v>1121</v>
      </c>
      <c r="C351" t="s">
        <v>809</v>
      </c>
      <c r="D351">
        <v>1</v>
      </c>
      <c r="E351" t="s">
        <v>746</v>
      </c>
      <c r="F351" t="str">
        <f>IF(Client_churn3[[#This Row],[Type_Forfait]]= "Pro Monde", "B2B", "B2C")</f>
        <v>B2B</v>
      </c>
      <c r="G351">
        <v>424</v>
      </c>
      <c r="H351" s="7">
        <v>59.2</v>
      </c>
      <c r="I3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51" s="9">
        <f>Client_churn3[[#This Row],[Facture_Mensuelle]]*Client_churn3[[#This Row],[Remise Client]]</f>
        <v>5.9200000000000008</v>
      </c>
      <c r="K351">
        <v>2</v>
      </c>
      <c r="L351"/>
    </row>
    <row r="352" spans="1:12" x14ac:dyDescent="0.25">
      <c r="A352">
        <f t="shared" si="5"/>
        <v>351</v>
      </c>
      <c r="B352" t="s">
        <v>1122</v>
      </c>
      <c r="C352" t="s">
        <v>774</v>
      </c>
      <c r="D352">
        <v>72</v>
      </c>
      <c r="E352" t="s">
        <v>755</v>
      </c>
      <c r="F352" t="str">
        <f>IF(Client_churn3[[#This Row],[Type_Forfait]]= "Pro Monde", "B2B", "B2C")</f>
        <v>B2C</v>
      </c>
      <c r="G352">
        <v>5</v>
      </c>
      <c r="H352" s="7">
        <v>68.650000000000006</v>
      </c>
      <c r="I3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52" s="9">
        <f>Client_churn3[[#This Row],[Facture_Mensuelle]]*Client_churn3[[#This Row],[Remise Client]]</f>
        <v>0</v>
      </c>
      <c r="K352">
        <v>0</v>
      </c>
      <c r="L352"/>
    </row>
    <row r="353" spans="1:12" x14ac:dyDescent="0.25">
      <c r="A353">
        <f t="shared" si="5"/>
        <v>352</v>
      </c>
      <c r="B353" t="s">
        <v>1123</v>
      </c>
      <c r="C353" t="s">
        <v>834</v>
      </c>
      <c r="D353">
        <v>7</v>
      </c>
      <c r="E353" t="s">
        <v>755</v>
      </c>
      <c r="F353" t="str">
        <f>IF(Client_churn3[[#This Row],[Type_Forfait]]= "Pro Monde", "B2B", "B2C")</f>
        <v>B2C</v>
      </c>
      <c r="G353">
        <v>317</v>
      </c>
      <c r="H353" s="7">
        <v>97.32</v>
      </c>
      <c r="I3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53" s="9">
        <f>Client_churn3[[#This Row],[Facture_Mensuelle]]*Client_churn3[[#This Row],[Remise Client]]</f>
        <v>43.793999999999997</v>
      </c>
      <c r="K353">
        <v>1</v>
      </c>
      <c r="L353"/>
    </row>
    <row r="354" spans="1:12" x14ac:dyDescent="0.25">
      <c r="A354">
        <f t="shared" si="5"/>
        <v>353</v>
      </c>
      <c r="B354" t="s">
        <v>1124</v>
      </c>
      <c r="C354" t="s">
        <v>776</v>
      </c>
      <c r="D354">
        <v>65</v>
      </c>
      <c r="E354" t="s">
        <v>746</v>
      </c>
      <c r="F354" t="str">
        <f>IF(Client_churn3[[#This Row],[Type_Forfait]]= "Pro Monde", "B2B", "B2C")</f>
        <v>B2B</v>
      </c>
      <c r="G354">
        <v>274</v>
      </c>
      <c r="H354" s="7">
        <v>88.1</v>
      </c>
      <c r="I3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54" s="9">
        <f>Client_churn3[[#This Row],[Facture_Mensuelle]]*Client_churn3[[#This Row],[Remise Client]]</f>
        <v>8.81</v>
      </c>
      <c r="K354">
        <v>4</v>
      </c>
      <c r="L354"/>
    </row>
    <row r="355" spans="1:12" x14ac:dyDescent="0.25">
      <c r="A355">
        <f t="shared" si="5"/>
        <v>354</v>
      </c>
      <c r="B355" t="s">
        <v>1125</v>
      </c>
      <c r="C355" t="s">
        <v>745</v>
      </c>
      <c r="D355">
        <v>16</v>
      </c>
      <c r="E355" t="s">
        <v>755</v>
      </c>
      <c r="F355" t="str">
        <f>IF(Client_churn3[[#This Row],[Type_Forfait]]= "Pro Monde", "B2B", "B2C")</f>
        <v>B2C</v>
      </c>
      <c r="G355">
        <v>96</v>
      </c>
      <c r="H355" s="7">
        <v>86.78</v>
      </c>
      <c r="I3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55" s="9">
        <f>Client_churn3[[#This Row],[Facture_Mensuelle]]*Client_churn3[[#This Row],[Remise Client]]</f>
        <v>0</v>
      </c>
      <c r="K355">
        <v>1</v>
      </c>
      <c r="L355"/>
    </row>
    <row r="356" spans="1:12" x14ac:dyDescent="0.25">
      <c r="A356">
        <f t="shared" si="5"/>
        <v>355</v>
      </c>
      <c r="B356" t="s">
        <v>1126</v>
      </c>
      <c r="C356" t="s">
        <v>760</v>
      </c>
      <c r="D356">
        <v>74</v>
      </c>
      <c r="E356" t="s">
        <v>743</v>
      </c>
      <c r="F356" t="str">
        <f>IF(Client_churn3[[#This Row],[Type_Forfait]]= "Pro Monde", "B2B", "B2C")</f>
        <v>B2C</v>
      </c>
      <c r="G356">
        <v>265</v>
      </c>
      <c r="H356" s="7">
        <v>90.81</v>
      </c>
      <c r="I3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56" s="9">
        <f>Client_churn3[[#This Row],[Facture_Mensuelle]]*Client_churn3[[#This Row],[Remise Client]]</f>
        <v>40.8645</v>
      </c>
      <c r="K356">
        <v>3</v>
      </c>
      <c r="L356"/>
    </row>
    <row r="357" spans="1:12" x14ac:dyDescent="0.25">
      <c r="A357">
        <f t="shared" si="5"/>
        <v>356</v>
      </c>
      <c r="B357" t="s">
        <v>1127</v>
      </c>
      <c r="C357" t="s">
        <v>893</v>
      </c>
      <c r="D357">
        <v>106</v>
      </c>
      <c r="E357" t="s">
        <v>749</v>
      </c>
      <c r="F357" t="str">
        <f>IF(Client_churn3[[#This Row],[Type_Forfait]]= "Pro Monde", "B2B", "B2C")</f>
        <v>B2C</v>
      </c>
      <c r="G357">
        <v>128</v>
      </c>
      <c r="H357" s="7">
        <v>35.96</v>
      </c>
      <c r="I3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57" s="9">
        <f>Client_churn3[[#This Row],[Facture_Mensuelle]]*Client_churn3[[#This Row],[Remise Client]]</f>
        <v>0</v>
      </c>
      <c r="K357">
        <v>2</v>
      </c>
      <c r="L357"/>
    </row>
    <row r="358" spans="1:12" x14ac:dyDescent="0.25">
      <c r="A358">
        <f t="shared" si="5"/>
        <v>357</v>
      </c>
      <c r="B358" t="s">
        <v>1128</v>
      </c>
      <c r="C358" t="s">
        <v>799</v>
      </c>
      <c r="D358">
        <v>50</v>
      </c>
      <c r="E358" t="s">
        <v>749</v>
      </c>
      <c r="F358" t="str">
        <f>IF(Client_churn3[[#This Row],[Type_Forfait]]= "Pro Monde", "B2B", "B2C")</f>
        <v>B2C</v>
      </c>
      <c r="G358">
        <v>357</v>
      </c>
      <c r="H358" s="7">
        <v>17</v>
      </c>
      <c r="I3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58" s="9">
        <f>Client_churn3[[#This Row],[Facture_Mensuelle]]*Client_churn3[[#This Row],[Remise Client]]</f>
        <v>7.65</v>
      </c>
      <c r="K358">
        <v>3</v>
      </c>
      <c r="L358"/>
    </row>
    <row r="359" spans="1:12" x14ac:dyDescent="0.25">
      <c r="A359">
        <f t="shared" si="5"/>
        <v>358</v>
      </c>
      <c r="B359" t="s">
        <v>1129</v>
      </c>
      <c r="C359" t="s">
        <v>778</v>
      </c>
      <c r="D359">
        <v>37</v>
      </c>
      <c r="E359" t="s">
        <v>749</v>
      </c>
      <c r="F359" t="str">
        <f>IF(Client_churn3[[#This Row],[Type_Forfait]]= "Pro Monde", "B2B", "B2C")</f>
        <v>B2C</v>
      </c>
      <c r="G359">
        <v>3</v>
      </c>
      <c r="H359" s="7">
        <v>20.89</v>
      </c>
      <c r="I3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59" s="9">
        <f>Client_churn3[[#This Row],[Facture_Mensuelle]]*Client_churn3[[#This Row],[Remise Client]]</f>
        <v>0</v>
      </c>
      <c r="K359">
        <v>5</v>
      </c>
      <c r="L359"/>
    </row>
    <row r="360" spans="1:12" x14ac:dyDescent="0.25">
      <c r="A360">
        <f t="shared" si="5"/>
        <v>359</v>
      </c>
      <c r="B360" t="s">
        <v>1130</v>
      </c>
      <c r="C360" t="s">
        <v>742</v>
      </c>
      <c r="D360">
        <v>71</v>
      </c>
      <c r="E360" t="s">
        <v>749</v>
      </c>
      <c r="F360" t="str">
        <f>IF(Client_churn3[[#This Row],[Type_Forfait]]= "Pro Monde", "B2B", "B2C")</f>
        <v>B2C</v>
      </c>
      <c r="G360">
        <v>68</v>
      </c>
      <c r="H360" s="7">
        <v>53.11</v>
      </c>
      <c r="I3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0" s="9">
        <f>Client_churn3[[#This Row],[Facture_Mensuelle]]*Client_churn3[[#This Row],[Remise Client]]</f>
        <v>0</v>
      </c>
      <c r="K360">
        <v>2</v>
      </c>
      <c r="L360"/>
    </row>
    <row r="361" spans="1:12" x14ac:dyDescent="0.25">
      <c r="A361">
        <f t="shared" si="5"/>
        <v>360</v>
      </c>
      <c r="B361" t="s">
        <v>1131</v>
      </c>
      <c r="C361" t="s">
        <v>745</v>
      </c>
      <c r="D361">
        <v>119</v>
      </c>
      <c r="E361" t="s">
        <v>749</v>
      </c>
      <c r="F361" t="str">
        <f>IF(Client_churn3[[#This Row],[Type_Forfait]]= "Pro Monde", "B2B", "B2C")</f>
        <v>B2C</v>
      </c>
      <c r="G361">
        <v>228</v>
      </c>
      <c r="H361" s="7">
        <v>94.72</v>
      </c>
      <c r="I3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1" s="9">
        <f>Client_churn3[[#This Row],[Facture_Mensuelle]]*Client_churn3[[#This Row],[Remise Client]]</f>
        <v>0</v>
      </c>
      <c r="K361">
        <v>3</v>
      </c>
      <c r="L361"/>
    </row>
    <row r="362" spans="1:12" x14ac:dyDescent="0.25">
      <c r="A362">
        <f t="shared" si="5"/>
        <v>361</v>
      </c>
      <c r="B362" t="s">
        <v>1132</v>
      </c>
      <c r="C362" t="s">
        <v>754</v>
      </c>
      <c r="D362">
        <v>20</v>
      </c>
      <c r="E362" t="s">
        <v>743</v>
      </c>
      <c r="F362" t="str">
        <f>IF(Client_churn3[[#This Row],[Type_Forfait]]= "Pro Monde", "B2B", "B2C")</f>
        <v>B2C</v>
      </c>
      <c r="G362">
        <v>297</v>
      </c>
      <c r="H362" s="7">
        <v>14.77</v>
      </c>
      <c r="I3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62" s="9">
        <f>Client_churn3[[#This Row],[Facture_Mensuelle]]*Client_churn3[[#This Row],[Remise Client]]</f>
        <v>6.6464999999999996</v>
      </c>
      <c r="K362">
        <v>0</v>
      </c>
      <c r="L362"/>
    </row>
    <row r="363" spans="1:12" x14ac:dyDescent="0.25">
      <c r="A363">
        <f t="shared" si="5"/>
        <v>362</v>
      </c>
      <c r="B363" t="s">
        <v>1133</v>
      </c>
      <c r="C363" t="s">
        <v>778</v>
      </c>
      <c r="D363">
        <v>109</v>
      </c>
      <c r="E363" t="s">
        <v>749</v>
      </c>
      <c r="F363" t="str">
        <f>IF(Client_churn3[[#This Row],[Type_Forfait]]= "Pro Monde", "B2B", "B2C")</f>
        <v>B2C</v>
      </c>
      <c r="G363">
        <v>104</v>
      </c>
      <c r="H363" s="7">
        <v>12.37</v>
      </c>
      <c r="I3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3" s="9">
        <f>Client_churn3[[#This Row],[Facture_Mensuelle]]*Client_churn3[[#This Row],[Remise Client]]</f>
        <v>0</v>
      </c>
      <c r="K363">
        <v>5</v>
      </c>
      <c r="L363"/>
    </row>
    <row r="364" spans="1:12" x14ac:dyDescent="0.25">
      <c r="A364">
        <f t="shared" si="5"/>
        <v>363</v>
      </c>
      <c r="B364" t="s">
        <v>1134</v>
      </c>
      <c r="C364" t="s">
        <v>802</v>
      </c>
      <c r="D364">
        <v>78</v>
      </c>
      <c r="E364" t="s">
        <v>755</v>
      </c>
      <c r="F364" t="str">
        <f>IF(Client_churn3[[#This Row],[Type_Forfait]]= "Pro Monde", "B2B", "B2C")</f>
        <v>B2C</v>
      </c>
      <c r="G364">
        <v>387</v>
      </c>
      <c r="H364" s="7">
        <v>11.63</v>
      </c>
      <c r="I3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64" s="9">
        <f>Client_churn3[[#This Row],[Facture_Mensuelle]]*Client_churn3[[#This Row],[Remise Client]]</f>
        <v>5.2335000000000003</v>
      </c>
      <c r="K364">
        <v>2</v>
      </c>
      <c r="L364"/>
    </row>
    <row r="365" spans="1:12" x14ac:dyDescent="0.25">
      <c r="A365">
        <f t="shared" si="5"/>
        <v>364</v>
      </c>
      <c r="B365" t="s">
        <v>1135</v>
      </c>
      <c r="C365" t="s">
        <v>799</v>
      </c>
      <c r="D365">
        <v>11</v>
      </c>
      <c r="E365" t="s">
        <v>746</v>
      </c>
      <c r="F365" t="str">
        <f>IF(Client_churn3[[#This Row],[Type_Forfait]]= "Pro Monde", "B2B", "B2C")</f>
        <v>B2B</v>
      </c>
      <c r="G365">
        <v>214</v>
      </c>
      <c r="H365" s="7">
        <v>11.46</v>
      </c>
      <c r="I3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65" s="9">
        <f>Client_churn3[[#This Row],[Facture_Mensuelle]]*Client_churn3[[#This Row],[Remise Client]]</f>
        <v>1.1460000000000001</v>
      </c>
      <c r="K365">
        <v>5</v>
      </c>
      <c r="L365"/>
    </row>
    <row r="366" spans="1:12" x14ac:dyDescent="0.25">
      <c r="A366">
        <f t="shared" si="5"/>
        <v>365</v>
      </c>
      <c r="B366" t="s">
        <v>1136</v>
      </c>
      <c r="C366" t="s">
        <v>893</v>
      </c>
      <c r="D366">
        <v>80</v>
      </c>
      <c r="E366" t="s">
        <v>749</v>
      </c>
      <c r="F366" t="str">
        <f>IF(Client_churn3[[#This Row],[Type_Forfait]]= "Pro Monde", "B2B", "B2C")</f>
        <v>B2C</v>
      </c>
      <c r="G366">
        <v>155</v>
      </c>
      <c r="H366" s="7">
        <v>28.96</v>
      </c>
      <c r="I3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6" s="9">
        <f>Client_churn3[[#This Row],[Facture_Mensuelle]]*Client_churn3[[#This Row],[Remise Client]]</f>
        <v>0</v>
      </c>
      <c r="K366">
        <v>2</v>
      </c>
      <c r="L366"/>
    </row>
    <row r="367" spans="1:12" x14ac:dyDescent="0.25">
      <c r="A367">
        <f t="shared" si="5"/>
        <v>366</v>
      </c>
      <c r="B367" t="s">
        <v>1137</v>
      </c>
      <c r="C367" t="s">
        <v>809</v>
      </c>
      <c r="D367">
        <v>110</v>
      </c>
      <c r="E367" t="s">
        <v>749</v>
      </c>
      <c r="F367" t="str">
        <f>IF(Client_churn3[[#This Row],[Type_Forfait]]= "Pro Monde", "B2B", "B2C")</f>
        <v>B2C</v>
      </c>
      <c r="G367">
        <v>47</v>
      </c>
      <c r="H367" s="7">
        <v>29.68</v>
      </c>
      <c r="I3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7" s="9">
        <f>Client_churn3[[#This Row],[Facture_Mensuelle]]*Client_churn3[[#This Row],[Remise Client]]</f>
        <v>0</v>
      </c>
      <c r="K367">
        <v>0</v>
      </c>
      <c r="L367"/>
    </row>
    <row r="368" spans="1:12" x14ac:dyDescent="0.25">
      <c r="A368">
        <f t="shared" si="5"/>
        <v>367</v>
      </c>
      <c r="B368" t="s">
        <v>1138</v>
      </c>
      <c r="C368" t="s">
        <v>794</v>
      </c>
      <c r="D368">
        <v>5</v>
      </c>
      <c r="E368" t="s">
        <v>743</v>
      </c>
      <c r="F368" t="str">
        <f>IF(Client_churn3[[#This Row],[Type_Forfait]]= "Pro Monde", "B2B", "B2C")</f>
        <v>B2C</v>
      </c>
      <c r="G368">
        <v>239</v>
      </c>
      <c r="H368" s="7">
        <v>26.95</v>
      </c>
      <c r="I3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8" s="9">
        <f>Client_churn3[[#This Row],[Facture_Mensuelle]]*Client_churn3[[#This Row],[Remise Client]]</f>
        <v>0</v>
      </c>
      <c r="K368">
        <v>2</v>
      </c>
      <c r="L368"/>
    </row>
    <row r="369" spans="1:12" x14ac:dyDescent="0.25">
      <c r="A369">
        <f t="shared" si="5"/>
        <v>368</v>
      </c>
      <c r="B369" t="s">
        <v>1139</v>
      </c>
      <c r="C369" t="s">
        <v>764</v>
      </c>
      <c r="D369">
        <v>90</v>
      </c>
      <c r="E369" t="s">
        <v>743</v>
      </c>
      <c r="F369" t="str">
        <f>IF(Client_churn3[[#This Row],[Type_Forfait]]= "Pro Monde", "B2B", "B2C")</f>
        <v>B2C</v>
      </c>
      <c r="G369">
        <v>216</v>
      </c>
      <c r="H369" s="7">
        <v>45.58</v>
      </c>
      <c r="I3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69" s="9">
        <f>Client_churn3[[#This Row],[Facture_Mensuelle]]*Client_churn3[[#This Row],[Remise Client]]</f>
        <v>0</v>
      </c>
      <c r="K369">
        <v>0</v>
      </c>
      <c r="L369"/>
    </row>
    <row r="370" spans="1:12" x14ac:dyDescent="0.25">
      <c r="A370">
        <f t="shared" si="5"/>
        <v>369</v>
      </c>
      <c r="B370" t="s">
        <v>1140</v>
      </c>
      <c r="C370" t="s">
        <v>754</v>
      </c>
      <c r="D370">
        <v>105</v>
      </c>
      <c r="E370" t="s">
        <v>749</v>
      </c>
      <c r="F370" t="str">
        <f>IF(Client_churn3[[#This Row],[Type_Forfait]]= "Pro Monde", "B2B", "B2C")</f>
        <v>B2C</v>
      </c>
      <c r="G370">
        <v>3</v>
      </c>
      <c r="H370" s="7">
        <v>71.010000000000005</v>
      </c>
      <c r="I3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70" s="9">
        <f>Client_churn3[[#This Row],[Facture_Mensuelle]]*Client_churn3[[#This Row],[Remise Client]]</f>
        <v>0</v>
      </c>
      <c r="K370">
        <v>1</v>
      </c>
      <c r="L370"/>
    </row>
    <row r="371" spans="1:12" x14ac:dyDescent="0.25">
      <c r="A371">
        <f t="shared" si="5"/>
        <v>370</v>
      </c>
      <c r="B371" t="s">
        <v>1141</v>
      </c>
      <c r="C371" t="s">
        <v>799</v>
      </c>
      <c r="D371">
        <v>39</v>
      </c>
      <c r="E371" t="s">
        <v>749</v>
      </c>
      <c r="F371" t="str">
        <f>IF(Client_churn3[[#This Row],[Type_Forfait]]= "Pro Monde", "B2B", "B2C")</f>
        <v>B2C</v>
      </c>
      <c r="G371">
        <v>327</v>
      </c>
      <c r="H371" s="7">
        <v>87.24</v>
      </c>
      <c r="I3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1" s="9">
        <f>Client_churn3[[#This Row],[Facture_Mensuelle]]*Client_churn3[[#This Row],[Remise Client]]</f>
        <v>39.257999999999996</v>
      </c>
      <c r="K371">
        <v>4</v>
      </c>
      <c r="L371"/>
    </row>
    <row r="372" spans="1:12" x14ac:dyDescent="0.25">
      <c r="A372">
        <f t="shared" si="5"/>
        <v>371</v>
      </c>
      <c r="B372" t="s">
        <v>1142</v>
      </c>
      <c r="C372" t="s">
        <v>780</v>
      </c>
      <c r="D372">
        <v>21</v>
      </c>
      <c r="E372" t="s">
        <v>743</v>
      </c>
      <c r="F372" t="str">
        <f>IF(Client_churn3[[#This Row],[Type_Forfait]]= "Pro Monde", "B2B", "B2C")</f>
        <v>B2C</v>
      </c>
      <c r="G372">
        <v>267</v>
      </c>
      <c r="H372" s="7">
        <v>74.989999999999995</v>
      </c>
      <c r="I3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2" s="9">
        <f>Client_churn3[[#This Row],[Facture_Mensuelle]]*Client_churn3[[#This Row],[Remise Client]]</f>
        <v>33.7455</v>
      </c>
      <c r="K372">
        <v>1</v>
      </c>
      <c r="L372"/>
    </row>
    <row r="373" spans="1:12" x14ac:dyDescent="0.25">
      <c r="A373">
        <f t="shared" si="5"/>
        <v>372</v>
      </c>
      <c r="B373" t="s">
        <v>1143</v>
      </c>
      <c r="C373" t="s">
        <v>748</v>
      </c>
      <c r="D373">
        <v>9</v>
      </c>
      <c r="E373" t="s">
        <v>749</v>
      </c>
      <c r="F373" t="str">
        <f>IF(Client_churn3[[#This Row],[Type_Forfait]]= "Pro Monde", "B2B", "B2C")</f>
        <v>B2C</v>
      </c>
      <c r="G373">
        <v>102</v>
      </c>
      <c r="H373" s="7">
        <v>41.52</v>
      </c>
      <c r="I3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73" s="9">
        <f>Client_churn3[[#This Row],[Facture_Mensuelle]]*Client_churn3[[#This Row],[Remise Client]]</f>
        <v>0</v>
      </c>
      <c r="K373">
        <v>0</v>
      </c>
      <c r="L373"/>
    </row>
    <row r="374" spans="1:12" x14ac:dyDescent="0.25">
      <c r="A374">
        <f t="shared" si="5"/>
        <v>373</v>
      </c>
      <c r="B374" t="s">
        <v>1144</v>
      </c>
      <c r="C374" t="s">
        <v>780</v>
      </c>
      <c r="D374">
        <v>53</v>
      </c>
      <c r="E374" t="s">
        <v>746</v>
      </c>
      <c r="F374" t="str">
        <f>IF(Client_churn3[[#This Row],[Type_Forfait]]= "Pro Monde", "B2B", "B2C")</f>
        <v>B2B</v>
      </c>
      <c r="G374">
        <v>385</v>
      </c>
      <c r="H374" s="7">
        <v>68.78</v>
      </c>
      <c r="I3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74" s="9">
        <f>Client_churn3[[#This Row],[Facture_Mensuelle]]*Client_churn3[[#This Row],[Remise Client]]</f>
        <v>6.8780000000000001</v>
      </c>
      <c r="K374">
        <v>3</v>
      </c>
      <c r="L374"/>
    </row>
    <row r="375" spans="1:12" x14ac:dyDescent="0.25">
      <c r="A375">
        <f t="shared" si="5"/>
        <v>374</v>
      </c>
      <c r="B375" t="s">
        <v>1145</v>
      </c>
      <c r="C375" t="s">
        <v>806</v>
      </c>
      <c r="D375">
        <v>64</v>
      </c>
      <c r="E375" t="s">
        <v>746</v>
      </c>
      <c r="F375" t="str">
        <f>IF(Client_churn3[[#This Row],[Type_Forfait]]= "Pro Monde", "B2B", "B2C")</f>
        <v>B2B</v>
      </c>
      <c r="G375">
        <v>15</v>
      </c>
      <c r="H375" s="7">
        <v>56.94</v>
      </c>
      <c r="I3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75" s="9">
        <f>Client_churn3[[#This Row],[Facture_Mensuelle]]*Client_churn3[[#This Row],[Remise Client]]</f>
        <v>5.694</v>
      </c>
      <c r="K375">
        <v>4</v>
      </c>
      <c r="L375"/>
    </row>
    <row r="376" spans="1:12" x14ac:dyDescent="0.25">
      <c r="A376">
        <f t="shared" si="5"/>
        <v>375</v>
      </c>
      <c r="B376" t="s">
        <v>1146</v>
      </c>
      <c r="C376" t="s">
        <v>799</v>
      </c>
      <c r="D376">
        <v>45</v>
      </c>
      <c r="E376" t="s">
        <v>743</v>
      </c>
      <c r="F376" t="str">
        <f>IF(Client_churn3[[#This Row],[Type_Forfait]]= "Pro Monde", "B2B", "B2C")</f>
        <v>B2C</v>
      </c>
      <c r="G376">
        <v>439</v>
      </c>
      <c r="H376" s="7">
        <v>13.62</v>
      </c>
      <c r="I3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6" s="9">
        <f>Client_churn3[[#This Row],[Facture_Mensuelle]]*Client_churn3[[#This Row],[Remise Client]]</f>
        <v>6.1289999999999996</v>
      </c>
      <c r="K376">
        <v>4</v>
      </c>
      <c r="L376"/>
    </row>
    <row r="377" spans="1:12" x14ac:dyDescent="0.25">
      <c r="A377">
        <f t="shared" si="5"/>
        <v>376</v>
      </c>
      <c r="B377" t="s">
        <v>1147</v>
      </c>
      <c r="C377" t="s">
        <v>751</v>
      </c>
      <c r="D377">
        <v>86</v>
      </c>
      <c r="E377" t="s">
        <v>743</v>
      </c>
      <c r="F377" t="str">
        <f>IF(Client_churn3[[#This Row],[Type_Forfait]]= "Pro Monde", "B2B", "B2C")</f>
        <v>B2C</v>
      </c>
      <c r="G377">
        <v>460</v>
      </c>
      <c r="H377" s="7">
        <v>22.81</v>
      </c>
      <c r="I3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7" s="9">
        <f>Client_churn3[[#This Row],[Facture_Mensuelle]]*Client_churn3[[#This Row],[Remise Client]]</f>
        <v>10.2645</v>
      </c>
      <c r="K377">
        <v>4</v>
      </c>
      <c r="L377"/>
    </row>
    <row r="378" spans="1:12" x14ac:dyDescent="0.25">
      <c r="A378">
        <f t="shared" si="5"/>
        <v>377</v>
      </c>
      <c r="B378" t="s">
        <v>1148</v>
      </c>
      <c r="C378" t="s">
        <v>794</v>
      </c>
      <c r="D378">
        <v>45</v>
      </c>
      <c r="E378" t="s">
        <v>749</v>
      </c>
      <c r="F378" t="str">
        <f>IF(Client_churn3[[#This Row],[Type_Forfait]]= "Pro Monde", "B2B", "B2C")</f>
        <v>B2C</v>
      </c>
      <c r="G378">
        <v>26</v>
      </c>
      <c r="H378" s="7">
        <v>30.35</v>
      </c>
      <c r="I3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78" s="9">
        <f>Client_churn3[[#This Row],[Facture_Mensuelle]]*Client_churn3[[#This Row],[Remise Client]]</f>
        <v>0</v>
      </c>
      <c r="K378">
        <v>1</v>
      </c>
      <c r="L378"/>
    </row>
    <row r="379" spans="1:12" x14ac:dyDescent="0.25">
      <c r="A379">
        <f t="shared" si="5"/>
        <v>378</v>
      </c>
      <c r="B379" t="s">
        <v>1149</v>
      </c>
      <c r="C379" t="s">
        <v>770</v>
      </c>
      <c r="D379">
        <v>101</v>
      </c>
      <c r="E379" t="s">
        <v>755</v>
      </c>
      <c r="F379" t="str">
        <f>IF(Client_churn3[[#This Row],[Type_Forfait]]= "Pro Monde", "B2B", "B2C")</f>
        <v>B2C</v>
      </c>
      <c r="G379">
        <v>476</v>
      </c>
      <c r="H379" s="7">
        <v>41.85</v>
      </c>
      <c r="I3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79" s="9">
        <f>Client_churn3[[#This Row],[Facture_Mensuelle]]*Client_churn3[[#This Row],[Remise Client]]</f>
        <v>18.8325</v>
      </c>
      <c r="K379">
        <v>4</v>
      </c>
      <c r="L379"/>
    </row>
    <row r="380" spans="1:12" x14ac:dyDescent="0.25">
      <c r="A380">
        <f t="shared" si="5"/>
        <v>379</v>
      </c>
      <c r="B380" t="s">
        <v>1150</v>
      </c>
      <c r="C380" t="s">
        <v>758</v>
      </c>
      <c r="D380">
        <v>21</v>
      </c>
      <c r="E380" t="s">
        <v>749</v>
      </c>
      <c r="F380" t="str">
        <f>IF(Client_churn3[[#This Row],[Type_Forfait]]= "Pro Monde", "B2B", "B2C")</f>
        <v>B2C</v>
      </c>
      <c r="G380">
        <v>107</v>
      </c>
      <c r="H380" s="7">
        <v>30.97</v>
      </c>
      <c r="I3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0" s="9">
        <f>Client_churn3[[#This Row],[Facture_Mensuelle]]*Client_churn3[[#This Row],[Remise Client]]</f>
        <v>0</v>
      </c>
      <c r="K380">
        <v>4</v>
      </c>
      <c r="L380"/>
    </row>
    <row r="381" spans="1:12" x14ac:dyDescent="0.25">
      <c r="A381">
        <f t="shared" si="5"/>
        <v>380</v>
      </c>
      <c r="B381" t="s">
        <v>1151</v>
      </c>
      <c r="C381" t="s">
        <v>893</v>
      </c>
      <c r="D381">
        <v>56</v>
      </c>
      <c r="E381" t="s">
        <v>749</v>
      </c>
      <c r="F381" t="str">
        <f>IF(Client_churn3[[#This Row],[Type_Forfait]]= "Pro Monde", "B2B", "B2C")</f>
        <v>B2C</v>
      </c>
      <c r="G381">
        <v>41</v>
      </c>
      <c r="H381" s="7">
        <v>15.1</v>
      </c>
      <c r="I3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1" s="9">
        <f>Client_churn3[[#This Row],[Facture_Mensuelle]]*Client_churn3[[#This Row],[Remise Client]]</f>
        <v>0</v>
      </c>
      <c r="K381">
        <v>5</v>
      </c>
      <c r="L381"/>
    </row>
    <row r="382" spans="1:12" x14ac:dyDescent="0.25">
      <c r="A382">
        <f t="shared" si="5"/>
        <v>381</v>
      </c>
      <c r="B382" t="s">
        <v>1152</v>
      </c>
      <c r="C382" t="s">
        <v>796</v>
      </c>
      <c r="D382">
        <v>55</v>
      </c>
      <c r="E382" t="s">
        <v>749</v>
      </c>
      <c r="F382" t="str">
        <f>IF(Client_churn3[[#This Row],[Type_Forfait]]= "Pro Monde", "B2B", "B2C")</f>
        <v>B2C</v>
      </c>
      <c r="G382">
        <v>494</v>
      </c>
      <c r="H382" s="7">
        <v>77.599999999999994</v>
      </c>
      <c r="I3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82" s="9">
        <f>Client_churn3[[#This Row],[Facture_Mensuelle]]*Client_churn3[[#This Row],[Remise Client]]</f>
        <v>34.92</v>
      </c>
      <c r="K382">
        <v>4</v>
      </c>
      <c r="L382"/>
    </row>
    <row r="383" spans="1:12" x14ac:dyDescent="0.25">
      <c r="A383">
        <f t="shared" si="5"/>
        <v>382</v>
      </c>
      <c r="B383" t="s">
        <v>1153</v>
      </c>
      <c r="C383" t="s">
        <v>766</v>
      </c>
      <c r="D383">
        <v>2</v>
      </c>
      <c r="E383" t="s">
        <v>746</v>
      </c>
      <c r="F383" t="str">
        <f>IF(Client_churn3[[#This Row],[Type_Forfait]]= "Pro Monde", "B2B", "B2C")</f>
        <v>B2B</v>
      </c>
      <c r="G383">
        <v>481</v>
      </c>
      <c r="H383" s="7">
        <v>29.37</v>
      </c>
      <c r="I3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83" s="9">
        <f>Client_churn3[[#This Row],[Facture_Mensuelle]]*Client_churn3[[#This Row],[Remise Client]]</f>
        <v>2.9370000000000003</v>
      </c>
      <c r="K383">
        <v>4</v>
      </c>
      <c r="L383"/>
    </row>
    <row r="384" spans="1:12" x14ac:dyDescent="0.25">
      <c r="A384">
        <f t="shared" si="5"/>
        <v>383</v>
      </c>
      <c r="B384" t="s">
        <v>1154</v>
      </c>
      <c r="C384" t="s">
        <v>780</v>
      </c>
      <c r="D384">
        <v>41</v>
      </c>
      <c r="E384" t="s">
        <v>755</v>
      </c>
      <c r="F384" t="str">
        <f>IF(Client_churn3[[#This Row],[Type_Forfait]]= "Pro Monde", "B2B", "B2C")</f>
        <v>B2C</v>
      </c>
      <c r="G384">
        <v>178</v>
      </c>
      <c r="H384" s="7">
        <v>11.29</v>
      </c>
      <c r="I3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4" s="9">
        <f>Client_churn3[[#This Row],[Facture_Mensuelle]]*Client_churn3[[#This Row],[Remise Client]]</f>
        <v>0</v>
      </c>
      <c r="K384">
        <v>4</v>
      </c>
      <c r="L384"/>
    </row>
    <row r="385" spans="1:12" x14ac:dyDescent="0.25">
      <c r="A385">
        <f t="shared" si="5"/>
        <v>384</v>
      </c>
      <c r="B385" t="s">
        <v>1155</v>
      </c>
      <c r="C385" t="s">
        <v>766</v>
      </c>
      <c r="D385">
        <v>82</v>
      </c>
      <c r="E385" t="s">
        <v>749</v>
      </c>
      <c r="F385" t="str">
        <f>IF(Client_churn3[[#This Row],[Type_Forfait]]= "Pro Monde", "B2B", "B2C")</f>
        <v>B2C</v>
      </c>
      <c r="G385">
        <v>175</v>
      </c>
      <c r="H385" s="7">
        <v>86.14</v>
      </c>
      <c r="I3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5" s="9">
        <f>Client_churn3[[#This Row],[Facture_Mensuelle]]*Client_churn3[[#This Row],[Remise Client]]</f>
        <v>0</v>
      </c>
      <c r="K385">
        <v>1</v>
      </c>
      <c r="L385"/>
    </row>
    <row r="386" spans="1:12" x14ac:dyDescent="0.25">
      <c r="A386">
        <f t="shared" si="5"/>
        <v>385</v>
      </c>
      <c r="B386" t="s">
        <v>1156</v>
      </c>
      <c r="C386" t="s">
        <v>842</v>
      </c>
      <c r="D386">
        <v>86</v>
      </c>
      <c r="E386" t="s">
        <v>755</v>
      </c>
      <c r="F386" t="str">
        <f>IF(Client_churn3[[#This Row],[Type_Forfait]]= "Pro Monde", "B2B", "B2C")</f>
        <v>B2C</v>
      </c>
      <c r="G386">
        <v>111</v>
      </c>
      <c r="H386" s="7">
        <v>23.65</v>
      </c>
      <c r="I3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6" s="9">
        <f>Client_churn3[[#This Row],[Facture_Mensuelle]]*Client_churn3[[#This Row],[Remise Client]]</f>
        <v>0</v>
      </c>
      <c r="K386">
        <v>0</v>
      </c>
      <c r="L386"/>
    </row>
    <row r="387" spans="1:12" x14ac:dyDescent="0.25">
      <c r="A387">
        <f t="shared" si="5"/>
        <v>386</v>
      </c>
      <c r="B387" t="s">
        <v>1157</v>
      </c>
      <c r="C387" t="s">
        <v>758</v>
      </c>
      <c r="D387">
        <v>45</v>
      </c>
      <c r="E387" t="s">
        <v>749</v>
      </c>
      <c r="F387" t="str">
        <f>IF(Client_churn3[[#This Row],[Type_Forfait]]= "Pro Monde", "B2B", "B2C")</f>
        <v>B2C</v>
      </c>
      <c r="G387">
        <v>356</v>
      </c>
      <c r="H387" s="7">
        <v>33.76</v>
      </c>
      <c r="I3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87" s="9">
        <f>Client_churn3[[#This Row],[Facture_Mensuelle]]*Client_churn3[[#This Row],[Remise Client]]</f>
        <v>15.192</v>
      </c>
      <c r="K387">
        <v>0</v>
      </c>
      <c r="L387"/>
    </row>
    <row r="388" spans="1:12" x14ac:dyDescent="0.25">
      <c r="A388">
        <f t="shared" si="5"/>
        <v>387</v>
      </c>
      <c r="B388" t="s">
        <v>1158</v>
      </c>
      <c r="C388" t="s">
        <v>745</v>
      </c>
      <c r="D388">
        <v>111</v>
      </c>
      <c r="E388" t="s">
        <v>755</v>
      </c>
      <c r="F388" t="str">
        <f>IF(Client_churn3[[#This Row],[Type_Forfait]]= "Pro Monde", "B2B", "B2C")</f>
        <v>B2C</v>
      </c>
      <c r="G388">
        <v>103</v>
      </c>
      <c r="H388" s="7">
        <v>32.06</v>
      </c>
      <c r="I3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88" s="9">
        <f>Client_churn3[[#This Row],[Facture_Mensuelle]]*Client_churn3[[#This Row],[Remise Client]]</f>
        <v>0</v>
      </c>
      <c r="K388">
        <v>0</v>
      </c>
      <c r="L388"/>
    </row>
    <row r="389" spans="1:12" x14ac:dyDescent="0.25">
      <c r="A389">
        <f t="shared" ref="A389:A452" si="6">A388+1</f>
        <v>388</v>
      </c>
      <c r="B389" t="s">
        <v>1159</v>
      </c>
      <c r="C389" t="s">
        <v>794</v>
      </c>
      <c r="D389">
        <v>34</v>
      </c>
      <c r="E389" t="s">
        <v>746</v>
      </c>
      <c r="F389" t="str">
        <f>IF(Client_churn3[[#This Row],[Type_Forfait]]= "Pro Monde", "B2B", "B2C")</f>
        <v>B2B</v>
      </c>
      <c r="G389">
        <v>58</v>
      </c>
      <c r="H389" s="7">
        <v>64.349999999999994</v>
      </c>
      <c r="I3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89" s="9">
        <f>Client_churn3[[#This Row],[Facture_Mensuelle]]*Client_churn3[[#This Row],[Remise Client]]</f>
        <v>6.4349999999999996</v>
      </c>
      <c r="K389">
        <v>0</v>
      </c>
      <c r="L389"/>
    </row>
    <row r="390" spans="1:12" x14ac:dyDescent="0.25">
      <c r="A390">
        <f t="shared" si="6"/>
        <v>389</v>
      </c>
      <c r="B390" t="s">
        <v>1160</v>
      </c>
      <c r="C390" t="s">
        <v>770</v>
      </c>
      <c r="D390">
        <v>91</v>
      </c>
      <c r="E390" t="s">
        <v>743</v>
      </c>
      <c r="F390" t="str">
        <f>IF(Client_churn3[[#This Row],[Type_Forfait]]= "Pro Monde", "B2B", "B2C")</f>
        <v>B2C</v>
      </c>
      <c r="G390">
        <v>62</v>
      </c>
      <c r="H390" s="7">
        <v>34.450000000000003</v>
      </c>
      <c r="I3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90" s="9">
        <f>Client_churn3[[#This Row],[Facture_Mensuelle]]*Client_churn3[[#This Row],[Remise Client]]</f>
        <v>0</v>
      </c>
      <c r="K390">
        <v>5</v>
      </c>
      <c r="L390"/>
    </row>
    <row r="391" spans="1:12" x14ac:dyDescent="0.25">
      <c r="A391">
        <f t="shared" si="6"/>
        <v>390</v>
      </c>
      <c r="B391" t="s">
        <v>1161</v>
      </c>
      <c r="C391" t="s">
        <v>758</v>
      </c>
      <c r="D391">
        <v>86</v>
      </c>
      <c r="E391" t="s">
        <v>746</v>
      </c>
      <c r="F391" t="str">
        <f>IF(Client_churn3[[#This Row],[Type_Forfait]]= "Pro Monde", "B2B", "B2C")</f>
        <v>B2B</v>
      </c>
      <c r="G391">
        <v>252</v>
      </c>
      <c r="H391" s="7">
        <v>96.5</v>
      </c>
      <c r="I3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91" s="9">
        <f>Client_churn3[[#This Row],[Facture_Mensuelle]]*Client_churn3[[#This Row],[Remise Client]]</f>
        <v>9.65</v>
      </c>
      <c r="K391">
        <v>5</v>
      </c>
      <c r="L391"/>
    </row>
    <row r="392" spans="1:12" x14ac:dyDescent="0.25">
      <c r="A392">
        <f t="shared" si="6"/>
        <v>391</v>
      </c>
      <c r="B392" t="s">
        <v>1162</v>
      </c>
      <c r="C392" t="s">
        <v>794</v>
      </c>
      <c r="D392">
        <v>95</v>
      </c>
      <c r="E392" t="s">
        <v>755</v>
      </c>
      <c r="F392" t="str">
        <f>IF(Client_churn3[[#This Row],[Type_Forfait]]= "Pro Monde", "B2B", "B2C")</f>
        <v>B2C</v>
      </c>
      <c r="G392">
        <v>51</v>
      </c>
      <c r="H392" s="7">
        <v>94.77</v>
      </c>
      <c r="I3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92" s="9">
        <f>Client_churn3[[#This Row],[Facture_Mensuelle]]*Client_churn3[[#This Row],[Remise Client]]</f>
        <v>0</v>
      </c>
      <c r="K392">
        <v>5</v>
      </c>
      <c r="L392"/>
    </row>
    <row r="393" spans="1:12" x14ac:dyDescent="0.25">
      <c r="A393">
        <f t="shared" si="6"/>
        <v>392</v>
      </c>
      <c r="B393" t="s">
        <v>1163</v>
      </c>
      <c r="C393" t="s">
        <v>802</v>
      </c>
      <c r="D393">
        <v>37</v>
      </c>
      <c r="E393" t="s">
        <v>746</v>
      </c>
      <c r="F393" t="str">
        <f>IF(Client_churn3[[#This Row],[Type_Forfait]]= "Pro Monde", "B2B", "B2C")</f>
        <v>B2B</v>
      </c>
      <c r="G393">
        <v>37</v>
      </c>
      <c r="H393" s="7">
        <v>92.72</v>
      </c>
      <c r="I3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93" s="9">
        <f>Client_churn3[[#This Row],[Facture_Mensuelle]]*Client_churn3[[#This Row],[Remise Client]]</f>
        <v>9.2720000000000002</v>
      </c>
      <c r="K393">
        <v>0</v>
      </c>
      <c r="L393"/>
    </row>
    <row r="394" spans="1:12" x14ac:dyDescent="0.25">
      <c r="A394">
        <f t="shared" si="6"/>
        <v>393</v>
      </c>
      <c r="B394" t="s">
        <v>1164</v>
      </c>
      <c r="C394" t="s">
        <v>806</v>
      </c>
      <c r="D394">
        <v>56</v>
      </c>
      <c r="E394" t="s">
        <v>743</v>
      </c>
      <c r="F394" t="str">
        <f>IF(Client_churn3[[#This Row],[Type_Forfait]]= "Pro Monde", "B2B", "B2C")</f>
        <v>B2C</v>
      </c>
      <c r="G394">
        <v>379</v>
      </c>
      <c r="H394" s="7">
        <v>49.01</v>
      </c>
      <c r="I3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394" s="9">
        <f>Client_churn3[[#This Row],[Facture_Mensuelle]]*Client_churn3[[#This Row],[Remise Client]]</f>
        <v>22.054500000000001</v>
      </c>
      <c r="K394">
        <v>0</v>
      </c>
      <c r="L394"/>
    </row>
    <row r="395" spans="1:12" x14ac:dyDescent="0.25">
      <c r="A395">
        <f t="shared" si="6"/>
        <v>394</v>
      </c>
      <c r="B395" t="s">
        <v>1165</v>
      </c>
      <c r="C395" t="s">
        <v>742</v>
      </c>
      <c r="D395">
        <v>4</v>
      </c>
      <c r="E395" t="s">
        <v>746</v>
      </c>
      <c r="F395" t="str">
        <f>IF(Client_churn3[[#This Row],[Type_Forfait]]= "Pro Monde", "B2B", "B2C")</f>
        <v>B2B</v>
      </c>
      <c r="G395">
        <v>449</v>
      </c>
      <c r="H395" s="7">
        <v>43.95</v>
      </c>
      <c r="I3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95" s="9">
        <f>Client_churn3[[#This Row],[Facture_Mensuelle]]*Client_churn3[[#This Row],[Remise Client]]</f>
        <v>4.3950000000000005</v>
      </c>
      <c r="K395">
        <v>2</v>
      </c>
      <c r="L395"/>
    </row>
    <row r="396" spans="1:12" x14ac:dyDescent="0.25">
      <c r="A396">
        <f t="shared" si="6"/>
        <v>395</v>
      </c>
      <c r="B396" t="s">
        <v>1166</v>
      </c>
      <c r="C396" t="s">
        <v>799</v>
      </c>
      <c r="D396">
        <v>13</v>
      </c>
      <c r="E396" t="s">
        <v>746</v>
      </c>
      <c r="F396" t="str">
        <f>IF(Client_churn3[[#This Row],[Type_Forfait]]= "Pro Monde", "B2B", "B2C")</f>
        <v>B2B</v>
      </c>
      <c r="G396">
        <v>173</v>
      </c>
      <c r="H396" s="7">
        <v>85.54</v>
      </c>
      <c r="I3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96" s="9">
        <f>Client_churn3[[#This Row],[Facture_Mensuelle]]*Client_churn3[[#This Row],[Remise Client]]</f>
        <v>8.5540000000000003</v>
      </c>
      <c r="K396">
        <v>3</v>
      </c>
      <c r="L396"/>
    </row>
    <row r="397" spans="1:12" x14ac:dyDescent="0.25">
      <c r="A397">
        <f t="shared" si="6"/>
        <v>396</v>
      </c>
      <c r="B397" t="s">
        <v>1167</v>
      </c>
      <c r="C397" t="s">
        <v>794</v>
      </c>
      <c r="D397">
        <v>70</v>
      </c>
      <c r="E397" t="s">
        <v>746</v>
      </c>
      <c r="F397" t="str">
        <f>IF(Client_churn3[[#This Row],[Type_Forfait]]= "Pro Monde", "B2B", "B2C")</f>
        <v>B2B</v>
      </c>
      <c r="G397">
        <v>290</v>
      </c>
      <c r="H397" s="7">
        <v>96.31</v>
      </c>
      <c r="I3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397" s="9">
        <f>Client_churn3[[#This Row],[Facture_Mensuelle]]*Client_churn3[[#This Row],[Remise Client]]</f>
        <v>9.6310000000000002</v>
      </c>
      <c r="K397">
        <v>1</v>
      </c>
      <c r="L397"/>
    </row>
    <row r="398" spans="1:12" x14ac:dyDescent="0.25">
      <c r="A398">
        <f t="shared" si="6"/>
        <v>397</v>
      </c>
      <c r="B398" t="s">
        <v>1168</v>
      </c>
      <c r="C398" t="s">
        <v>842</v>
      </c>
      <c r="D398">
        <v>49</v>
      </c>
      <c r="E398" t="s">
        <v>749</v>
      </c>
      <c r="F398" t="str">
        <f>IF(Client_churn3[[#This Row],[Type_Forfait]]= "Pro Monde", "B2B", "B2C")</f>
        <v>B2C</v>
      </c>
      <c r="G398">
        <v>25</v>
      </c>
      <c r="H398" s="7">
        <v>22.77</v>
      </c>
      <c r="I3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98" s="9">
        <f>Client_churn3[[#This Row],[Facture_Mensuelle]]*Client_churn3[[#This Row],[Remise Client]]</f>
        <v>0</v>
      </c>
      <c r="K398">
        <v>3</v>
      </c>
      <c r="L398"/>
    </row>
    <row r="399" spans="1:12" x14ac:dyDescent="0.25">
      <c r="A399">
        <f t="shared" si="6"/>
        <v>398</v>
      </c>
      <c r="B399" t="s">
        <v>1169</v>
      </c>
      <c r="C399" t="s">
        <v>754</v>
      </c>
      <c r="D399">
        <v>11</v>
      </c>
      <c r="E399" t="s">
        <v>743</v>
      </c>
      <c r="F399" t="str">
        <f>IF(Client_churn3[[#This Row],[Type_Forfait]]= "Pro Monde", "B2B", "B2C")</f>
        <v>B2C</v>
      </c>
      <c r="G399">
        <v>215</v>
      </c>
      <c r="H399" s="7">
        <v>51.99</v>
      </c>
      <c r="I3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399" s="9">
        <f>Client_churn3[[#This Row],[Facture_Mensuelle]]*Client_churn3[[#This Row],[Remise Client]]</f>
        <v>0</v>
      </c>
      <c r="K399">
        <v>1</v>
      </c>
      <c r="L399"/>
    </row>
    <row r="400" spans="1:12" x14ac:dyDescent="0.25">
      <c r="A400">
        <f t="shared" si="6"/>
        <v>399</v>
      </c>
      <c r="B400" t="s">
        <v>1170</v>
      </c>
      <c r="C400" t="s">
        <v>809</v>
      </c>
      <c r="D400">
        <v>40</v>
      </c>
      <c r="E400" t="s">
        <v>755</v>
      </c>
      <c r="F400" t="str">
        <f>IF(Client_churn3[[#This Row],[Type_Forfait]]= "Pro Monde", "B2B", "B2C")</f>
        <v>B2C</v>
      </c>
      <c r="G400">
        <v>235</v>
      </c>
      <c r="H400" s="7">
        <v>15.01</v>
      </c>
      <c r="I4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00" s="9">
        <f>Client_churn3[[#This Row],[Facture_Mensuelle]]*Client_churn3[[#This Row],[Remise Client]]</f>
        <v>0</v>
      </c>
      <c r="K400">
        <v>3</v>
      </c>
      <c r="L400"/>
    </row>
    <row r="401" spans="1:12" x14ac:dyDescent="0.25">
      <c r="A401">
        <f t="shared" si="6"/>
        <v>400</v>
      </c>
      <c r="B401" t="s">
        <v>1171</v>
      </c>
      <c r="C401" t="s">
        <v>806</v>
      </c>
      <c r="D401">
        <v>33</v>
      </c>
      <c r="E401" t="s">
        <v>749</v>
      </c>
      <c r="F401" t="str">
        <f>IF(Client_churn3[[#This Row],[Type_Forfait]]= "Pro Monde", "B2B", "B2C")</f>
        <v>B2C</v>
      </c>
      <c r="G401">
        <v>337</v>
      </c>
      <c r="H401" s="7">
        <v>62.61</v>
      </c>
      <c r="I4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01" s="9">
        <f>Client_churn3[[#This Row],[Facture_Mensuelle]]*Client_churn3[[#This Row],[Remise Client]]</f>
        <v>28.174500000000002</v>
      </c>
      <c r="K401">
        <v>2</v>
      </c>
      <c r="L401"/>
    </row>
    <row r="402" spans="1:12" x14ac:dyDescent="0.25">
      <c r="A402">
        <f t="shared" si="6"/>
        <v>401</v>
      </c>
      <c r="B402" t="s">
        <v>1172</v>
      </c>
      <c r="C402" t="s">
        <v>893</v>
      </c>
      <c r="D402">
        <v>91</v>
      </c>
      <c r="E402" t="s">
        <v>749</v>
      </c>
      <c r="F402" t="str">
        <f>IF(Client_churn3[[#This Row],[Type_Forfait]]= "Pro Monde", "B2B", "B2C")</f>
        <v>B2C</v>
      </c>
      <c r="G402">
        <v>90</v>
      </c>
      <c r="H402" s="7">
        <v>39.14</v>
      </c>
      <c r="I4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02" s="9">
        <f>Client_churn3[[#This Row],[Facture_Mensuelle]]*Client_churn3[[#This Row],[Remise Client]]</f>
        <v>0</v>
      </c>
      <c r="K402">
        <v>3</v>
      </c>
      <c r="L402"/>
    </row>
    <row r="403" spans="1:12" x14ac:dyDescent="0.25">
      <c r="A403">
        <f t="shared" si="6"/>
        <v>402</v>
      </c>
      <c r="B403" t="s">
        <v>1173</v>
      </c>
      <c r="C403" t="s">
        <v>768</v>
      </c>
      <c r="D403">
        <v>18</v>
      </c>
      <c r="E403" t="s">
        <v>746</v>
      </c>
      <c r="F403" t="str">
        <f>IF(Client_churn3[[#This Row],[Type_Forfait]]= "Pro Monde", "B2B", "B2C")</f>
        <v>B2B</v>
      </c>
      <c r="G403">
        <v>71</v>
      </c>
      <c r="H403" s="7">
        <v>46.98</v>
      </c>
      <c r="I4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03" s="9">
        <f>Client_churn3[[#This Row],[Facture_Mensuelle]]*Client_churn3[[#This Row],[Remise Client]]</f>
        <v>4.6979999999999995</v>
      </c>
      <c r="K403">
        <v>2</v>
      </c>
      <c r="L403"/>
    </row>
    <row r="404" spans="1:12" x14ac:dyDescent="0.25">
      <c r="A404">
        <f t="shared" si="6"/>
        <v>403</v>
      </c>
      <c r="B404" t="s">
        <v>1174</v>
      </c>
      <c r="C404" t="s">
        <v>758</v>
      </c>
      <c r="D404">
        <v>112</v>
      </c>
      <c r="E404" t="s">
        <v>755</v>
      </c>
      <c r="F404" t="str">
        <f>IF(Client_churn3[[#This Row],[Type_Forfait]]= "Pro Monde", "B2B", "B2C")</f>
        <v>B2C</v>
      </c>
      <c r="G404">
        <v>460</v>
      </c>
      <c r="H404" s="7">
        <v>55.47</v>
      </c>
      <c r="I4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04" s="9">
        <f>Client_churn3[[#This Row],[Facture_Mensuelle]]*Client_churn3[[#This Row],[Remise Client]]</f>
        <v>24.961500000000001</v>
      </c>
      <c r="K404">
        <v>4</v>
      </c>
      <c r="L404"/>
    </row>
    <row r="405" spans="1:12" x14ac:dyDescent="0.25">
      <c r="A405">
        <f t="shared" si="6"/>
        <v>404</v>
      </c>
      <c r="B405" t="s">
        <v>1175</v>
      </c>
      <c r="C405" t="s">
        <v>785</v>
      </c>
      <c r="D405">
        <v>27</v>
      </c>
      <c r="E405" t="s">
        <v>743</v>
      </c>
      <c r="F405" t="str">
        <f>IF(Client_churn3[[#This Row],[Type_Forfait]]= "Pro Monde", "B2B", "B2C")</f>
        <v>B2C</v>
      </c>
      <c r="G405">
        <v>70</v>
      </c>
      <c r="H405" s="7">
        <v>20.32</v>
      </c>
      <c r="I4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05" s="9">
        <f>Client_churn3[[#This Row],[Facture_Mensuelle]]*Client_churn3[[#This Row],[Remise Client]]</f>
        <v>0</v>
      </c>
      <c r="K405">
        <v>3</v>
      </c>
      <c r="L405"/>
    </row>
    <row r="406" spans="1:12" x14ac:dyDescent="0.25">
      <c r="A406">
        <f t="shared" si="6"/>
        <v>405</v>
      </c>
      <c r="B406" t="s">
        <v>1176</v>
      </c>
      <c r="C406" t="s">
        <v>799</v>
      </c>
      <c r="D406">
        <v>-36</v>
      </c>
      <c r="E406" t="s">
        <v>743</v>
      </c>
      <c r="F406" t="str">
        <f>IF(Client_churn3[[#This Row],[Type_Forfait]]= "Pro Monde", "B2B", "B2C")</f>
        <v>B2C</v>
      </c>
      <c r="G406">
        <v>404</v>
      </c>
      <c r="H406" s="7">
        <v>40.21</v>
      </c>
      <c r="I4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06" s="9">
        <f>Client_churn3[[#This Row],[Facture_Mensuelle]]*Client_churn3[[#This Row],[Remise Client]]</f>
        <v>18.0945</v>
      </c>
      <c r="K406">
        <v>1</v>
      </c>
      <c r="L406"/>
    </row>
    <row r="407" spans="1:12" x14ac:dyDescent="0.25">
      <c r="A407">
        <f t="shared" si="6"/>
        <v>406</v>
      </c>
      <c r="B407" t="s">
        <v>1177</v>
      </c>
      <c r="C407" t="s">
        <v>809</v>
      </c>
      <c r="D407">
        <v>90</v>
      </c>
      <c r="E407" t="s">
        <v>749</v>
      </c>
      <c r="F407" t="str">
        <f>IF(Client_churn3[[#This Row],[Type_Forfait]]= "Pro Monde", "B2B", "B2C")</f>
        <v>B2C</v>
      </c>
      <c r="G407">
        <v>412</v>
      </c>
      <c r="H407" s="7">
        <v>20.62</v>
      </c>
      <c r="I4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07" s="9">
        <f>Client_churn3[[#This Row],[Facture_Mensuelle]]*Client_churn3[[#This Row],[Remise Client]]</f>
        <v>9.2789999999999999</v>
      </c>
      <c r="K407">
        <v>2</v>
      </c>
      <c r="L407"/>
    </row>
    <row r="408" spans="1:12" x14ac:dyDescent="0.25">
      <c r="A408">
        <f t="shared" si="6"/>
        <v>407</v>
      </c>
      <c r="B408" t="s">
        <v>1178</v>
      </c>
      <c r="C408" t="s">
        <v>758</v>
      </c>
      <c r="D408">
        <v>33</v>
      </c>
      <c r="E408" t="s">
        <v>746</v>
      </c>
      <c r="F408" t="str">
        <f>IF(Client_churn3[[#This Row],[Type_Forfait]]= "Pro Monde", "B2B", "B2C")</f>
        <v>B2B</v>
      </c>
      <c r="G408">
        <v>391</v>
      </c>
      <c r="H408" s="7">
        <v>88.88</v>
      </c>
      <c r="I4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08" s="9">
        <f>Client_churn3[[#This Row],[Facture_Mensuelle]]*Client_churn3[[#This Row],[Remise Client]]</f>
        <v>8.8879999999999999</v>
      </c>
      <c r="K408">
        <v>4</v>
      </c>
      <c r="L408"/>
    </row>
    <row r="409" spans="1:12" x14ac:dyDescent="0.25">
      <c r="A409">
        <f t="shared" si="6"/>
        <v>408</v>
      </c>
      <c r="B409" t="s">
        <v>1179</v>
      </c>
      <c r="C409" t="s">
        <v>778</v>
      </c>
      <c r="D409">
        <v>1</v>
      </c>
      <c r="E409" t="s">
        <v>755</v>
      </c>
      <c r="F409" t="str">
        <f>IF(Client_churn3[[#This Row],[Type_Forfait]]= "Pro Monde", "B2B", "B2C")</f>
        <v>B2C</v>
      </c>
      <c r="G409">
        <v>368</v>
      </c>
      <c r="H409" s="7">
        <v>35.17</v>
      </c>
      <c r="I4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09" s="9">
        <f>Client_churn3[[#This Row],[Facture_Mensuelle]]*Client_churn3[[#This Row],[Remise Client]]</f>
        <v>15.826500000000001</v>
      </c>
      <c r="K409">
        <v>1</v>
      </c>
      <c r="L409"/>
    </row>
    <row r="410" spans="1:12" x14ac:dyDescent="0.25">
      <c r="A410">
        <f t="shared" si="6"/>
        <v>409</v>
      </c>
      <c r="B410" t="s">
        <v>1180</v>
      </c>
      <c r="C410" t="s">
        <v>748</v>
      </c>
      <c r="D410">
        <v>117</v>
      </c>
      <c r="E410" t="s">
        <v>749</v>
      </c>
      <c r="F410" t="str">
        <f>IF(Client_churn3[[#This Row],[Type_Forfait]]= "Pro Monde", "B2B", "B2C")</f>
        <v>B2C</v>
      </c>
      <c r="G410">
        <v>338</v>
      </c>
      <c r="H410" s="7">
        <v>29.18</v>
      </c>
      <c r="I4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0" s="9">
        <f>Client_churn3[[#This Row],[Facture_Mensuelle]]*Client_churn3[[#This Row],[Remise Client]]</f>
        <v>13.131</v>
      </c>
      <c r="K410">
        <v>5</v>
      </c>
      <c r="L410"/>
    </row>
    <row r="411" spans="1:12" x14ac:dyDescent="0.25">
      <c r="A411">
        <f t="shared" si="6"/>
        <v>410</v>
      </c>
      <c r="B411" t="s">
        <v>1181</v>
      </c>
      <c r="C411" t="s">
        <v>799</v>
      </c>
      <c r="D411">
        <v>50</v>
      </c>
      <c r="E411" t="s">
        <v>749</v>
      </c>
      <c r="F411" t="str">
        <f>IF(Client_churn3[[#This Row],[Type_Forfait]]= "Pro Monde", "B2B", "B2C")</f>
        <v>B2C</v>
      </c>
      <c r="G411">
        <v>446</v>
      </c>
      <c r="H411" s="7">
        <v>31.56</v>
      </c>
      <c r="I4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1" s="9">
        <f>Client_churn3[[#This Row],[Facture_Mensuelle]]*Client_churn3[[#This Row],[Remise Client]]</f>
        <v>14.202</v>
      </c>
      <c r="K411">
        <v>5</v>
      </c>
      <c r="L411"/>
    </row>
    <row r="412" spans="1:12" x14ac:dyDescent="0.25">
      <c r="A412">
        <f t="shared" si="6"/>
        <v>411</v>
      </c>
      <c r="B412" t="s">
        <v>1182</v>
      </c>
      <c r="C412" t="s">
        <v>760</v>
      </c>
      <c r="D412">
        <v>76</v>
      </c>
      <c r="E412" t="s">
        <v>755</v>
      </c>
      <c r="F412" t="str">
        <f>IF(Client_churn3[[#This Row],[Type_Forfait]]= "Pro Monde", "B2B", "B2C")</f>
        <v>B2C</v>
      </c>
      <c r="G412">
        <v>187</v>
      </c>
      <c r="H412" s="7">
        <v>56.29</v>
      </c>
      <c r="I4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12" s="9">
        <f>Client_churn3[[#This Row],[Facture_Mensuelle]]*Client_churn3[[#This Row],[Remise Client]]</f>
        <v>0</v>
      </c>
      <c r="K412">
        <v>1</v>
      </c>
      <c r="L412"/>
    </row>
    <row r="413" spans="1:12" x14ac:dyDescent="0.25">
      <c r="A413">
        <f t="shared" si="6"/>
        <v>412</v>
      </c>
      <c r="B413" t="s">
        <v>1183</v>
      </c>
      <c r="C413" t="s">
        <v>766</v>
      </c>
      <c r="D413">
        <v>29</v>
      </c>
      <c r="E413" t="s">
        <v>755</v>
      </c>
      <c r="F413" t="str">
        <f>IF(Client_churn3[[#This Row],[Type_Forfait]]= "Pro Monde", "B2B", "B2C")</f>
        <v>B2C</v>
      </c>
      <c r="G413">
        <v>214</v>
      </c>
      <c r="H413" s="7">
        <v>74.7</v>
      </c>
      <c r="I4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13" s="9">
        <f>Client_churn3[[#This Row],[Facture_Mensuelle]]*Client_churn3[[#This Row],[Remise Client]]</f>
        <v>0</v>
      </c>
      <c r="K413">
        <v>3</v>
      </c>
      <c r="L413"/>
    </row>
    <row r="414" spans="1:12" x14ac:dyDescent="0.25">
      <c r="A414">
        <f t="shared" si="6"/>
        <v>413</v>
      </c>
      <c r="B414" t="s">
        <v>1184</v>
      </c>
      <c r="C414" t="s">
        <v>842</v>
      </c>
      <c r="D414">
        <v>88</v>
      </c>
      <c r="E414" t="s">
        <v>743</v>
      </c>
      <c r="F414" t="str">
        <f>IF(Client_churn3[[#This Row],[Type_Forfait]]= "Pro Monde", "B2B", "B2C")</f>
        <v>B2C</v>
      </c>
      <c r="G414">
        <v>474</v>
      </c>
      <c r="H414" s="7">
        <v>23.35</v>
      </c>
      <c r="I4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4" s="9">
        <f>Client_churn3[[#This Row],[Facture_Mensuelle]]*Client_churn3[[#This Row],[Remise Client]]</f>
        <v>10.5075</v>
      </c>
      <c r="K414">
        <v>5</v>
      </c>
      <c r="L414"/>
    </row>
    <row r="415" spans="1:12" x14ac:dyDescent="0.25">
      <c r="A415">
        <f t="shared" si="6"/>
        <v>414</v>
      </c>
      <c r="B415" t="s">
        <v>1185</v>
      </c>
      <c r="C415" t="s">
        <v>834</v>
      </c>
      <c r="D415">
        <v>115</v>
      </c>
      <c r="E415" t="s">
        <v>746</v>
      </c>
      <c r="F415" t="str">
        <f>IF(Client_churn3[[#This Row],[Type_Forfait]]= "Pro Monde", "B2B", "B2C")</f>
        <v>B2B</v>
      </c>
      <c r="G415">
        <v>190</v>
      </c>
      <c r="H415" s="7">
        <v>10.98</v>
      </c>
      <c r="I4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15" s="9">
        <f>Client_churn3[[#This Row],[Facture_Mensuelle]]*Client_churn3[[#This Row],[Remise Client]]</f>
        <v>1.0980000000000001</v>
      </c>
      <c r="K415">
        <v>0</v>
      </c>
      <c r="L415"/>
    </row>
    <row r="416" spans="1:12" x14ac:dyDescent="0.25">
      <c r="A416">
        <f t="shared" si="6"/>
        <v>415</v>
      </c>
      <c r="B416" t="s">
        <v>1186</v>
      </c>
      <c r="C416" t="s">
        <v>794</v>
      </c>
      <c r="D416">
        <v>84</v>
      </c>
      <c r="E416" t="s">
        <v>743</v>
      </c>
      <c r="F416" t="str">
        <f>IF(Client_churn3[[#This Row],[Type_Forfait]]= "Pro Monde", "B2B", "B2C")</f>
        <v>B2C</v>
      </c>
      <c r="G416">
        <v>244</v>
      </c>
      <c r="H416" s="7">
        <v>56.34</v>
      </c>
      <c r="I4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6" s="9">
        <f>Client_churn3[[#This Row],[Facture_Mensuelle]]*Client_churn3[[#This Row],[Remise Client]]</f>
        <v>25.353000000000002</v>
      </c>
      <c r="K416">
        <v>5</v>
      </c>
      <c r="L416"/>
    </row>
    <row r="417" spans="1:12" x14ac:dyDescent="0.25">
      <c r="A417">
        <f t="shared" si="6"/>
        <v>416</v>
      </c>
      <c r="B417" t="s">
        <v>1187</v>
      </c>
      <c r="C417" t="s">
        <v>802</v>
      </c>
      <c r="D417">
        <v>21</v>
      </c>
      <c r="E417" t="s">
        <v>743</v>
      </c>
      <c r="F417" t="str">
        <f>IF(Client_churn3[[#This Row],[Type_Forfait]]= "Pro Monde", "B2B", "B2C")</f>
        <v>B2C</v>
      </c>
      <c r="G417">
        <v>15</v>
      </c>
      <c r="H417" s="7">
        <v>57.74</v>
      </c>
      <c r="I4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17" s="9">
        <f>Client_churn3[[#This Row],[Facture_Mensuelle]]*Client_churn3[[#This Row],[Remise Client]]</f>
        <v>0</v>
      </c>
      <c r="K417">
        <v>0</v>
      </c>
      <c r="L417"/>
    </row>
    <row r="418" spans="1:12" x14ac:dyDescent="0.25">
      <c r="A418">
        <f t="shared" si="6"/>
        <v>417</v>
      </c>
      <c r="B418" t="s">
        <v>1188</v>
      </c>
      <c r="C418" t="s">
        <v>893</v>
      </c>
      <c r="D418">
        <v>21</v>
      </c>
      <c r="E418" t="s">
        <v>749</v>
      </c>
      <c r="F418" t="str">
        <f>IF(Client_churn3[[#This Row],[Type_Forfait]]= "Pro Monde", "B2B", "B2C")</f>
        <v>B2C</v>
      </c>
      <c r="G418">
        <v>444</v>
      </c>
      <c r="H418" s="7">
        <v>41.92</v>
      </c>
      <c r="I4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8" s="9">
        <f>Client_churn3[[#This Row],[Facture_Mensuelle]]*Client_churn3[[#This Row],[Remise Client]]</f>
        <v>18.864000000000001</v>
      </c>
      <c r="K418">
        <v>3</v>
      </c>
      <c r="L418"/>
    </row>
    <row r="419" spans="1:12" x14ac:dyDescent="0.25">
      <c r="A419">
        <f t="shared" si="6"/>
        <v>418</v>
      </c>
      <c r="B419" t="s">
        <v>1189</v>
      </c>
      <c r="C419" t="s">
        <v>834</v>
      </c>
      <c r="D419">
        <v>92</v>
      </c>
      <c r="E419" t="s">
        <v>743</v>
      </c>
      <c r="F419" t="str">
        <f>IF(Client_churn3[[#This Row],[Type_Forfait]]= "Pro Monde", "B2B", "B2C")</f>
        <v>B2C</v>
      </c>
      <c r="G419">
        <v>379</v>
      </c>
      <c r="H419" s="7">
        <v>70.08</v>
      </c>
      <c r="I4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19" s="9">
        <f>Client_churn3[[#This Row],[Facture_Mensuelle]]*Client_churn3[[#This Row],[Remise Client]]</f>
        <v>31.536000000000001</v>
      </c>
      <c r="K419">
        <v>5</v>
      </c>
      <c r="L419"/>
    </row>
    <row r="420" spans="1:12" x14ac:dyDescent="0.25">
      <c r="A420">
        <f t="shared" si="6"/>
        <v>419</v>
      </c>
      <c r="B420" t="s">
        <v>1190</v>
      </c>
      <c r="C420" t="s">
        <v>834</v>
      </c>
      <c r="D420">
        <v>114</v>
      </c>
      <c r="E420" t="s">
        <v>743</v>
      </c>
      <c r="F420" t="str">
        <f>IF(Client_churn3[[#This Row],[Type_Forfait]]= "Pro Monde", "B2B", "B2C")</f>
        <v>B2C</v>
      </c>
      <c r="G420">
        <v>388</v>
      </c>
      <c r="H420" s="7">
        <v>40.29</v>
      </c>
      <c r="I4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20" s="9">
        <f>Client_churn3[[#This Row],[Facture_Mensuelle]]*Client_churn3[[#This Row],[Remise Client]]</f>
        <v>18.130500000000001</v>
      </c>
      <c r="K420">
        <v>5</v>
      </c>
      <c r="L420"/>
    </row>
    <row r="421" spans="1:12" x14ac:dyDescent="0.25">
      <c r="A421">
        <f t="shared" si="6"/>
        <v>420</v>
      </c>
      <c r="B421" t="s">
        <v>1191</v>
      </c>
      <c r="C421" t="s">
        <v>809</v>
      </c>
      <c r="D421">
        <v>98</v>
      </c>
      <c r="E421" t="s">
        <v>746</v>
      </c>
      <c r="F421" t="str">
        <f>IF(Client_churn3[[#This Row],[Type_Forfait]]= "Pro Monde", "B2B", "B2C")</f>
        <v>B2B</v>
      </c>
      <c r="G421">
        <v>482</v>
      </c>
      <c r="H421" s="7">
        <v>55.04</v>
      </c>
      <c r="I4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21" s="9">
        <f>Client_churn3[[#This Row],[Facture_Mensuelle]]*Client_churn3[[#This Row],[Remise Client]]</f>
        <v>5.5040000000000004</v>
      </c>
      <c r="K421">
        <v>5</v>
      </c>
      <c r="L421"/>
    </row>
    <row r="422" spans="1:12" x14ac:dyDescent="0.25">
      <c r="A422">
        <f t="shared" si="6"/>
        <v>421</v>
      </c>
      <c r="B422" t="s">
        <v>1192</v>
      </c>
      <c r="C422" t="s">
        <v>806</v>
      </c>
      <c r="D422">
        <v>15</v>
      </c>
      <c r="E422" t="s">
        <v>743</v>
      </c>
      <c r="F422" t="str">
        <f>IF(Client_churn3[[#This Row],[Type_Forfait]]= "Pro Monde", "B2B", "B2C")</f>
        <v>B2C</v>
      </c>
      <c r="G422">
        <v>319</v>
      </c>
      <c r="H422" s="7">
        <v>78.150000000000006</v>
      </c>
      <c r="I4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22" s="9">
        <f>Client_churn3[[#This Row],[Facture_Mensuelle]]*Client_churn3[[#This Row],[Remise Client]]</f>
        <v>35.167500000000004</v>
      </c>
      <c r="K422">
        <v>4</v>
      </c>
      <c r="L422"/>
    </row>
    <row r="423" spans="1:12" x14ac:dyDescent="0.25">
      <c r="A423">
        <f t="shared" si="6"/>
        <v>422</v>
      </c>
      <c r="B423" t="s">
        <v>1193</v>
      </c>
      <c r="C423" t="s">
        <v>809</v>
      </c>
      <c r="D423">
        <v>42</v>
      </c>
      <c r="E423" t="s">
        <v>743</v>
      </c>
      <c r="F423" t="str">
        <f>IF(Client_churn3[[#This Row],[Type_Forfait]]= "Pro Monde", "B2B", "B2C")</f>
        <v>B2C</v>
      </c>
      <c r="G423">
        <v>252</v>
      </c>
      <c r="H423" s="7">
        <v>59.46</v>
      </c>
      <c r="I4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23" s="9">
        <f>Client_churn3[[#This Row],[Facture_Mensuelle]]*Client_churn3[[#This Row],[Remise Client]]</f>
        <v>26.757000000000001</v>
      </c>
      <c r="K423">
        <v>4</v>
      </c>
      <c r="L423"/>
    </row>
    <row r="424" spans="1:12" x14ac:dyDescent="0.25">
      <c r="A424">
        <f t="shared" si="6"/>
        <v>423</v>
      </c>
      <c r="B424" t="s">
        <v>1194</v>
      </c>
      <c r="C424" t="s">
        <v>758</v>
      </c>
      <c r="D424">
        <v>8</v>
      </c>
      <c r="E424" t="s">
        <v>743</v>
      </c>
      <c r="F424" t="str">
        <f>IF(Client_churn3[[#This Row],[Type_Forfait]]= "Pro Monde", "B2B", "B2C")</f>
        <v>B2C</v>
      </c>
      <c r="G424">
        <v>171</v>
      </c>
      <c r="H424" s="7">
        <v>52.98</v>
      </c>
      <c r="I4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24" s="9">
        <f>Client_churn3[[#This Row],[Facture_Mensuelle]]*Client_churn3[[#This Row],[Remise Client]]</f>
        <v>0</v>
      </c>
      <c r="K424">
        <v>0</v>
      </c>
      <c r="L424"/>
    </row>
    <row r="425" spans="1:12" x14ac:dyDescent="0.25">
      <c r="A425">
        <f t="shared" si="6"/>
        <v>424</v>
      </c>
      <c r="B425" t="s">
        <v>1195</v>
      </c>
      <c r="C425" t="s">
        <v>774</v>
      </c>
      <c r="D425">
        <v>12</v>
      </c>
      <c r="E425" t="s">
        <v>746</v>
      </c>
      <c r="F425" t="str">
        <f>IF(Client_churn3[[#This Row],[Type_Forfait]]= "Pro Monde", "B2B", "B2C")</f>
        <v>B2B</v>
      </c>
      <c r="G425">
        <v>305</v>
      </c>
      <c r="H425" s="7">
        <v>59.96</v>
      </c>
      <c r="I4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25" s="9">
        <f>Client_churn3[[#This Row],[Facture_Mensuelle]]*Client_churn3[[#This Row],[Remise Client]]</f>
        <v>5.9960000000000004</v>
      </c>
      <c r="K425">
        <v>3</v>
      </c>
      <c r="L425"/>
    </row>
    <row r="426" spans="1:12" x14ac:dyDescent="0.25">
      <c r="A426">
        <f t="shared" si="6"/>
        <v>425</v>
      </c>
      <c r="B426" t="s">
        <v>1196</v>
      </c>
      <c r="C426" t="s">
        <v>842</v>
      </c>
      <c r="D426">
        <v>29</v>
      </c>
      <c r="E426" t="s">
        <v>746</v>
      </c>
      <c r="F426" t="str">
        <f>IF(Client_churn3[[#This Row],[Type_Forfait]]= "Pro Monde", "B2B", "B2C")</f>
        <v>B2B</v>
      </c>
      <c r="G426">
        <v>203</v>
      </c>
      <c r="H426" s="7">
        <v>53.97</v>
      </c>
      <c r="I4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26" s="9">
        <f>Client_churn3[[#This Row],[Facture_Mensuelle]]*Client_churn3[[#This Row],[Remise Client]]</f>
        <v>5.3970000000000002</v>
      </c>
      <c r="K426">
        <v>5</v>
      </c>
      <c r="L426"/>
    </row>
    <row r="427" spans="1:12" x14ac:dyDescent="0.25">
      <c r="A427">
        <f t="shared" si="6"/>
        <v>426</v>
      </c>
      <c r="B427" t="s">
        <v>1197</v>
      </c>
      <c r="C427" t="s">
        <v>842</v>
      </c>
      <c r="D427">
        <v>80</v>
      </c>
      <c r="E427" t="s">
        <v>746</v>
      </c>
      <c r="F427" t="str">
        <f>IF(Client_churn3[[#This Row],[Type_Forfait]]= "Pro Monde", "B2B", "B2C")</f>
        <v>B2B</v>
      </c>
      <c r="G427">
        <v>339</v>
      </c>
      <c r="H427" s="7">
        <v>59.87</v>
      </c>
      <c r="I4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27" s="9">
        <f>Client_churn3[[#This Row],[Facture_Mensuelle]]*Client_churn3[[#This Row],[Remise Client]]</f>
        <v>5.9870000000000001</v>
      </c>
      <c r="K427">
        <v>0</v>
      </c>
      <c r="L427"/>
    </row>
    <row r="428" spans="1:12" x14ac:dyDescent="0.25">
      <c r="A428">
        <f t="shared" si="6"/>
        <v>427</v>
      </c>
      <c r="B428" t="s">
        <v>1198</v>
      </c>
      <c r="C428" t="s">
        <v>754</v>
      </c>
      <c r="D428">
        <v>95</v>
      </c>
      <c r="E428" t="s">
        <v>743</v>
      </c>
      <c r="F428" t="str">
        <f>IF(Client_churn3[[#This Row],[Type_Forfait]]= "Pro Monde", "B2B", "B2C")</f>
        <v>B2C</v>
      </c>
      <c r="G428">
        <v>33</v>
      </c>
      <c r="H428" s="7">
        <v>35.32</v>
      </c>
      <c r="I4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28" s="9">
        <f>Client_churn3[[#This Row],[Facture_Mensuelle]]*Client_churn3[[#This Row],[Remise Client]]</f>
        <v>0</v>
      </c>
      <c r="K428">
        <v>0</v>
      </c>
      <c r="L428"/>
    </row>
    <row r="429" spans="1:12" x14ac:dyDescent="0.25">
      <c r="A429">
        <f t="shared" si="6"/>
        <v>428</v>
      </c>
      <c r="B429" t="s">
        <v>1199</v>
      </c>
      <c r="C429" t="s">
        <v>780</v>
      </c>
      <c r="D429">
        <v>99</v>
      </c>
      <c r="E429" t="s">
        <v>746</v>
      </c>
      <c r="F429" t="str">
        <f>IF(Client_churn3[[#This Row],[Type_Forfait]]= "Pro Monde", "B2B", "B2C")</f>
        <v>B2B</v>
      </c>
      <c r="G429">
        <v>169</v>
      </c>
      <c r="H429" s="7">
        <v>76.75</v>
      </c>
      <c r="I4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29" s="9">
        <f>Client_churn3[[#This Row],[Facture_Mensuelle]]*Client_churn3[[#This Row],[Remise Client]]</f>
        <v>7.6750000000000007</v>
      </c>
      <c r="K429">
        <v>5</v>
      </c>
      <c r="L429"/>
    </row>
    <row r="430" spans="1:12" x14ac:dyDescent="0.25">
      <c r="A430">
        <f t="shared" si="6"/>
        <v>429</v>
      </c>
      <c r="B430" t="s">
        <v>1200</v>
      </c>
      <c r="C430" t="s">
        <v>745</v>
      </c>
      <c r="D430">
        <v>88</v>
      </c>
      <c r="E430" t="s">
        <v>755</v>
      </c>
      <c r="F430" t="str">
        <f>IF(Client_churn3[[#This Row],[Type_Forfait]]= "Pro Monde", "B2B", "B2C")</f>
        <v>B2C</v>
      </c>
      <c r="G430">
        <v>359</v>
      </c>
      <c r="H430" s="7">
        <v>71.19</v>
      </c>
      <c r="I4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0" s="9">
        <f>Client_churn3[[#This Row],[Facture_Mensuelle]]*Client_churn3[[#This Row],[Remise Client]]</f>
        <v>32.035499999999999</v>
      </c>
      <c r="K430">
        <v>3</v>
      </c>
      <c r="L430"/>
    </row>
    <row r="431" spans="1:12" x14ac:dyDescent="0.25">
      <c r="A431">
        <f t="shared" si="6"/>
        <v>430</v>
      </c>
      <c r="B431" t="s">
        <v>1201</v>
      </c>
      <c r="C431" t="s">
        <v>754</v>
      </c>
      <c r="D431">
        <v>7</v>
      </c>
      <c r="E431" t="s">
        <v>743</v>
      </c>
      <c r="F431" t="str">
        <f>IF(Client_churn3[[#This Row],[Type_Forfait]]= "Pro Monde", "B2B", "B2C")</f>
        <v>B2C</v>
      </c>
      <c r="G431">
        <v>43</v>
      </c>
      <c r="H431" s="7">
        <v>41.29</v>
      </c>
      <c r="I4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31" s="9">
        <f>Client_churn3[[#This Row],[Facture_Mensuelle]]*Client_churn3[[#This Row],[Remise Client]]</f>
        <v>0</v>
      </c>
      <c r="K431">
        <v>4</v>
      </c>
      <c r="L431"/>
    </row>
    <row r="432" spans="1:12" x14ac:dyDescent="0.25">
      <c r="A432">
        <f t="shared" si="6"/>
        <v>431</v>
      </c>
      <c r="B432" t="s">
        <v>1202</v>
      </c>
      <c r="C432" t="s">
        <v>754</v>
      </c>
      <c r="D432">
        <v>68</v>
      </c>
      <c r="E432" t="s">
        <v>746</v>
      </c>
      <c r="F432" t="str">
        <f>IF(Client_churn3[[#This Row],[Type_Forfait]]= "Pro Monde", "B2B", "B2C")</f>
        <v>B2B</v>
      </c>
      <c r="G432">
        <v>282</v>
      </c>
      <c r="H432" s="7">
        <v>35.43</v>
      </c>
      <c r="I4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32" s="9">
        <f>Client_churn3[[#This Row],[Facture_Mensuelle]]*Client_churn3[[#This Row],[Remise Client]]</f>
        <v>3.5430000000000001</v>
      </c>
      <c r="K432">
        <v>1</v>
      </c>
      <c r="L432"/>
    </row>
    <row r="433" spans="1:12" x14ac:dyDescent="0.25">
      <c r="A433">
        <f t="shared" si="6"/>
        <v>432</v>
      </c>
      <c r="B433" t="s">
        <v>1203</v>
      </c>
      <c r="C433" t="s">
        <v>785</v>
      </c>
      <c r="D433">
        <v>11</v>
      </c>
      <c r="E433" t="s">
        <v>743</v>
      </c>
      <c r="F433" t="str">
        <f>IF(Client_churn3[[#This Row],[Type_Forfait]]= "Pro Monde", "B2B", "B2C")</f>
        <v>B2C</v>
      </c>
      <c r="G433">
        <v>402</v>
      </c>
      <c r="H433" s="7">
        <v>69.599999999999994</v>
      </c>
      <c r="I4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3" s="9">
        <f>Client_churn3[[#This Row],[Facture_Mensuelle]]*Client_churn3[[#This Row],[Remise Client]]</f>
        <v>31.319999999999997</v>
      </c>
      <c r="K433">
        <v>5</v>
      </c>
      <c r="L433"/>
    </row>
    <row r="434" spans="1:12" x14ac:dyDescent="0.25">
      <c r="A434">
        <f t="shared" si="6"/>
        <v>433</v>
      </c>
      <c r="B434" t="s">
        <v>1204</v>
      </c>
      <c r="C434" t="s">
        <v>742</v>
      </c>
      <c r="D434">
        <v>1</v>
      </c>
      <c r="E434" t="s">
        <v>749</v>
      </c>
      <c r="F434" t="str">
        <f>IF(Client_churn3[[#This Row],[Type_Forfait]]= "Pro Monde", "B2B", "B2C")</f>
        <v>B2C</v>
      </c>
      <c r="G434">
        <v>213</v>
      </c>
      <c r="H434" s="7">
        <v>52.16</v>
      </c>
      <c r="I4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34" s="9">
        <f>Client_churn3[[#This Row],[Facture_Mensuelle]]*Client_churn3[[#This Row],[Remise Client]]</f>
        <v>0</v>
      </c>
      <c r="K434">
        <v>3</v>
      </c>
      <c r="L434"/>
    </row>
    <row r="435" spans="1:12" x14ac:dyDescent="0.25">
      <c r="A435">
        <f t="shared" si="6"/>
        <v>434</v>
      </c>
      <c r="B435" t="s">
        <v>1205</v>
      </c>
      <c r="C435" t="s">
        <v>893</v>
      </c>
      <c r="D435">
        <v>98</v>
      </c>
      <c r="E435" t="s">
        <v>746</v>
      </c>
      <c r="F435" t="str">
        <f>IF(Client_churn3[[#This Row],[Type_Forfait]]= "Pro Monde", "B2B", "B2C")</f>
        <v>B2B</v>
      </c>
      <c r="G435">
        <v>168</v>
      </c>
      <c r="H435" s="7">
        <v>44.14</v>
      </c>
      <c r="I4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35" s="9">
        <f>Client_churn3[[#This Row],[Facture_Mensuelle]]*Client_churn3[[#This Row],[Remise Client]]</f>
        <v>4.4140000000000006</v>
      </c>
      <c r="K435">
        <v>3</v>
      </c>
      <c r="L435"/>
    </row>
    <row r="436" spans="1:12" x14ac:dyDescent="0.25">
      <c r="A436">
        <f t="shared" si="6"/>
        <v>435</v>
      </c>
      <c r="B436" t="s">
        <v>1206</v>
      </c>
      <c r="C436" t="s">
        <v>766</v>
      </c>
      <c r="D436">
        <v>3</v>
      </c>
      <c r="E436" t="s">
        <v>749</v>
      </c>
      <c r="F436" t="str">
        <f>IF(Client_churn3[[#This Row],[Type_Forfait]]= "Pro Monde", "B2B", "B2C")</f>
        <v>B2C</v>
      </c>
      <c r="G436">
        <v>356</v>
      </c>
      <c r="H436" s="7">
        <v>91.6</v>
      </c>
      <c r="I4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6" s="9">
        <f>Client_churn3[[#This Row],[Facture_Mensuelle]]*Client_churn3[[#This Row],[Remise Client]]</f>
        <v>41.22</v>
      </c>
      <c r="K436">
        <v>3</v>
      </c>
      <c r="L436"/>
    </row>
    <row r="437" spans="1:12" x14ac:dyDescent="0.25">
      <c r="A437">
        <f t="shared" si="6"/>
        <v>436</v>
      </c>
      <c r="B437" t="s">
        <v>1207</v>
      </c>
      <c r="C437" t="s">
        <v>766</v>
      </c>
      <c r="D437">
        <v>85</v>
      </c>
      <c r="E437" t="s">
        <v>755</v>
      </c>
      <c r="F437" t="str">
        <f>IF(Client_churn3[[#This Row],[Type_Forfait]]= "Pro Monde", "B2B", "B2C")</f>
        <v>B2C</v>
      </c>
      <c r="G437">
        <v>274</v>
      </c>
      <c r="H437" s="7">
        <v>35.03</v>
      </c>
      <c r="I4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7" s="9">
        <f>Client_churn3[[#This Row],[Facture_Mensuelle]]*Client_churn3[[#This Row],[Remise Client]]</f>
        <v>15.763500000000001</v>
      </c>
      <c r="K437">
        <v>1</v>
      </c>
      <c r="L437"/>
    </row>
    <row r="438" spans="1:12" x14ac:dyDescent="0.25">
      <c r="A438">
        <f t="shared" si="6"/>
        <v>437</v>
      </c>
      <c r="B438" t="s">
        <v>1208</v>
      </c>
      <c r="C438" t="s">
        <v>768</v>
      </c>
      <c r="D438">
        <v>79</v>
      </c>
      <c r="E438" t="s">
        <v>755</v>
      </c>
      <c r="F438" t="str">
        <f>IF(Client_churn3[[#This Row],[Type_Forfait]]= "Pro Monde", "B2B", "B2C")</f>
        <v>B2C</v>
      </c>
      <c r="G438">
        <v>454</v>
      </c>
      <c r="H438" s="7">
        <v>80.34</v>
      </c>
      <c r="I4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8" s="9">
        <f>Client_churn3[[#This Row],[Facture_Mensuelle]]*Client_churn3[[#This Row],[Remise Client]]</f>
        <v>36.153000000000006</v>
      </c>
      <c r="K438">
        <v>2</v>
      </c>
      <c r="L438"/>
    </row>
    <row r="439" spans="1:12" x14ac:dyDescent="0.25">
      <c r="A439">
        <f t="shared" si="6"/>
        <v>438</v>
      </c>
      <c r="B439" t="s">
        <v>1209</v>
      </c>
      <c r="C439" t="s">
        <v>842</v>
      </c>
      <c r="D439">
        <v>65</v>
      </c>
      <c r="E439" t="s">
        <v>743</v>
      </c>
      <c r="F439" t="str">
        <f>IF(Client_churn3[[#This Row],[Type_Forfait]]= "Pro Monde", "B2B", "B2C")</f>
        <v>B2C</v>
      </c>
      <c r="G439">
        <v>442</v>
      </c>
      <c r="H439" s="7">
        <v>60.62</v>
      </c>
      <c r="I4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39" s="9">
        <f>Client_churn3[[#This Row],[Facture_Mensuelle]]*Client_churn3[[#This Row],[Remise Client]]</f>
        <v>27.279</v>
      </c>
      <c r="K439">
        <v>5</v>
      </c>
      <c r="L439"/>
    </row>
    <row r="440" spans="1:12" x14ac:dyDescent="0.25">
      <c r="A440">
        <f t="shared" si="6"/>
        <v>439</v>
      </c>
      <c r="B440" t="s">
        <v>1210</v>
      </c>
      <c r="C440" t="s">
        <v>794</v>
      </c>
      <c r="D440">
        <v>2</v>
      </c>
      <c r="E440" t="s">
        <v>755</v>
      </c>
      <c r="F440" t="str">
        <f>IF(Client_churn3[[#This Row],[Type_Forfait]]= "Pro Monde", "B2B", "B2C")</f>
        <v>B2C</v>
      </c>
      <c r="G440">
        <v>21</v>
      </c>
      <c r="H440" s="7">
        <v>51.68</v>
      </c>
      <c r="I4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40" s="9">
        <f>Client_churn3[[#This Row],[Facture_Mensuelle]]*Client_churn3[[#This Row],[Remise Client]]</f>
        <v>0</v>
      </c>
      <c r="K440">
        <v>3</v>
      </c>
      <c r="L440"/>
    </row>
    <row r="441" spans="1:12" x14ac:dyDescent="0.25">
      <c r="A441">
        <f t="shared" si="6"/>
        <v>440</v>
      </c>
      <c r="B441" t="s">
        <v>1211</v>
      </c>
      <c r="C441" t="s">
        <v>809</v>
      </c>
      <c r="D441">
        <v>51</v>
      </c>
      <c r="E441" t="s">
        <v>749</v>
      </c>
      <c r="F441" t="str">
        <f>IF(Client_churn3[[#This Row],[Type_Forfait]]= "Pro Monde", "B2B", "B2C")</f>
        <v>B2C</v>
      </c>
      <c r="G441">
        <v>58</v>
      </c>
      <c r="H441" s="7">
        <v>34.6</v>
      </c>
      <c r="I4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41" s="9">
        <f>Client_churn3[[#This Row],[Facture_Mensuelle]]*Client_churn3[[#This Row],[Remise Client]]</f>
        <v>0</v>
      </c>
      <c r="K441">
        <v>5</v>
      </c>
      <c r="L441"/>
    </row>
    <row r="442" spans="1:12" x14ac:dyDescent="0.25">
      <c r="A442">
        <f t="shared" si="6"/>
        <v>441</v>
      </c>
      <c r="B442" t="s">
        <v>1212</v>
      </c>
      <c r="C442" t="s">
        <v>768</v>
      </c>
      <c r="D442">
        <v>63</v>
      </c>
      <c r="E442" t="s">
        <v>746</v>
      </c>
      <c r="F442" t="str">
        <f>IF(Client_churn3[[#This Row],[Type_Forfait]]= "Pro Monde", "B2B", "B2C")</f>
        <v>B2B</v>
      </c>
      <c r="G442">
        <v>141</v>
      </c>
      <c r="H442" s="7">
        <v>95.6</v>
      </c>
      <c r="I4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42" s="9">
        <f>Client_churn3[[#This Row],[Facture_Mensuelle]]*Client_churn3[[#This Row],[Remise Client]]</f>
        <v>9.56</v>
      </c>
      <c r="K442">
        <v>4</v>
      </c>
      <c r="L442"/>
    </row>
    <row r="443" spans="1:12" x14ac:dyDescent="0.25">
      <c r="A443">
        <f t="shared" si="6"/>
        <v>442</v>
      </c>
      <c r="B443" t="s">
        <v>1213</v>
      </c>
      <c r="C443" t="s">
        <v>751</v>
      </c>
      <c r="D443">
        <v>101</v>
      </c>
      <c r="E443" t="s">
        <v>746</v>
      </c>
      <c r="F443" t="str">
        <f>IF(Client_churn3[[#This Row],[Type_Forfait]]= "Pro Monde", "B2B", "B2C")</f>
        <v>B2B</v>
      </c>
      <c r="G443">
        <v>333</v>
      </c>
      <c r="H443" s="7">
        <v>74.319999999999993</v>
      </c>
      <c r="I4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43" s="9">
        <f>Client_churn3[[#This Row],[Facture_Mensuelle]]*Client_churn3[[#This Row],[Remise Client]]</f>
        <v>7.4319999999999995</v>
      </c>
      <c r="K443">
        <v>1</v>
      </c>
      <c r="L443"/>
    </row>
    <row r="444" spans="1:12" x14ac:dyDescent="0.25">
      <c r="A444">
        <f t="shared" si="6"/>
        <v>443</v>
      </c>
      <c r="B444" t="s">
        <v>1214</v>
      </c>
      <c r="C444" t="s">
        <v>799</v>
      </c>
      <c r="D444">
        <v>33</v>
      </c>
      <c r="E444" t="s">
        <v>755</v>
      </c>
      <c r="F444" t="str">
        <f>IF(Client_churn3[[#This Row],[Type_Forfait]]= "Pro Monde", "B2B", "B2C")</f>
        <v>B2C</v>
      </c>
      <c r="G444">
        <v>285</v>
      </c>
      <c r="H444" s="7">
        <v>56.67</v>
      </c>
      <c r="I4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44" s="9">
        <f>Client_churn3[[#This Row],[Facture_Mensuelle]]*Client_churn3[[#This Row],[Remise Client]]</f>
        <v>25.5015</v>
      </c>
      <c r="K444">
        <v>2</v>
      </c>
      <c r="L444"/>
    </row>
    <row r="445" spans="1:12" x14ac:dyDescent="0.25">
      <c r="A445">
        <f t="shared" si="6"/>
        <v>444</v>
      </c>
      <c r="B445" t="s">
        <v>1215</v>
      </c>
      <c r="C445" t="s">
        <v>780</v>
      </c>
      <c r="D445">
        <v>17</v>
      </c>
      <c r="E445" t="s">
        <v>746</v>
      </c>
      <c r="F445" t="str">
        <f>IF(Client_churn3[[#This Row],[Type_Forfait]]= "Pro Monde", "B2B", "B2C")</f>
        <v>B2B</v>
      </c>
      <c r="G445">
        <v>175</v>
      </c>
      <c r="H445" s="7">
        <v>24.95</v>
      </c>
      <c r="I4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45" s="9">
        <f>Client_churn3[[#This Row],[Facture_Mensuelle]]*Client_churn3[[#This Row],[Remise Client]]</f>
        <v>2.4950000000000001</v>
      </c>
      <c r="K445">
        <v>4</v>
      </c>
      <c r="L445"/>
    </row>
    <row r="446" spans="1:12" x14ac:dyDescent="0.25">
      <c r="A446">
        <f t="shared" si="6"/>
        <v>445</v>
      </c>
      <c r="B446" t="s">
        <v>1216</v>
      </c>
      <c r="C446" t="s">
        <v>758</v>
      </c>
      <c r="D446">
        <v>89</v>
      </c>
      <c r="E446" t="s">
        <v>746</v>
      </c>
      <c r="F446" t="str">
        <f>IF(Client_churn3[[#This Row],[Type_Forfait]]= "Pro Monde", "B2B", "B2C")</f>
        <v>B2B</v>
      </c>
      <c r="G446">
        <v>225</v>
      </c>
      <c r="H446" s="7">
        <v>38.36</v>
      </c>
      <c r="I4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46" s="9">
        <f>Client_churn3[[#This Row],[Facture_Mensuelle]]*Client_churn3[[#This Row],[Remise Client]]</f>
        <v>3.8360000000000003</v>
      </c>
      <c r="K446">
        <v>2</v>
      </c>
      <c r="L446"/>
    </row>
    <row r="447" spans="1:12" x14ac:dyDescent="0.25">
      <c r="A447">
        <f t="shared" si="6"/>
        <v>446</v>
      </c>
      <c r="B447" t="s">
        <v>1217</v>
      </c>
      <c r="C447" t="s">
        <v>758</v>
      </c>
      <c r="D447">
        <v>88</v>
      </c>
      <c r="E447" t="s">
        <v>755</v>
      </c>
      <c r="F447" t="str">
        <f>IF(Client_churn3[[#This Row],[Type_Forfait]]= "Pro Monde", "B2B", "B2C")</f>
        <v>B2C</v>
      </c>
      <c r="G447">
        <v>232</v>
      </c>
      <c r="H447" s="7">
        <v>40.94</v>
      </c>
      <c r="I4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47" s="9">
        <f>Client_churn3[[#This Row],[Facture_Mensuelle]]*Client_churn3[[#This Row],[Remise Client]]</f>
        <v>0</v>
      </c>
      <c r="K447">
        <v>2</v>
      </c>
      <c r="L447"/>
    </row>
    <row r="448" spans="1:12" x14ac:dyDescent="0.25">
      <c r="A448">
        <f t="shared" si="6"/>
        <v>447</v>
      </c>
      <c r="B448" t="s">
        <v>1218</v>
      </c>
      <c r="C448" t="s">
        <v>766</v>
      </c>
      <c r="D448">
        <v>29</v>
      </c>
      <c r="E448" t="s">
        <v>755</v>
      </c>
      <c r="F448" t="str">
        <f>IF(Client_churn3[[#This Row],[Type_Forfait]]= "Pro Monde", "B2B", "B2C")</f>
        <v>B2C</v>
      </c>
      <c r="G448">
        <v>350</v>
      </c>
      <c r="H448" s="7">
        <v>84.32</v>
      </c>
      <c r="I4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48" s="9">
        <f>Client_churn3[[#This Row],[Facture_Mensuelle]]*Client_churn3[[#This Row],[Remise Client]]</f>
        <v>37.943999999999996</v>
      </c>
      <c r="K448">
        <v>3</v>
      </c>
      <c r="L448"/>
    </row>
    <row r="449" spans="1:12" x14ac:dyDescent="0.25">
      <c r="A449">
        <f t="shared" si="6"/>
        <v>448</v>
      </c>
      <c r="B449" t="s">
        <v>1219</v>
      </c>
      <c r="C449" t="s">
        <v>760</v>
      </c>
      <c r="D449">
        <v>48</v>
      </c>
      <c r="E449" t="s">
        <v>755</v>
      </c>
      <c r="F449" t="str">
        <f>IF(Client_churn3[[#This Row],[Type_Forfait]]= "Pro Monde", "B2B", "B2C")</f>
        <v>B2C</v>
      </c>
      <c r="G449">
        <v>473</v>
      </c>
      <c r="H449" s="7">
        <v>71.52</v>
      </c>
      <c r="I4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49" s="9">
        <f>Client_churn3[[#This Row],[Facture_Mensuelle]]*Client_churn3[[#This Row],[Remise Client]]</f>
        <v>32.183999999999997</v>
      </c>
      <c r="K449">
        <v>5</v>
      </c>
      <c r="L449"/>
    </row>
    <row r="450" spans="1:12" x14ac:dyDescent="0.25">
      <c r="A450">
        <f t="shared" si="6"/>
        <v>449</v>
      </c>
      <c r="B450" t="s">
        <v>1220</v>
      </c>
      <c r="C450" t="s">
        <v>842</v>
      </c>
      <c r="D450">
        <v>73</v>
      </c>
      <c r="E450" t="s">
        <v>749</v>
      </c>
      <c r="F450" t="str">
        <f>IF(Client_churn3[[#This Row],[Type_Forfait]]= "Pro Monde", "B2B", "B2C")</f>
        <v>B2C</v>
      </c>
      <c r="G450">
        <v>225</v>
      </c>
      <c r="H450" s="7">
        <v>45.86</v>
      </c>
      <c r="I4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50" s="9">
        <f>Client_churn3[[#This Row],[Facture_Mensuelle]]*Client_churn3[[#This Row],[Remise Client]]</f>
        <v>0</v>
      </c>
      <c r="K450">
        <v>0</v>
      </c>
      <c r="L450"/>
    </row>
    <row r="451" spans="1:12" x14ac:dyDescent="0.25">
      <c r="A451">
        <f t="shared" si="6"/>
        <v>450</v>
      </c>
      <c r="B451" t="s">
        <v>1221</v>
      </c>
      <c r="C451" t="s">
        <v>760</v>
      </c>
      <c r="D451">
        <v>35</v>
      </c>
      <c r="E451" t="s">
        <v>746</v>
      </c>
      <c r="F451" t="str">
        <f>IF(Client_churn3[[#This Row],[Type_Forfait]]= "Pro Monde", "B2B", "B2C")</f>
        <v>B2B</v>
      </c>
      <c r="G451">
        <v>292</v>
      </c>
      <c r="H451" s="7">
        <v>39.21</v>
      </c>
      <c r="I4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51" s="9">
        <f>Client_churn3[[#This Row],[Facture_Mensuelle]]*Client_churn3[[#This Row],[Remise Client]]</f>
        <v>3.9210000000000003</v>
      </c>
      <c r="K451">
        <v>1</v>
      </c>
      <c r="L451"/>
    </row>
    <row r="452" spans="1:12" x14ac:dyDescent="0.25">
      <c r="A452">
        <f t="shared" si="6"/>
        <v>451</v>
      </c>
      <c r="B452" t="s">
        <v>1222</v>
      </c>
      <c r="C452" t="s">
        <v>745</v>
      </c>
      <c r="D452">
        <v>107</v>
      </c>
      <c r="E452" t="s">
        <v>749</v>
      </c>
      <c r="F452" t="str">
        <f>IF(Client_churn3[[#This Row],[Type_Forfait]]= "Pro Monde", "B2B", "B2C")</f>
        <v>B2C</v>
      </c>
      <c r="G452">
        <v>290</v>
      </c>
      <c r="H452" s="7">
        <v>52.03</v>
      </c>
      <c r="I4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52" s="9">
        <f>Client_churn3[[#This Row],[Facture_Mensuelle]]*Client_churn3[[#This Row],[Remise Client]]</f>
        <v>23.413500000000003</v>
      </c>
      <c r="K452">
        <v>0</v>
      </c>
      <c r="L452"/>
    </row>
    <row r="453" spans="1:12" x14ac:dyDescent="0.25">
      <c r="A453">
        <f t="shared" ref="A453:A516" si="7">A452+1</f>
        <v>452</v>
      </c>
      <c r="B453" t="s">
        <v>1223</v>
      </c>
      <c r="C453" t="s">
        <v>774</v>
      </c>
      <c r="D453">
        <v>80</v>
      </c>
      <c r="E453" t="s">
        <v>743</v>
      </c>
      <c r="F453" t="str">
        <f>IF(Client_churn3[[#This Row],[Type_Forfait]]= "Pro Monde", "B2B", "B2C")</f>
        <v>B2C</v>
      </c>
      <c r="G453">
        <v>65</v>
      </c>
      <c r="H453" s="7">
        <v>76.64</v>
      </c>
      <c r="I4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53" s="9">
        <f>Client_churn3[[#This Row],[Facture_Mensuelle]]*Client_churn3[[#This Row],[Remise Client]]</f>
        <v>0</v>
      </c>
      <c r="K453">
        <v>3</v>
      </c>
      <c r="L453"/>
    </row>
    <row r="454" spans="1:12" x14ac:dyDescent="0.25">
      <c r="A454">
        <f t="shared" si="7"/>
        <v>453</v>
      </c>
      <c r="B454" t="s">
        <v>1224</v>
      </c>
      <c r="C454" t="s">
        <v>776</v>
      </c>
      <c r="D454">
        <v>66</v>
      </c>
      <c r="E454" t="s">
        <v>755</v>
      </c>
      <c r="F454" t="str">
        <f>IF(Client_churn3[[#This Row],[Type_Forfait]]= "Pro Monde", "B2B", "B2C")</f>
        <v>B2C</v>
      </c>
      <c r="G454">
        <v>193</v>
      </c>
      <c r="H454" s="7">
        <v>21.06</v>
      </c>
      <c r="I4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54" s="9">
        <f>Client_churn3[[#This Row],[Facture_Mensuelle]]*Client_churn3[[#This Row],[Remise Client]]</f>
        <v>0</v>
      </c>
      <c r="K454">
        <v>3</v>
      </c>
      <c r="L454"/>
    </row>
    <row r="455" spans="1:12" x14ac:dyDescent="0.25">
      <c r="A455">
        <f t="shared" si="7"/>
        <v>454</v>
      </c>
      <c r="B455" t="s">
        <v>1225</v>
      </c>
      <c r="C455" t="s">
        <v>766</v>
      </c>
      <c r="D455">
        <v>38</v>
      </c>
      <c r="E455" t="s">
        <v>749</v>
      </c>
      <c r="F455" t="str">
        <f>IF(Client_churn3[[#This Row],[Type_Forfait]]= "Pro Monde", "B2B", "B2C")</f>
        <v>B2C</v>
      </c>
      <c r="G455">
        <v>191</v>
      </c>
      <c r="H455" s="7">
        <v>22.97</v>
      </c>
      <c r="I4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55" s="9">
        <f>Client_churn3[[#This Row],[Facture_Mensuelle]]*Client_churn3[[#This Row],[Remise Client]]</f>
        <v>0</v>
      </c>
      <c r="K455">
        <v>3</v>
      </c>
      <c r="L455"/>
    </row>
    <row r="456" spans="1:12" x14ac:dyDescent="0.25">
      <c r="A456">
        <f t="shared" si="7"/>
        <v>455</v>
      </c>
      <c r="B456" t="s">
        <v>1226</v>
      </c>
      <c r="C456" t="s">
        <v>748</v>
      </c>
      <c r="D456">
        <v>119</v>
      </c>
      <c r="E456" t="s">
        <v>746</v>
      </c>
      <c r="F456" t="str">
        <f>IF(Client_churn3[[#This Row],[Type_Forfait]]= "Pro Monde", "B2B", "B2C")</f>
        <v>B2B</v>
      </c>
      <c r="G456">
        <v>451</v>
      </c>
      <c r="H456" s="7">
        <v>10.46</v>
      </c>
      <c r="I4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56" s="9">
        <f>Client_churn3[[#This Row],[Facture_Mensuelle]]*Client_churn3[[#This Row],[Remise Client]]</f>
        <v>1.046</v>
      </c>
      <c r="K456">
        <v>5</v>
      </c>
      <c r="L456"/>
    </row>
    <row r="457" spans="1:12" x14ac:dyDescent="0.25">
      <c r="A457">
        <f t="shared" si="7"/>
        <v>456</v>
      </c>
      <c r="B457" t="s">
        <v>1227</v>
      </c>
      <c r="C457" t="s">
        <v>766</v>
      </c>
      <c r="D457">
        <v>55</v>
      </c>
      <c r="E457" t="s">
        <v>743</v>
      </c>
      <c r="F457" t="str">
        <f>IF(Client_churn3[[#This Row],[Type_Forfait]]= "Pro Monde", "B2B", "B2C")</f>
        <v>B2C</v>
      </c>
      <c r="G457">
        <v>355</v>
      </c>
      <c r="H457" s="7">
        <v>59.65</v>
      </c>
      <c r="I4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57" s="9">
        <f>Client_churn3[[#This Row],[Facture_Mensuelle]]*Client_churn3[[#This Row],[Remise Client]]</f>
        <v>26.842500000000001</v>
      </c>
      <c r="K457">
        <v>0</v>
      </c>
      <c r="L457"/>
    </row>
    <row r="458" spans="1:12" x14ac:dyDescent="0.25">
      <c r="A458">
        <f t="shared" si="7"/>
        <v>457</v>
      </c>
      <c r="B458" t="s">
        <v>1228</v>
      </c>
      <c r="C458" t="s">
        <v>893</v>
      </c>
      <c r="D458">
        <v>6</v>
      </c>
      <c r="E458" t="s">
        <v>749</v>
      </c>
      <c r="F458" t="str">
        <f>IF(Client_churn3[[#This Row],[Type_Forfait]]= "Pro Monde", "B2B", "B2C")</f>
        <v>B2C</v>
      </c>
      <c r="G458">
        <v>77</v>
      </c>
      <c r="H458" s="7">
        <v>18.48</v>
      </c>
      <c r="I4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58" s="9">
        <f>Client_churn3[[#This Row],[Facture_Mensuelle]]*Client_churn3[[#This Row],[Remise Client]]</f>
        <v>0</v>
      </c>
      <c r="K458">
        <v>2</v>
      </c>
      <c r="L458"/>
    </row>
    <row r="459" spans="1:12" x14ac:dyDescent="0.25">
      <c r="A459">
        <f t="shared" si="7"/>
        <v>458</v>
      </c>
      <c r="B459" t="s">
        <v>1229</v>
      </c>
      <c r="C459" t="s">
        <v>768</v>
      </c>
      <c r="D459">
        <v>63</v>
      </c>
      <c r="E459" t="s">
        <v>749</v>
      </c>
      <c r="F459" t="str">
        <f>IF(Client_churn3[[#This Row],[Type_Forfait]]= "Pro Monde", "B2B", "B2C")</f>
        <v>B2C</v>
      </c>
      <c r="G459">
        <v>265</v>
      </c>
      <c r="H459" s="7">
        <v>49.94</v>
      </c>
      <c r="I4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59" s="9">
        <f>Client_churn3[[#This Row],[Facture_Mensuelle]]*Client_churn3[[#This Row],[Remise Client]]</f>
        <v>22.472999999999999</v>
      </c>
      <c r="K459">
        <v>1</v>
      </c>
      <c r="L459"/>
    </row>
    <row r="460" spans="1:12" x14ac:dyDescent="0.25">
      <c r="A460">
        <f t="shared" si="7"/>
        <v>459</v>
      </c>
      <c r="B460" t="s">
        <v>1230</v>
      </c>
      <c r="C460" t="s">
        <v>785</v>
      </c>
      <c r="D460">
        <v>21</v>
      </c>
      <c r="E460" t="s">
        <v>746</v>
      </c>
      <c r="F460" t="str">
        <f>IF(Client_churn3[[#This Row],[Type_Forfait]]= "Pro Monde", "B2B", "B2C")</f>
        <v>B2B</v>
      </c>
      <c r="G460">
        <v>320</v>
      </c>
      <c r="H460" s="7">
        <v>64.97</v>
      </c>
      <c r="I4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60" s="9">
        <f>Client_churn3[[#This Row],[Facture_Mensuelle]]*Client_churn3[[#This Row],[Remise Client]]</f>
        <v>6.4969999999999999</v>
      </c>
      <c r="K460">
        <v>1</v>
      </c>
      <c r="L460"/>
    </row>
    <row r="461" spans="1:12" x14ac:dyDescent="0.25">
      <c r="A461">
        <f t="shared" si="7"/>
        <v>460</v>
      </c>
      <c r="B461" t="s">
        <v>1231</v>
      </c>
      <c r="C461" t="s">
        <v>768</v>
      </c>
      <c r="D461">
        <v>5</v>
      </c>
      <c r="E461" t="s">
        <v>755</v>
      </c>
      <c r="F461" t="str">
        <f>IF(Client_churn3[[#This Row],[Type_Forfait]]= "Pro Monde", "B2B", "B2C")</f>
        <v>B2C</v>
      </c>
      <c r="G461">
        <v>417</v>
      </c>
      <c r="H461" s="7">
        <v>90.71</v>
      </c>
      <c r="I4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61" s="9">
        <f>Client_churn3[[#This Row],[Facture_Mensuelle]]*Client_churn3[[#This Row],[Remise Client]]</f>
        <v>40.819499999999998</v>
      </c>
      <c r="K461">
        <v>1</v>
      </c>
      <c r="L461"/>
    </row>
    <row r="462" spans="1:12" x14ac:dyDescent="0.25">
      <c r="A462">
        <f t="shared" si="7"/>
        <v>461</v>
      </c>
      <c r="B462" t="s">
        <v>1232</v>
      </c>
      <c r="C462" t="s">
        <v>802</v>
      </c>
      <c r="D462">
        <v>30</v>
      </c>
      <c r="E462" t="s">
        <v>743</v>
      </c>
      <c r="F462" t="str">
        <f>IF(Client_churn3[[#This Row],[Type_Forfait]]= "Pro Monde", "B2B", "B2C")</f>
        <v>B2C</v>
      </c>
      <c r="G462">
        <v>130</v>
      </c>
      <c r="H462" s="7">
        <v>50.15</v>
      </c>
      <c r="I4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62" s="9">
        <f>Client_churn3[[#This Row],[Facture_Mensuelle]]*Client_churn3[[#This Row],[Remise Client]]</f>
        <v>0</v>
      </c>
      <c r="K462">
        <v>4</v>
      </c>
      <c r="L462"/>
    </row>
    <row r="463" spans="1:12" x14ac:dyDescent="0.25">
      <c r="A463">
        <f t="shared" si="7"/>
        <v>462</v>
      </c>
      <c r="B463" t="s">
        <v>1233</v>
      </c>
      <c r="C463" t="s">
        <v>766</v>
      </c>
      <c r="D463">
        <v>60</v>
      </c>
      <c r="E463" t="s">
        <v>749</v>
      </c>
      <c r="F463" t="str">
        <f>IF(Client_churn3[[#This Row],[Type_Forfait]]= "Pro Monde", "B2B", "B2C")</f>
        <v>B2C</v>
      </c>
      <c r="G463">
        <v>161</v>
      </c>
      <c r="H463" s="7">
        <v>62.65</v>
      </c>
      <c r="I4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63" s="9">
        <f>Client_churn3[[#This Row],[Facture_Mensuelle]]*Client_churn3[[#This Row],[Remise Client]]</f>
        <v>0</v>
      </c>
      <c r="K463">
        <v>0</v>
      </c>
      <c r="L463"/>
    </row>
    <row r="464" spans="1:12" x14ac:dyDescent="0.25">
      <c r="A464">
        <f t="shared" si="7"/>
        <v>463</v>
      </c>
      <c r="B464" t="s">
        <v>1234</v>
      </c>
      <c r="C464" t="s">
        <v>745</v>
      </c>
      <c r="D464">
        <v>120</v>
      </c>
      <c r="E464" t="s">
        <v>749</v>
      </c>
      <c r="F464" t="str">
        <f>IF(Client_churn3[[#This Row],[Type_Forfait]]= "Pro Monde", "B2B", "B2C")</f>
        <v>B2C</v>
      </c>
      <c r="G464">
        <v>437</v>
      </c>
      <c r="H464" s="7">
        <v>95.17</v>
      </c>
      <c r="I4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64" s="9">
        <f>Client_churn3[[#This Row],[Facture_Mensuelle]]*Client_churn3[[#This Row],[Remise Client]]</f>
        <v>42.826500000000003</v>
      </c>
      <c r="K464">
        <v>1</v>
      </c>
      <c r="L464"/>
    </row>
    <row r="465" spans="1:12" x14ac:dyDescent="0.25">
      <c r="A465">
        <f t="shared" si="7"/>
        <v>464</v>
      </c>
      <c r="B465" t="s">
        <v>1235</v>
      </c>
      <c r="C465" t="s">
        <v>774</v>
      </c>
      <c r="D465">
        <v>68</v>
      </c>
      <c r="E465" t="s">
        <v>755</v>
      </c>
      <c r="F465" t="str">
        <f>IF(Client_churn3[[#This Row],[Type_Forfait]]= "Pro Monde", "B2B", "B2C")</f>
        <v>B2C</v>
      </c>
      <c r="G465">
        <v>443</v>
      </c>
      <c r="H465" s="7">
        <v>12.09</v>
      </c>
      <c r="I4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65" s="9">
        <f>Client_churn3[[#This Row],[Facture_Mensuelle]]*Client_churn3[[#This Row],[Remise Client]]</f>
        <v>5.4405000000000001</v>
      </c>
      <c r="K465">
        <v>3</v>
      </c>
      <c r="L465"/>
    </row>
    <row r="466" spans="1:12" x14ac:dyDescent="0.25">
      <c r="A466">
        <f t="shared" si="7"/>
        <v>465</v>
      </c>
      <c r="B466" t="s">
        <v>1236</v>
      </c>
      <c r="C466" t="s">
        <v>809</v>
      </c>
      <c r="D466">
        <v>85</v>
      </c>
      <c r="E466" t="s">
        <v>749</v>
      </c>
      <c r="F466" t="str">
        <f>IF(Client_churn3[[#This Row],[Type_Forfait]]= "Pro Monde", "B2B", "B2C")</f>
        <v>B2C</v>
      </c>
      <c r="G466">
        <v>132</v>
      </c>
      <c r="H466" s="7">
        <v>11.41</v>
      </c>
      <c r="I4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66" s="9">
        <f>Client_churn3[[#This Row],[Facture_Mensuelle]]*Client_churn3[[#This Row],[Remise Client]]</f>
        <v>0</v>
      </c>
      <c r="K466">
        <v>0</v>
      </c>
      <c r="L466"/>
    </row>
    <row r="467" spans="1:12" x14ac:dyDescent="0.25">
      <c r="A467">
        <f t="shared" si="7"/>
        <v>466</v>
      </c>
      <c r="B467" t="s">
        <v>1237</v>
      </c>
      <c r="C467" t="s">
        <v>754</v>
      </c>
      <c r="D467">
        <v>69</v>
      </c>
      <c r="E467" t="s">
        <v>746</v>
      </c>
      <c r="F467" t="str">
        <f>IF(Client_churn3[[#This Row],[Type_Forfait]]= "Pro Monde", "B2B", "B2C")</f>
        <v>B2B</v>
      </c>
      <c r="G467">
        <v>463</v>
      </c>
      <c r="H467" s="7">
        <v>19.440000000000001</v>
      </c>
      <c r="I4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67" s="9">
        <f>Client_churn3[[#This Row],[Facture_Mensuelle]]*Client_churn3[[#This Row],[Remise Client]]</f>
        <v>1.9440000000000002</v>
      </c>
      <c r="K467">
        <v>0</v>
      </c>
      <c r="L467"/>
    </row>
    <row r="468" spans="1:12" x14ac:dyDescent="0.25">
      <c r="A468">
        <f t="shared" si="7"/>
        <v>467</v>
      </c>
      <c r="B468" t="s">
        <v>1238</v>
      </c>
      <c r="C468" t="s">
        <v>760</v>
      </c>
      <c r="D468">
        <v>96</v>
      </c>
      <c r="E468" t="s">
        <v>749</v>
      </c>
      <c r="F468" t="str">
        <f>IF(Client_churn3[[#This Row],[Type_Forfait]]= "Pro Monde", "B2B", "B2C")</f>
        <v>B2C</v>
      </c>
      <c r="G468">
        <v>108</v>
      </c>
      <c r="H468" s="7">
        <v>30.92</v>
      </c>
      <c r="I4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68" s="9">
        <f>Client_churn3[[#This Row],[Facture_Mensuelle]]*Client_churn3[[#This Row],[Remise Client]]</f>
        <v>0</v>
      </c>
      <c r="K468">
        <v>1</v>
      </c>
      <c r="L468"/>
    </row>
    <row r="469" spans="1:12" x14ac:dyDescent="0.25">
      <c r="A469">
        <f t="shared" si="7"/>
        <v>468</v>
      </c>
      <c r="B469" t="s">
        <v>1239</v>
      </c>
      <c r="C469" t="s">
        <v>778</v>
      </c>
      <c r="D469">
        <v>89</v>
      </c>
      <c r="E469" t="s">
        <v>749</v>
      </c>
      <c r="F469" t="str">
        <f>IF(Client_churn3[[#This Row],[Type_Forfait]]= "Pro Monde", "B2B", "B2C")</f>
        <v>B2C</v>
      </c>
      <c r="G469">
        <v>7</v>
      </c>
      <c r="H469" s="7">
        <v>53.39</v>
      </c>
      <c r="I4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69" s="9">
        <f>Client_churn3[[#This Row],[Facture_Mensuelle]]*Client_churn3[[#This Row],[Remise Client]]</f>
        <v>0</v>
      </c>
      <c r="K469">
        <v>3</v>
      </c>
      <c r="L469"/>
    </row>
    <row r="470" spans="1:12" x14ac:dyDescent="0.25">
      <c r="A470">
        <f t="shared" si="7"/>
        <v>469</v>
      </c>
      <c r="B470" t="s">
        <v>1240</v>
      </c>
      <c r="C470" t="s">
        <v>802</v>
      </c>
      <c r="D470">
        <v>47</v>
      </c>
      <c r="E470" t="s">
        <v>755</v>
      </c>
      <c r="F470" t="str">
        <f>IF(Client_churn3[[#This Row],[Type_Forfait]]= "Pro Monde", "B2B", "B2C")</f>
        <v>B2C</v>
      </c>
      <c r="G470">
        <v>350</v>
      </c>
      <c r="H470" s="7">
        <v>80.48</v>
      </c>
      <c r="I4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0" s="9">
        <f>Client_churn3[[#This Row],[Facture_Mensuelle]]*Client_churn3[[#This Row],[Remise Client]]</f>
        <v>36.216000000000001</v>
      </c>
      <c r="K470">
        <v>3</v>
      </c>
      <c r="L470"/>
    </row>
    <row r="471" spans="1:12" x14ac:dyDescent="0.25">
      <c r="A471">
        <f t="shared" si="7"/>
        <v>470</v>
      </c>
      <c r="B471" t="s">
        <v>1241</v>
      </c>
      <c r="C471" t="s">
        <v>778</v>
      </c>
      <c r="D471">
        <v>78</v>
      </c>
      <c r="E471" t="s">
        <v>743</v>
      </c>
      <c r="F471" t="str">
        <f>IF(Client_churn3[[#This Row],[Type_Forfait]]= "Pro Monde", "B2B", "B2C")</f>
        <v>B2C</v>
      </c>
      <c r="G471">
        <v>312</v>
      </c>
      <c r="H471" s="7">
        <v>85.74</v>
      </c>
      <c r="I4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1" s="9">
        <f>Client_churn3[[#This Row],[Facture_Mensuelle]]*Client_churn3[[#This Row],[Remise Client]]</f>
        <v>38.582999999999998</v>
      </c>
      <c r="K471">
        <v>2</v>
      </c>
      <c r="L471"/>
    </row>
    <row r="472" spans="1:12" x14ac:dyDescent="0.25">
      <c r="A472">
        <f t="shared" si="7"/>
        <v>471</v>
      </c>
      <c r="B472" t="s">
        <v>1242</v>
      </c>
      <c r="C472" t="s">
        <v>809</v>
      </c>
      <c r="D472">
        <v>36</v>
      </c>
      <c r="E472" t="s">
        <v>755</v>
      </c>
      <c r="F472" t="str">
        <f>IF(Client_churn3[[#This Row],[Type_Forfait]]= "Pro Monde", "B2B", "B2C")</f>
        <v>B2C</v>
      </c>
      <c r="G472">
        <v>400</v>
      </c>
      <c r="H472" s="7">
        <v>60.35</v>
      </c>
      <c r="I4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2" s="9">
        <f>Client_churn3[[#This Row],[Facture_Mensuelle]]*Client_churn3[[#This Row],[Remise Client]]</f>
        <v>27.157500000000002</v>
      </c>
      <c r="K472">
        <v>1</v>
      </c>
      <c r="L472"/>
    </row>
    <row r="473" spans="1:12" x14ac:dyDescent="0.25">
      <c r="A473">
        <f t="shared" si="7"/>
        <v>472</v>
      </c>
      <c r="B473" t="s">
        <v>1243</v>
      </c>
      <c r="C473" t="s">
        <v>754</v>
      </c>
      <c r="D473">
        <v>44</v>
      </c>
      <c r="E473" t="s">
        <v>743</v>
      </c>
      <c r="F473" t="str">
        <f>IF(Client_churn3[[#This Row],[Type_Forfait]]= "Pro Monde", "B2B", "B2C")</f>
        <v>B2C</v>
      </c>
      <c r="G473">
        <v>348</v>
      </c>
      <c r="H473" s="7">
        <v>58.67</v>
      </c>
      <c r="I4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3" s="9">
        <f>Client_churn3[[#This Row],[Facture_Mensuelle]]*Client_churn3[[#This Row],[Remise Client]]</f>
        <v>26.401500000000002</v>
      </c>
      <c r="K473">
        <v>0</v>
      </c>
      <c r="L473"/>
    </row>
    <row r="474" spans="1:12" x14ac:dyDescent="0.25">
      <c r="A474">
        <f t="shared" si="7"/>
        <v>473</v>
      </c>
      <c r="B474" t="s">
        <v>1244</v>
      </c>
      <c r="C474" t="s">
        <v>893</v>
      </c>
      <c r="D474">
        <v>120</v>
      </c>
      <c r="E474" t="s">
        <v>746</v>
      </c>
      <c r="F474" t="str">
        <f>IF(Client_churn3[[#This Row],[Type_Forfait]]= "Pro Monde", "B2B", "B2C")</f>
        <v>B2B</v>
      </c>
      <c r="G474">
        <v>209</v>
      </c>
      <c r="H474" s="7">
        <v>42.51</v>
      </c>
      <c r="I4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74" s="9">
        <f>Client_churn3[[#This Row],[Facture_Mensuelle]]*Client_churn3[[#This Row],[Remise Client]]</f>
        <v>4.2510000000000003</v>
      </c>
      <c r="K474">
        <v>4</v>
      </c>
      <c r="L474"/>
    </row>
    <row r="475" spans="1:12" x14ac:dyDescent="0.25">
      <c r="A475">
        <f t="shared" si="7"/>
        <v>474</v>
      </c>
      <c r="B475" t="s">
        <v>1245</v>
      </c>
      <c r="C475" t="s">
        <v>768</v>
      </c>
      <c r="D475">
        <v>116</v>
      </c>
      <c r="E475" t="s">
        <v>755</v>
      </c>
      <c r="F475" t="str">
        <f>IF(Client_churn3[[#This Row],[Type_Forfait]]= "Pro Monde", "B2B", "B2C")</f>
        <v>B2C</v>
      </c>
      <c r="G475">
        <v>279</v>
      </c>
      <c r="H475" s="7">
        <v>62.88</v>
      </c>
      <c r="I4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5" s="9">
        <f>Client_churn3[[#This Row],[Facture_Mensuelle]]*Client_churn3[[#This Row],[Remise Client]]</f>
        <v>28.296000000000003</v>
      </c>
      <c r="K475">
        <v>4</v>
      </c>
      <c r="L475"/>
    </row>
    <row r="476" spans="1:12" x14ac:dyDescent="0.25">
      <c r="A476">
        <f t="shared" si="7"/>
        <v>475</v>
      </c>
      <c r="B476" t="s">
        <v>1246</v>
      </c>
      <c r="C476" t="s">
        <v>770</v>
      </c>
      <c r="D476">
        <v>106</v>
      </c>
      <c r="E476" t="s">
        <v>749</v>
      </c>
      <c r="F476" t="str">
        <f>IF(Client_churn3[[#This Row],[Type_Forfait]]= "Pro Monde", "B2B", "B2C")</f>
        <v>B2C</v>
      </c>
      <c r="G476">
        <v>236</v>
      </c>
      <c r="H476" s="7">
        <v>18.72</v>
      </c>
      <c r="I4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76" s="9">
        <f>Client_churn3[[#This Row],[Facture_Mensuelle]]*Client_churn3[[#This Row],[Remise Client]]</f>
        <v>0</v>
      </c>
      <c r="K476">
        <v>4</v>
      </c>
      <c r="L476"/>
    </row>
    <row r="477" spans="1:12" x14ac:dyDescent="0.25">
      <c r="A477">
        <f t="shared" si="7"/>
        <v>476</v>
      </c>
      <c r="B477" t="s">
        <v>1247</v>
      </c>
      <c r="C477" t="s">
        <v>754</v>
      </c>
      <c r="D477">
        <v>60</v>
      </c>
      <c r="E477" t="s">
        <v>743</v>
      </c>
      <c r="F477" t="str">
        <f>IF(Client_churn3[[#This Row],[Type_Forfait]]= "Pro Monde", "B2B", "B2C")</f>
        <v>B2C</v>
      </c>
      <c r="G477">
        <v>306</v>
      </c>
      <c r="H477" s="7">
        <v>63.83</v>
      </c>
      <c r="I4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7" s="9">
        <f>Client_churn3[[#This Row],[Facture_Mensuelle]]*Client_churn3[[#This Row],[Remise Client]]</f>
        <v>28.723500000000001</v>
      </c>
      <c r="K477">
        <v>2</v>
      </c>
      <c r="L477"/>
    </row>
    <row r="478" spans="1:12" x14ac:dyDescent="0.25">
      <c r="A478">
        <f t="shared" si="7"/>
        <v>477</v>
      </c>
      <c r="B478" t="s">
        <v>1248</v>
      </c>
      <c r="C478" t="s">
        <v>766</v>
      </c>
      <c r="D478">
        <v>1</v>
      </c>
      <c r="E478" t="s">
        <v>755</v>
      </c>
      <c r="F478" t="str">
        <f>IF(Client_churn3[[#This Row],[Type_Forfait]]= "Pro Monde", "B2B", "B2C")</f>
        <v>B2C</v>
      </c>
      <c r="G478">
        <v>429</v>
      </c>
      <c r="H478" s="7">
        <v>20.96</v>
      </c>
      <c r="I4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78" s="9">
        <f>Client_churn3[[#This Row],[Facture_Mensuelle]]*Client_churn3[[#This Row],[Remise Client]]</f>
        <v>9.4320000000000004</v>
      </c>
      <c r="K478">
        <v>5</v>
      </c>
      <c r="L478"/>
    </row>
    <row r="479" spans="1:12" x14ac:dyDescent="0.25">
      <c r="A479">
        <f t="shared" si="7"/>
        <v>478</v>
      </c>
      <c r="B479" t="s">
        <v>1249</v>
      </c>
      <c r="C479" t="s">
        <v>785</v>
      </c>
      <c r="D479">
        <v>110</v>
      </c>
      <c r="E479" t="s">
        <v>743</v>
      </c>
      <c r="F479" t="str">
        <f>IF(Client_churn3[[#This Row],[Type_Forfait]]= "Pro Monde", "B2B", "B2C")</f>
        <v>B2C</v>
      </c>
      <c r="G479">
        <v>132</v>
      </c>
      <c r="H479" s="7">
        <v>21.31</v>
      </c>
      <c r="I4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79" s="9">
        <f>Client_churn3[[#This Row],[Facture_Mensuelle]]*Client_churn3[[#This Row],[Remise Client]]</f>
        <v>0</v>
      </c>
      <c r="K479">
        <v>5</v>
      </c>
      <c r="L479"/>
    </row>
    <row r="480" spans="1:12" x14ac:dyDescent="0.25">
      <c r="A480">
        <f t="shared" si="7"/>
        <v>479</v>
      </c>
      <c r="B480" t="s">
        <v>1250</v>
      </c>
      <c r="C480" t="s">
        <v>778</v>
      </c>
      <c r="D480">
        <v>74</v>
      </c>
      <c r="E480" t="s">
        <v>749</v>
      </c>
      <c r="F480" t="str">
        <f>IF(Client_churn3[[#This Row],[Type_Forfait]]= "Pro Monde", "B2B", "B2C")</f>
        <v>B2C</v>
      </c>
      <c r="G480">
        <v>330</v>
      </c>
      <c r="H480" s="7">
        <v>37.82</v>
      </c>
      <c r="I4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80" s="9">
        <f>Client_churn3[[#This Row],[Facture_Mensuelle]]*Client_churn3[[#This Row],[Remise Client]]</f>
        <v>17.019000000000002</v>
      </c>
      <c r="K480">
        <v>5</v>
      </c>
      <c r="L480"/>
    </row>
    <row r="481" spans="1:12" x14ac:dyDescent="0.25">
      <c r="A481">
        <f t="shared" si="7"/>
        <v>480</v>
      </c>
      <c r="B481" t="s">
        <v>1251</v>
      </c>
      <c r="C481" t="s">
        <v>780</v>
      </c>
      <c r="D481">
        <v>14</v>
      </c>
      <c r="E481" t="s">
        <v>746</v>
      </c>
      <c r="F481" t="str">
        <f>IF(Client_churn3[[#This Row],[Type_Forfait]]= "Pro Monde", "B2B", "B2C")</f>
        <v>B2B</v>
      </c>
      <c r="G481">
        <v>101</v>
      </c>
      <c r="H481" s="7">
        <v>43.99</v>
      </c>
      <c r="I4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81" s="9">
        <f>Client_churn3[[#This Row],[Facture_Mensuelle]]*Client_churn3[[#This Row],[Remise Client]]</f>
        <v>4.399</v>
      </c>
      <c r="K481">
        <v>1</v>
      </c>
      <c r="L481"/>
    </row>
    <row r="482" spans="1:12" x14ac:dyDescent="0.25">
      <c r="A482">
        <f t="shared" si="7"/>
        <v>481</v>
      </c>
      <c r="B482" t="s">
        <v>1252</v>
      </c>
      <c r="C482" t="s">
        <v>760</v>
      </c>
      <c r="D482">
        <v>89</v>
      </c>
      <c r="E482" t="s">
        <v>755</v>
      </c>
      <c r="F482" t="str">
        <f>IF(Client_churn3[[#This Row],[Type_Forfait]]= "Pro Monde", "B2B", "B2C")</f>
        <v>B2C</v>
      </c>
      <c r="G482">
        <v>143</v>
      </c>
      <c r="H482" s="7">
        <v>48.05</v>
      </c>
      <c r="I4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2" s="9">
        <f>Client_churn3[[#This Row],[Facture_Mensuelle]]*Client_churn3[[#This Row],[Remise Client]]</f>
        <v>0</v>
      </c>
      <c r="K482">
        <v>4</v>
      </c>
      <c r="L482"/>
    </row>
    <row r="483" spans="1:12" x14ac:dyDescent="0.25">
      <c r="A483">
        <f t="shared" si="7"/>
        <v>482</v>
      </c>
      <c r="B483" t="s">
        <v>1253</v>
      </c>
      <c r="C483" t="s">
        <v>774</v>
      </c>
      <c r="D483">
        <v>19</v>
      </c>
      <c r="E483" t="s">
        <v>755</v>
      </c>
      <c r="F483" t="str">
        <f>IF(Client_churn3[[#This Row],[Type_Forfait]]= "Pro Monde", "B2B", "B2C")</f>
        <v>B2C</v>
      </c>
      <c r="G483">
        <v>270</v>
      </c>
      <c r="H483" s="7">
        <v>19.760000000000002</v>
      </c>
      <c r="I4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83" s="9">
        <f>Client_churn3[[#This Row],[Facture_Mensuelle]]*Client_churn3[[#This Row],[Remise Client]]</f>
        <v>8.8920000000000012</v>
      </c>
      <c r="K483">
        <v>3</v>
      </c>
      <c r="L483"/>
    </row>
    <row r="484" spans="1:12" x14ac:dyDescent="0.25">
      <c r="A484">
        <f t="shared" si="7"/>
        <v>483</v>
      </c>
      <c r="B484" t="s">
        <v>1254</v>
      </c>
      <c r="C484" t="s">
        <v>748</v>
      </c>
      <c r="D484">
        <v>42</v>
      </c>
      <c r="E484" t="s">
        <v>743</v>
      </c>
      <c r="F484" t="str">
        <f>IF(Client_churn3[[#This Row],[Type_Forfait]]= "Pro Monde", "B2B", "B2C")</f>
        <v>B2C</v>
      </c>
      <c r="G484">
        <v>448</v>
      </c>
      <c r="H484" s="7">
        <v>49.02</v>
      </c>
      <c r="I4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84" s="9">
        <f>Client_churn3[[#This Row],[Facture_Mensuelle]]*Client_churn3[[#This Row],[Remise Client]]</f>
        <v>22.059000000000001</v>
      </c>
      <c r="K484">
        <v>0</v>
      </c>
      <c r="L484"/>
    </row>
    <row r="485" spans="1:12" x14ac:dyDescent="0.25">
      <c r="A485">
        <f t="shared" si="7"/>
        <v>484</v>
      </c>
      <c r="B485" t="s">
        <v>1255</v>
      </c>
      <c r="C485" t="s">
        <v>802</v>
      </c>
      <c r="D485">
        <v>116</v>
      </c>
      <c r="E485" t="s">
        <v>755</v>
      </c>
      <c r="F485" t="str">
        <f>IF(Client_churn3[[#This Row],[Type_Forfait]]= "Pro Monde", "B2B", "B2C")</f>
        <v>B2C</v>
      </c>
      <c r="G485">
        <v>14</v>
      </c>
      <c r="H485" s="7">
        <v>30.38</v>
      </c>
      <c r="I4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5" s="9">
        <f>Client_churn3[[#This Row],[Facture_Mensuelle]]*Client_churn3[[#This Row],[Remise Client]]</f>
        <v>0</v>
      </c>
      <c r="K485">
        <v>1</v>
      </c>
      <c r="L485"/>
    </row>
    <row r="486" spans="1:12" x14ac:dyDescent="0.25">
      <c r="A486">
        <f t="shared" si="7"/>
        <v>485</v>
      </c>
      <c r="B486" t="s">
        <v>1256</v>
      </c>
      <c r="C486" t="s">
        <v>760</v>
      </c>
      <c r="D486">
        <v>47</v>
      </c>
      <c r="E486" t="s">
        <v>743</v>
      </c>
      <c r="F486" t="str">
        <f>IF(Client_churn3[[#This Row],[Type_Forfait]]= "Pro Monde", "B2B", "B2C")</f>
        <v>B2C</v>
      </c>
      <c r="G486">
        <v>98</v>
      </c>
      <c r="H486" s="7">
        <v>16.16</v>
      </c>
      <c r="I4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6" s="9">
        <f>Client_churn3[[#This Row],[Facture_Mensuelle]]*Client_churn3[[#This Row],[Remise Client]]</f>
        <v>0</v>
      </c>
      <c r="K486">
        <v>5</v>
      </c>
      <c r="L486"/>
    </row>
    <row r="487" spans="1:12" x14ac:dyDescent="0.25">
      <c r="A487">
        <f t="shared" si="7"/>
        <v>486</v>
      </c>
      <c r="B487" t="s">
        <v>1257</v>
      </c>
      <c r="C487" t="s">
        <v>751</v>
      </c>
      <c r="D487">
        <v>86</v>
      </c>
      <c r="E487" t="s">
        <v>755</v>
      </c>
      <c r="F487" t="str">
        <f>IF(Client_churn3[[#This Row],[Type_Forfait]]= "Pro Monde", "B2B", "B2C")</f>
        <v>B2C</v>
      </c>
      <c r="G487">
        <v>27</v>
      </c>
      <c r="H487" s="7">
        <v>84.94</v>
      </c>
      <c r="I4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7" s="9">
        <f>Client_churn3[[#This Row],[Facture_Mensuelle]]*Client_churn3[[#This Row],[Remise Client]]</f>
        <v>0</v>
      </c>
      <c r="K487">
        <v>4</v>
      </c>
      <c r="L487"/>
    </row>
    <row r="488" spans="1:12" x14ac:dyDescent="0.25">
      <c r="A488">
        <f t="shared" si="7"/>
        <v>487</v>
      </c>
      <c r="B488" t="s">
        <v>1258</v>
      </c>
      <c r="C488" t="s">
        <v>754</v>
      </c>
      <c r="D488">
        <v>86</v>
      </c>
      <c r="E488" t="s">
        <v>755</v>
      </c>
      <c r="F488" t="str">
        <f>IF(Client_churn3[[#This Row],[Type_Forfait]]= "Pro Monde", "B2B", "B2C")</f>
        <v>B2C</v>
      </c>
      <c r="G488">
        <v>278</v>
      </c>
      <c r="H488" s="7">
        <v>30.12</v>
      </c>
      <c r="I4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88" s="9">
        <f>Client_churn3[[#This Row],[Facture_Mensuelle]]*Client_churn3[[#This Row],[Remise Client]]</f>
        <v>13.554</v>
      </c>
      <c r="K488">
        <v>0</v>
      </c>
      <c r="L488"/>
    </row>
    <row r="489" spans="1:12" x14ac:dyDescent="0.25">
      <c r="A489">
        <f t="shared" si="7"/>
        <v>488</v>
      </c>
      <c r="B489" t="s">
        <v>1259</v>
      </c>
      <c r="C489" t="s">
        <v>774</v>
      </c>
      <c r="D489">
        <v>94</v>
      </c>
      <c r="E489" t="s">
        <v>749</v>
      </c>
      <c r="F489" t="str">
        <f>IF(Client_churn3[[#This Row],[Type_Forfait]]= "Pro Monde", "B2B", "B2C")</f>
        <v>B2C</v>
      </c>
      <c r="G489">
        <v>122</v>
      </c>
      <c r="H489" s="7">
        <v>95.74</v>
      </c>
      <c r="I4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89" s="9">
        <f>Client_churn3[[#This Row],[Facture_Mensuelle]]*Client_churn3[[#This Row],[Remise Client]]</f>
        <v>0</v>
      </c>
      <c r="K489">
        <v>5</v>
      </c>
      <c r="L489"/>
    </row>
    <row r="490" spans="1:12" x14ac:dyDescent="0.25">
      <c r="A490">
        <f t="shared" si="7"/>
        <v>489</v>
      </c>
      <c r="B490" t="s">
        <v>1260</v>
      </c>
      <c r="C490" t="s">
        <v>893</v>
      </c>
      <c r="D490">
        <v>66</v>
      </c>
      <c r="E490" t="s">
        <v>746</v>
      </c>
      <c r="F490" t="str">
        <f>IF(Client_churn3[[#This Row],[Type_Forfait]]= "Pro Monde", "B2B", "B2C")</f>
        <v>B2B</v>
      </c>
      <c r="G490">
        <v>152</v>
      </c>
      <c r="H490" s="7">
        <v>95.71</v>
      </c>
      <c r="I4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90" s="9">
        <f>Client_churn3[[#This Row],[Facture_Mensuelle]]*Client_churn3[[#This Row],[Remise Client]]</f>
        <v>9.5709999999999997</v>
      </c>
      <c r="K490">
        <v>3</v>
      </c>
      <c r="L490"/>
    </row>
    <row r="491" spans="1:12" x14ac:dyDescent="0.25">
      <c r="A491">
        <f t="shared" si="7"/>
        <v>490</v>
      </c>
      <c r="B491" t="s">
        <v>1261</v>
      </c>
      <c r="C491" t="s">
        <v>770</v>
      </c>
      <c r="D491">
        <v>114</v>
      </c>
      <c r="E491" t="s">
        <v>746</v>
      </c>
      <c r="F491" t="str">
        <f>IF(Client_churn3[[#This Row],[Type_Forfait]]= "Pro Monde", "B2B", "B2C")</f>
        <v>B2B</v>
      </c>
      <c r="G491">
        <v>220</v>
      </c>
      <c r="H491" s="7">
        <v>63.67</v>
      </c>
      <c r="I4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91" s="9">
        <f>Client_churn3[[#This Row],[Facture_Mensuelle]]*Client_churn3[[#This Row],[Remise Client]]</f>
        <v>6.3670000000000009</v>
      </c>
      <c r="K491">
        <v>5</v>
      </c>
      <c r="L491"/>
    </row>
    <row r="492" spans="1:12" x14ac:dyDescent="0.25">
      <c r="A492">
        <f t="shared" si="7"/>
        <v>491</v>
      </c>
      <c r="B492" t="s">
        <v>1262</v>
      </c>
      <c r="C492" t="s">
        <v>742</v>
      </c>
      <c r="D492">
        <v>36</v>
      </c>
      <c r="E492" t="s">
        <v>743</v>
      </c>
      <c r="F492" t="str">
        <f>IF(Client_churn3[[#This Row],[Type_Forfait]]= "Pro Monde", "B2B", "B2C")</f>
        <v>B2C</v>
      </c>
      <c r="G492">
        <v>311</v>
      </c>
      <c r="H492" s="7">
        <v>13.19</v>
      </c>
      <c r="I4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92" s="9">
        <f>Client_churn3[[#This Row],[Facture_Mensuelle]]*Client_churn3[[#This Row],[Remise Client]]</f>
        <v>5.9355000000000002</v>
      </c>
      <c r="K492">
        <v>4</v>
      </c>
      <c r="L492"/>
    </row>
    <row r="493" spans="1:12" x14ac:dyDescent="0.25">
      <c r="A493">
        <f t="shared" si="7"/>
        <v>492</v>
      </c>
      <c r="B493" t="s">
        <v>1263</v>
      </c>
      <c r="C493" t="s">
        <v>742</v>
      </c>
      <c r="D493">
        <v>94</v>
      </c>
      <c r="E493" t="s">
        <v>749</v>
      </c>
      <c r="F493" t="str">
        <f>IF(Client_churn3[[#This Row],[Type_Forfait]]= "Pro Monde", "B2B", "B2C")</f>
        <v>B2C</v>
      </c>
      <c r="G493">
        <v>115</v>
      </c>
      <c r="H493" s="7">
        <v>19.12</v>
      </c>
      <c r="I4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93" s="9">
        <f>Client_churn3[[#This Row],[Facture_Mensuelle]]*Client_churn3[[#This Row],[Remise Client]]</f>
        <v>0</v>
      </c>
      <c r="K493">
        <v>0</v>
      </c>
      <c r="L493"/>
    </row>
    <row r="494" spans="1:12" x14ac:dyDescent="0.25">
      <c r="A494">
        <f t="shared" si="7"/>
        <v>493</v>
      </c>
      <c r="B494" t="s">
        <v>1264</v>
      </c>
      <c r="C494" t="s">
        <v>751</v>
      </c>
      <c r="D494">
        <v>65</v>
      </c>
      <c r="E494" t="s">
        <v>755</v>
      </c>
      <c r="F494" t="str">
        <f>IF(Client_churn3[[#This Row],[Type_Forfait]]= "Pro Monde", "B2B", "B2C")</f>
        <v>B2C</v>
      </c>
      <c r="G494">
        <v>397</v>
      </c>
      <c r="H494" s="7">
        <v>22.6</v>
      </c>
      <c r="I4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94" s="9">
        <f>Client_churn3[[#This Row],[Facture_Mensuelle]]*Client_churn3[[#This Row],[Remise Client]]</f>
        <v>10.170000000000002</v>
      </c>
      <c r="K494">
        <v>5</v>
      </c>
      <c r="L494"/>
    </row>
    <row r="495" spans="1:12" x14ac:dyDescent="0.25">
      <c r="A495">
        <f t="shared" si="7"/>
        <v>494</v>
      </c>
      <c r="B495" t="s">
        <v>1265</v>
      </c>
      <c r="C495" t="s">
        <v>754</v>
      </c>
      <c r="D495">
        <v>118</v>
      </c>
      <c r="E495" t="s">
        <v>749</v>
      </c>
      <c r="F495" t="str">
        <f>IF(Client_churn3[[#This Row],[Type_Forfait]]= "Pro Monde", "B2B", "B2C")</f>
        <v>B2C</v>
      </c>
      <c r="G495">
        <v>489</v>
      </c>
      <c r="H495" s="7">
        <v>76.22</v>
      </c>
      <c r="I4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95" s="9">
        <f>Client_churn3[[#This Row],[Facture_Mensuelle]]*Client_churn3[[#This Row],[Remise Client]]</f>
        <v>34.298999999999999</v>
      </c>
      <c r="K495">
        <v>2</v>
      </c>
      <c r="L495"/>
    </row>
    <row r="496" spans="1:12" x14ac:dyDescent="0.25">
      <c r="A496">
        <f t="shared" si="7"/>
        <v>495</v>
      </c>
      <c r="B496" t="s">
        <v>1266</v>
      </c>
      <c r="C496" t="s">
        <v>780</v>
      </c>
      <c r="D496">
        <v>23</v>
      </c>
      <c r="E496" t="s">
        <v>755</v>
      </c>
      <c r="F496" t="str">
        <f>IF(Client_churn3[[#This Row],[Type_Forfait]]= "Pro Monde", "B2B", "B2C")</f>
        <v>B2C</v>
      </c>
      <c r="G496">
        <v>314</v>
      </c>
      <c r="H496" s="7">
        <v>19.260000000000002</v>
      </c>
      <c r="I4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496" s="9">
        <f>Client_churn3[[#This Row],[Facture_Mensuelle]]*Client_churn3[[#This Row],[Remise Client]]</f>
        <v>8.6670000000000016</v>
      </c>
      <c r="K496">
        <v>3</v>
      </c>
      <c r="L496"/>
    </row>
    <row r="497" spans="1:12" x14ac:dyDescent="0.25">
      <c r="A497">
        <f t="shared" si="7"/>
        <v>496</v>
      </c>
      <c r="B497" t="s">
        <v>1267</v>
      </c>
      <c r="C497" t="s">
        <v>742</v>
      </c>
      <c r="D497">
        <v>85</v>
      </c>
      <c r="E497" t="s">
        <v>746</v>
      </c>
      <c r="F497" t="str">
        <f>IF(Client_churn3[[#This Row],[Type_Forfait]]= "Pro Monde", "B2B", "B2C")</f>
        <v>B2B</v>
      </c>
      <c r="G497">
        <v>60</v>
      </c>
      <c r="H497" s="7">
        <v>26.3</v>
      </c>
      <c r="I4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497" s="9">
        <f>Client_churn3[[#This Row],[Facture_Mensuelle]]*Client_churn3[[#This Row],[Remise Client]]</f>
        <v>2.6300000000000003</v>
      </c>
      <c r="K497">
        <v>2</v>
      </c>
      <c r="L497"/>
    </row>
    <row r="498" spans="1:12" x14ac:dyDescent="0.25">
      <c r="A498">
        <f t="shared" si="7"/>
        <v>497</v>
      </c>
      <c r="B498" t="s">
        <v>1268</v>
      </c>
      <c r="C498" t="s">
        <v>806</v>
      </c>
      <c r="D498">
        <v>92</v>
      </c>
      <c r="E498" t="s">
        <v>743</v>
      </c>
      <c r="F498" t="str">
        <f>IF(Client_churn3[[#This Row],[Type_Forfait]]= "Pro Monde", "B2B", "B2C")</f>
        <v>B2C</v>
      </c>
      <c r="G498">
        <v>6</v>
      </c>
      <c r="H498" s="7">
        <v>77.14</v>
      </c>
      <c r="I4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98" s="9">
        <f>Client_churn3[[#This Row],[Facture_Mensuelle]]*Client_churn3[[#This Row],[Remise Client]]</f>
        <v>0</v>
      </c>
      <c r="K498">
        <v>5</v>
      </c>
      <c r="L498"/>
    </row>
    <row r="499" spans="1:12" x14ac:dyDescent="0.25">
      <c r="A499">
        <f t="shared" si="7"/>
        <v>498</v>
      </c>
      <c r="B499" t="s">
        <v>1269</v>
      </c>
      <c r="C499" t="s">
        <v>842</v>
      </c>
      <c r="D499">
        <v>117</v>
      </c>
      <c r="E499" t="s">
        <v>749</v>
      </c>
      <c r="F499" t="str">
        <f>IF(Client_churn3[[#This Row],[Type_Forfait]]= "Pro Monde", "B2B", "B2C")</f>
        <v>B2C</v>
      </c>
      <c r="G499">
        <v>39</v>
      </c>
      <c r="H499" s="7">
        <v>26.53</v>
      </c>
      <c r="I4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499" s="9">
        <f>Client_churn3[[#This Row],[Facture_Mensuelle]]*Client_churn3[[#This Row],[Remise Client]]</f>
        <v>0</v>
      </c>
      <c r="K499">
        <v>1</v>
      </c>
      <c r="L499"/>
    </row>
    <row r="500" spans="1:12" x14ac:dyDescent="0.25">
      <c r="A500">
        <f t="shared" si="7"/>
        <v>499</v>
      </c>
      <c r="B500" t="s">
        <v>1270</v>
      </c>
      <c r="C500" t="s">
        <v>751</v>
      </c>
      <c r="D500">
        <v>114</v>
      </c>
      <c r="E500" t="s">
        <v>755</v>
      </c>
      <c r="F500" t="str">
        <f>IF(Client_churn3[[#This Row],[Type_Forfait]]= "Pro Monde", "B2B", "B2C")</f>
        <v>B2C</v>
      </c>
      <c r="G500">
        <v>232</v>
      </c>
      <c r="H500" s="7">
        <v>42.2</v>
      </c>
      <c r="I5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0" s="9">
        <f>Client_churn3[[#This Row],[Facture_Mensuelle]]*Client_churn3[[#This Row],[Remise Client]]</f>
        <v>0</v>
      </c>
      <c r="K500">
        <v>2</v>
      </c>
      <c r="L500"/>
    </row>
    <row r="501" spans="1:12" x14ac:dyDescent="0.25">
      <c r="A501">
        <f t="shared" si="7"/>
        <v>500</v>
      </c>
      <c r="B501" t="s">
        <v>1271</v>
      </c>
      <c r="C501" t="s">
        <v>799</v>
      </c>
      <c r="D501">
        <v>64</v>
      </c>
      <c r="E501" t="s">
        <v>743</v>
      </c>
      <c r="F501" t="str">
        <f>IF(Client_churn3[[#This Row],[Type_Forfait]]= "Pro Monde", "B2B", "B2C")</f>
        <v>B2C</v>
      </c>
      <c r="G501">
        <v>250</v>
      </c>
      <c r="H501" s="7">
        <v>56.7</v>
      </c>
      <c r="I5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01" s="9">
        <f>Client_churn3[[#This Row],[Facture_Mensuelle]]*Client_churn3[[#This Row],[Remise Client]]</f>
        <v>25.515000000000001</v>
      </c>
      <c r="K501">
        <v>0</v>
      </c>
      <c r="L501"/>
    </row>
    <row r="502" spans="1:12" x14ac:dyDescent="0.25">
      <c r="A502">
        <f t="shared" si="7"/>
        <v>501</v>
      </c>
      <c r="B502" t="s">
        <v>1272</v>
      </c>
      <c r="C502" t="s">
        <v>745</v>
      </c>
      <c r="D502">
        <v>88</v>
      </c>
      <c r="E502" t="s">
        <v>755</v>
      </c>
      <c r="F502" t="str">
        <f>IF(Client_churn3[[#This Row],[Type_Forfait]]= "Pro Monde", "B2B", "B2C")</f>
        <v>B2C</v>
      </c>
      <c r="G502">
        <v>219</v>
      </c>
      <c r="H502" s="7">
        <v>59.15</v>
      </c>
      <c r="I5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2" s="9">
        <f>Client_churn3[[#This Row],[Facture_Mensuelle]]*Client_churn3[[#This Row],[Remise Client]]</f>
        <v>0</v>
      </c>
      <c r="K502">
        <v>0</v>
      </c>
      <c r="L502"/>
    </row>
    <row r="503" spans="1:12" x14ac:dyDescent="0.25">
      <c r="A503">
        <f t="shared" si="7"/>
        <v>502</v>
      </c>
      <c r="B503" t="s">
        <v>1273</v>
      </c>
      <c r="C503" t="s">
        <v>806</v>
      </c>
      <c r="D503">
        <v>25</v>
      </c>
      <c r="E503" t="s">
        <v>743</v>
      </c>
      <c r="F503" t="str">
        <f>IF(Client_churn3[[#This Row],[Type_Forfait]]= "Pro Monde", "B2B", "B2C")</f>
        <v>B2C</v>
      </c>
      <c r="G503">
        <v>131</v>
      </c>
      <c r="H503" s="7">
        <v>67.489999999999995</v>
      </c>
      <c r="I5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3" s="9">
        <f>Client_churn3[[#This Row],[Facture_Mensuelle]]*Client_churn3[[#This Row],[Remise Client]]</f>
        <v>0</v>
      </c>
      <c r="K503">
        <v>0</v>
      </c>
      <c r="L503"/>
    </row>
    <row r="504" spans="1:12" x14ac:dyDescent="0.25">
      <c r="A504">
        <f t="shared" si="7"/>
        <v>503</v>
      </c>
      <c r="B504" t="s">
        <v>1274</v>
      </c>
      <c r="C504" t="s">
        <v>893</v>
      </c>
      <c r="D504">
        <v>32</v>
      </c>
      <c r="E504" t="s">
        <v>749</v>
      </c>
      <c r="F504" t="str">
        <f>IF(Client_churn3[[#This Row],[Type_Forfait]]= "Pro Monde", "B2B", "B2C")</f>
        <v>B2C</v>
      </c>
      <c r="G504">
        <v>405</v>
      </c>
      <c r="H504" s="7">
        <v>67.92</v>
      </c>
      <c r="I5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04" s="9">
        <f>Client_churn3[[#This Row],[Facture_Mensuelle]]*Client_churn3[[#This Row],[Remise Client]]</f>
        <v>30.564</v>
      </c>
      <c r="K504">
        <v>3</v>
      </c>
      <c r="L504"/>
    </row>
    <row r="505" spans="1:12" x14ac:dyDescent="0.25">
      <c r="A505">
        <f t="shared" si="7"/>
        <v>504</v>
      </c>
      <c r="B505" t="s">
        <v>1275</v>
      </c>
      <c r="C505" t="s">
        <v>834</v>
      </c>
      <c r="D505">
        <v>41</v>
      </c>
      <c r="E505" t="s">
        <v>743</v>
      </c>
      <c r="F505" t="str">
        <f>IF(Client_churn3[[#This Row],[Type_Forfait]]= "Pro Monde", "B2B", "B2C")</f>
        <v>B2C</v>
      </c>
      <c r="G505">
        <v>2</v>
      </c>
      <c r="H505" s="7">
        <v>24.91</v>
      </c>
      <c r="I5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5" s="9">
        <f>Client_churn3[[#This Row],[Facture_Mensuelle]]*Client_churn3[[#This Row],[Remise Client]]</f>
        <v>0</v>
      </c>
      <c r="K505">
        <v>1</v>
      </c>
      <c r="L505"/>
    </row>
    <row r="506" spans="1:12" x14ac:dyDescent="0.25">
      <c r="A506">
        <f t="shared" si="7"/>
        <v>505</v>
      </c>
      <c r="B506" t="s">
        <v>1276</v>
      </c>
      <c r="C506" t="s">
        <v>774</v>
      </c>
      <c r="D506">
        <v>103</v>
      </c>
      <c r="E506" t="s">
        <v>755</v>
      </c>
      <c r="F506" t="str">
        <f>IF(Client_churn3[[#This Row],[Type_Forfait]]= "Pro Monde", "B2B", "B2C")</f>
        <v>B2C</v>
      </c>
      <c r="G506">
        <v>354</v>
      </c>
      <c r="H506" s="7">
        <v>26.19</v>
      </c>
      <c r="I5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06" s="9">
        <f>Client_churn3[[#This Row],[Facture_Mensuelle]]*Client_churn3[[#This Row],[Remise Client]]</f>
        <v>11.785500000000001</v>
      </c>
      <c r="K506">
        <v>4</v>
      </c>
      <c r="L506"/>
    </row>
    <row r="507" spans="1:12" x14ac:dyDescent="0.25">
      <c r="A507">
        <f t="shared" si="7"/>
        <v>506</v>
      </c>
      <c r="B507" t="s">
        <v>1277</v>
      </c>
      <c r="C507" t="s">
        <v>764</v>
      </c>
      <c r="D507">
        <v>108</v>
      </c>
      <c r="E507" t="s">
        <v>755</v>
      </c>
      <c r="F507" t="str">
        <f>IF(Client_churn3[[#This Row],[Type_Forfait]]= "Pro Monde", "B2B", "B2C")</f>
        <v>B2C</v>
      </c>
      <c r="G507">
        <v>323</v>
      </c>
      <c r="H507" s="7">
        <v>58.54</v>
      </c>
      <c r="I5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07" s="9">
        <f>Client_churn3[[#This Row],[Facture_Mensuelle]]*Client_churn3[[#This Row],[Remise Client]]</f>
        <v>26.343</v>
      </c>
      <c r="K507">
        <v>2</v>
      </c>
      <c r="L507"/>
    </row>
    <row r="508" spans="1:12" x14ac:dyDescent="0.25">
      <c r="A508">
        <f t="shared" si="7"/>
        <v>507</v>
      </c>
      <c r="B508" t="s">
        <v>1278</v>
      </c>
      <c r="C508" t="s">
        <v>780</v>
      </c>
      <c r="D508">
        <v>111</v>
      </c>
      <c r="E508" t="s">
        <v>749</v>
      </c>
      <c r="F508" t="str">
        <f>IF(Client_churn3[[#This Row],[Type_Forfait]]= "Pro Monde", "B2B", "B2C")</f>
        <v>B2C</v>
      </c>
      <c r="G508">
        <v>54</v>
      </c>
      <c r="H508" s="7">
        <v>71.3</v>
      </c>
      <c r="I5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8" s="9">
        <f>Client_churn3[[#This Row],[Facture_Mensuelle]]*Client_churn3[[#This Row],[Remise Client]]</f>
        <v>0</v>
      </c>
      <c r="K508">
        <v>0</v>
      </c>
      <c r="L508"/>
    </row>
    <row r="509" spans="1:12" x14ac:dyDescent="0.25">
      <c r="A509">
        <f t="shared" si="7"/>
        <v>508</v>
      </c>
      <c r="B509" t="s">
        <v>1279</v>
      </c>
      <c r="C509" t="s">
        <v>760</v>
      </c>
      <c r="D509">
        <v>6</v>
      </c>
      <c r="E509" t="s">
        <v>743</v>
      </c>
      <c r="F509" t="str">
        <f>IF(Client_churn3[[#This Row],[Type_Forfait]]= "Pro Monde", "B2B", "B2C")</f>
        <v>B2C</v>
      </c>
      <c r="G509">
        <v>6</v>
      </c>
      <c r="H509" s="7">
        <v>72.27</v>
      </c>
      <c r="I5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09" s="9">
        <f>Client_churn3[[#This Row],[Facture_Mensuelle]]*Client_churn3[[#This Row],[Remise Client]]</f>
        <v>0</v>
      </c>
      <c r="K509">
        <v>4</v>
      </c>
      <c r="L509"/>
    </row>
    <row r="510" spans="1:12" x14ac:dyDescent="0.25">
      <c r="A510">
        <f t="shared" si="7"/>
        <v>509</v>
      </c>
      <c r="B510" t="s">
        <v>1280</v>
      </c>
      <c r="C510" t="s">
        <v>834</v>
      </c>
      <c r="D510">
        <v>81</v>
      </c>
      <c r="E510" t="s">
        <v>746</v>
      </c>
      <c r="F510" t="str">
        <f>IF(Client_churn3[[#This Row],[Type_Forfait]]= "Pro Monde", "B2B", "B2C")</f>
        <v>B2B</v>
      </c>
      <c r="G510">
        <v>443</v>
      </c>
      <c r="H510" s="7">
        <v>32.78</v>
      </c>
      <c r="I5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10" s="9">
        <f>Client_churn3[[#This Row],[Facture_Mensuelle]]*Client_churn3[[#This Row],[Remise Client]]</f>
        <v>3.2780000000000005</v>
      </c>
      <c r="K510">
        <v>1</v>
      </c>
      <c r="L510"/>
    </row>
    <row r="511" spans="1:12" x14ac:dyDescent="0.25">
      <c r="A511">
        <f t="shared" si="7"/>
        <v>510</v>
      </c>
      <c r="B511" t="s">
        <v>1281</v>
      </c>
      <c r="C511" t="s">
        <v>745</v>
      </c>
      <c r="D511">
        <v>86</v>
      </c>
      <c r="E511" t="s">
        <v>746</v>
      </c>
      <c r="F511" t="str">
        <f>IF(Client_churn3[[#This Row],[Type_Forfait]]= "Pro Monde", "B2B", "B2C")</f>
        <v>B2B</v>
      </c>
      <c r="G511">
        <v>192</v>
      </c>
      <c r="H511" s="7">
        <v>26.26</v>
      </c>
      <c r="I5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11" s="9">
        <f>Client_churn3[[#This Row],[Facture_Mensuelle]]*Client_churn3[[#This Row],[Remise Client]]</f>
        <v>2.6260000000000003</v>
      </c>
      <c r="K511">
        <v>1</v>
      </c>
      <c r="L511"/>
    </row>
    <row r="512" spans="1:12" x14ac:dyDescent="0.25">
      <c r="A512">
        <f t="shared" si="7"/>
        <v>511</v>
      </c>
      <c r="B512" t="s">
        <v>1282</v>
      </c>
      <c r="C512" t="s">
        <v>780</v>
      </c>
      <c r="D512">
        <v>60</v>
      </c>
      <c r="E512" t="s">
        <v>749</v>
      </c>
      <c r="F512" t="str">
        <f>IF(Client_churn3[[#This Row],[Type_Forfait]]= "Pro Monde", "B2B", "B2C")</f>
        <v>B2C</v>
      </c>
      <c r="G512">
        <v>54</v>
      </c>
      <c r="H512" s="7">
        <v>67.180000000000007</v>
      </c>
      <c r="I5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12" s="9">
        <f>Client_churn3[[#This Row],[Facture_Mensuelle]]*Client_churn3[[#This Row],[Remise Client]]</f>
        <v>0</v>
      </c>
      <c r="K512">
        <v>3</v>
      </c>
      <c r="L512"/>
    </row>
    <row r="513" spans="1:12" x14ac:dyDescent="0.25">
      <c r="A513">
        <f t="shared" si="7"/>
        <v>512</v>
      </c>
      <c r="B513" t="s">
        <v>1283</v>
      </c>
      <c r="C513" t="s">
        <v>799</v>
      </c>
      <c r="D513">
        <v>49</v>
      </c>
      <c r="E513" t="s">
        <v>755</v>
      </c>
      <c r="F513" t="str">
        <f>IF(Client_churn3[[#This Row],[Type_Forfait]]= "Pro Monde", "B2B", "B2C")</f>
        <v>B2C</v>
      </c>
      <c r="G513">
        <v>357</v>
      </c>
      <c r="H513" s="7">
        <v>96.67</v>
      </c>
      <c r="I5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13" s="9">
        <f>Client_churn3[[#This Row],[Facture_Mensuelle]]*Client_churn3[[#This Row],[Remise Client]]</f>
        <v>43.5015</v>
      </c>
      <c r="K513">
        <v>3</v>
      </c>
      <c r="L513"/>
    </row>
    <row r="514" spans="1:12" x14ac:dyDescent="0.25">
      <c r="A514">
        <f t="shared" si="7"/>
        <v>513</v>
      </c>
      <c r="B514" t="s">
        <v>1284</v>
      </c>
      <c r="C514" t="s">
        <v>799</v>
      </c>
      <c r="D514">
        <v>69</v>
      </c>
      <c r="E514" t="s">
        <v>743</v>
      </c>
      <c r="F514" t="str">
        <f>IF(Client_churn3[[#This Row],[Type_Forfait]]= "Pro Monde", "B2B", "B2C")</f>
        <v>B2C</v>
      </c>
      <c r="G514">
        <v>180</v>
      </c>
      <c r="H514" s="7">
        <v>76.05</v>
      </c>
      <c r="I5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14" s="9">
        <f>Client_churn3[[#This Row],[Facture_Mensuelle]]*Client_churn3[[#This Row],[Remise Client]]</f>
        <v>0</v>
      </c>
      <c r="K514">
        <v>2</v>
      </c>
      <c r="L514"/>
    </row>
    <row r="515" spans="1:12" x14ac:dyDescent="0.25">
      <c r="A515">
        <f t="shared" si="7"/>
        <v>514</v>
      </c>
      <c r="B515" t="s">
        <v>1285</v>
      </c>
      <c r="C515" t="s">
        <v>780</v>
      </c>
      <c r="D515">
        <v>87</v>
      </c>
      <c r="E515" t="s">
        <v>746</v>
      </c>
      <c r="F515" t="str">
        <f>IF(Client_churn3[[#This Row],[Type_Forfait]]= "Pro Monde", "B2B", "B2C")</f>
        <v>B2B</v>
      </c>
      <c r="G515">
        <v>442</v>
      </c>
      <c r="H515" s="7">
        <v>22.39</v>
      </c>
      <c r="I5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15" s="9">
        <f>Client_churn3[[#This Row],[Facture_Mensuelle]]*Client_churn3[[#This Row],[Remise Client]]</f>
        <v>2.2390000000000003</v>
      </c>
      <c r="K515">
        <v>3</v>
      </c>
      <c r="L515"/>
    </row>
    <row r="516" spans="1:12" x14ac:dyDescent="0.25">
      <c r="A516">
        <f t="shared" si="7"/>
        <v>515</v>
      </c>
      <c r="B516" t="s">
        <v>1286</v>
      </c>
      <c r="C516" t="s">
        <v>799</v>
      </c>
      <c r="D516">
        <v>58</v>
      </c>
      <c r="E516" t="s">
        <v>743</v>
      </c>
      <c r="F516" t="str">
        <f>IF(Client_churn3[[#This Row],[Type_Forfait]]= "Pro Monde", "B2B", "B2C")</f>
        <v>B2C</v>
      </c>
      <c r="G516">
        <v>293</v>
      </c>
      <c r="H516" s="7">
        <v>88.85</v>
      </c>
      <c r="I5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16" s="9">
        <f>Client_churn3[[#This Row],[Facture_Mensuelle]]*Client_churn3[[#This Row],[Remise Client]]</f>
        <v>39.982500000000002</v>
      </c>
      <c r="K516">
        <v>5</v>
      </c>
      <c r="L516"/>
    </row>
    <row r="517" spans="1:12" x14ac:dyDescent="0.25">
      <c r="A517">
        <f t="shared" ref="A517:A580" si="8">A516+1</f>
        <v>516</v>
      </c>
      <c r="B517" t="s">
        <v>1287</v>
      </c>
      <c r="C517" t="s">
        <v>782</v>
      </c>
      <c r="D517">
        <v>85</v>
      </c>
      <c r="E517" t="s">
        <v>746</v>
      </c>
      <c r="F517" t="str">
        <f>IF(Client_churn3[[#This Row],[Type_Forfait]]= "Pro Monde", "B2B", "B2C")</f>
        <v>B2B</v>
      </c>
      <c r="G517">
        <v>28</v>
      </c>
      <c r="H517" s="7">
        <v>83.82</v>
      </c>
      <c r="I5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17" s="9">
        <f>Client_churn3[[#This Row],[Facture_Mensuelle]]*Client_churn3[[#This Row],[Remise Client]]</f>
        <v>8.3819999999999997</v>
      </c>
      <c r="K517">
        <v>0</v>
      </c>
      <c r="L517"/>
    </row>
    <row r="518" spans="1:12" x14ac:dyDescent="0.25">
      <c r="A518">
        <f t="shared" si="8"/>
        <v>517</v>
      </c>
      <c r="B518" t="s">
        <v>1288</v>
      </c>
      <c r="C518" t="s">
        <v>770</v>
      </c>
      <c r="D518">
        <v>117</v>
      </c>
      <c r="E518" t="s">
        <v>743</v>
      </c>
      <c r="F518" t="str">
        <f>IF(Client_churn3[[#This Row],[Type_Forfait]]= "Pro Monde", "B2B", "B2C")</f>
        <v>B2C</v>
      </c>
      <c r="G518">
        <v>85</v>
      </c>
      <c r="H518" s="7">
        <v>46.16</v>
      </c>
      <c r="I5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18" s="9">
        <f>Client_churn3[[#This Row],[Facture_Mensuelle]]*Client_churn3[[#This Row],[Remise Client]]</f>
        <v>0</v>
      </c>
      <c r="K518">
        <v>3</v>
      </c>
      <c r="L518"/>
    </row>
    <row r="519" spans="1:12" x14ac:dyDescent="0.25">
      <c r="A519">
        <f t="shared" si="8"/>
        <v>518</v>
      </c>
      <c r="B519" t="s">
        <v>1289</v>
      </c>
      <c r="C519" t="s">
        <v>778</v>
      </c>
      <c r="D519">
        <v>4</v>
      </c>
      <c r="E519" t="s">
        <v>746</v>
      </c>
      <c r="F519" t="str">
        <f>IF(Client_churn3[[#This Row],[Type_Forfait]]= "Pro Monde", "B2B", "B2C")</f>
        <v>B2B</v>
      </c>
      <c r="G519">
        <v>372</v>
      </c>
      <c r="H519" s="7">
        <v>26.73</v>
      </c>
      <c r="I5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19" s="9">
        <f>Client_churn3[[#This Row],[Facture_Mensuelle]]*Client_churn3[[#This Row],[Remise Client]]</f>
        <v>2.673</v>
      </c>
      <c r="K519">
        <v>3</v>
      </c>
      <c r="L519"/>
    </row>
    <row r="520" spans="1:12" x14ac:dyDescent="0.25">
      <c r="A520">
        <f t="shared" si="8"/>
        <v>519</v>
      </c>
      <c r="B520" t="s">
        <v>1290</v>
      </c>
      <c r="C520" t="s">
        <v>842</v>
      </c>
      <c r="D520">
        <v>97</v>
      </c>
      <c r="E520" t="s">
        <v>743</v>
      </c>
      <c r="F520" t="str">
        <f>IF(Client_churn3[[#This Row],[Type_Forfait]]= "Pro Monde", "B2B", "B2C")</f>
        <v>B2C</v>
      </c>
      <c r="G520">
        <v>173</v>
      </c>
      <c r="H520" s="7">
        <v>19.37</v>
      </c>
      <c r="I5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0" s="9">
        <f>Client_churn3[[#This Row],[Facture_Mensuelle]]*Client_churn3[[#This Row],[Remise Client]]</f>
        <v>0</v>
      </c>
      <c r="K520">
        <v>5</v>
      </c>
      <c r="L520"/>
    </row>
    <row r="521" spans="1:12" x14ac:dyDescent="0.25">
      <c r="A521">
        <f t="shared" si="8"/>
        <v>520</v>
      </c>
      <c r="B521" t="s">
        <v>1291</v>
      </c>
      <c r="C521" t="s">
        <v>766</v>
      </c>
      <c r="D521">
        <v>33</v>
      </c>
      <c r="E521" t="s">
        <v>743</v>
      </c>
      <c r="F521" t="str">
        <f>IF(Client_churn3[[#This Row],[Type_Forfait]]= "Pro Monde", "B2B", "B2C")</f>
        <v>B2C</v>
      </c>
      <c r="G521">
        <v>273</v>
      </c>
      <c r="H521" s="7">
        <v>49.8</v>
      </c>
      <c r="I5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21" s="9">
        <f>Client_churn3[[#This Row],[Facture_Mensuelle]]*Client_churn3[[#This Row],[Remise Client]]</f>
        <v>22.41</v>
      </c>
      <c r="K521">
        <v>0</v>
      </c>
      <c r="L521"/>
    </row>
    <row r="522" spans="1:12" x14ac:dyDescent="0.25">
      <c r="A522">
        <f t="shared" si="8"/>
        <v>521</v>
      </c>
      <c r="B522" t="s">
        <v>1292</v>
      </c>
      <c r="C522" t="s">
        <v>842</v>
      </c>
      <c r="D522">
        <v>41</v>
      </c>
      <c r="E522" t="s">
        <v>755</v>
      </c>
      <c r="F522" t="str">
        <f>IF(Client_churn3[[#This Row],[Type_Forfait]]= "Pro Monde", "B2B", "B2C")</f>
        <v>B2C</v>
      </c>
      <c r="G522">
        <v>383</v>
      </c>
      <c r="H522" s="7">
        <v>27.53</v>
      </c>
      <c r="I5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22" s="9">
        <f>Client_churn3[[#This Row],[Facture_Mensuelle]]*Client_churn3[[#This Row],[Remise Client]]</f>
        <v>12.388500000000001</v>
      </c>
      <c r="K522">
        <v>4</v>
      </c>
      <c r="L522"/>
    </row>
    <row r="523" spans="1:12" x14ac:dyDescent="0.25">
      <c r="A523">
        <f t="shared" si="8"/>
        <v>522</v>
      </c>
      <c r="B523" t="s">
        <v>1293</v>
      </c>
      <c r="C523" t="s">
        <v>809</v>
      </c>
      <c r="D523">
        <v>77</v>
      </c>
      <c r="E523" t="s">
        <v>749</v>
      </c>
      <c r="F523" t="str">
        <f>IF(Client_churn3[[#This Row],[Type_Forfait]]= "Pro Monde", "B2B", "B2C")</f>
        <v>B2C</v>
      </c>
      <c r="G523">
        <v>45</v>
      </c>
      <c r="H523" s="7">
        <v>21.59</v>
      </c>
      <c r="I5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3" s="9">
        <f>Client_churn3[[#This Row],[Facture_Mensuelle]]*Client_churn3[[#This Row],[Remise Client]]</f>
        <v>0</v>
      </c>
      <c r="K523">
        <v>2</v>
      </c>
      <c r="L523"/>
    </row>
    <row r="524" spans="1:12" x14ac:dyDescent="0.25">
      <c r="A524">
        <f t="shared" si="8"/>
        <v>523</v>
      </c>
      <c r="B524" t="s">
        <v>1294</v>
      </c>
      <c r="C524" t="s">
        <v>802</v>
      </c>
      <c r="D524">
        <v>2</v>
      </c>
      <c r="E524" t="s">
        <v>743</v>
      </c>
      <c r="F524" t="str">
        <f>IF(Client_churn3[[#This Row],[Type_Forfait]]= "Pro Monde", "B2B", "B2C")</f>
        <v>B2C</v>
      </c>
      <c r="G524">
        <v>142</v>
      </c>
      <c r="H524" s="7">
        <v>49.05</v>
      </c>
      <c r="I5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4" s="9">
        <f>Client_churn3[[#This Row],[Facture_Mensuelle]]*Client_churn3[[#This Row],[Remise Client]]</f>
        <v>0</v>
      </c>
      <c r="K524">
        <v>4</v>
      </c>
      <c r="L524"/>
    </row>
    <row r="525" spans="1:12" x14ac:dyDescent="0.25">
      <c r="A525">
        <f t="shared" si="8"/>
        <v>524</v>
      </c>
      <c r="B525" t="s">
        <v>1295</v>
      </c>
      <c r="C525" t="s">
        <v>796</v>
      </c>
      <c r="D525">
        <v>13</v>
      </c>
      <c r="E525" t="s">
        <v>749</v>
      </c>
      <c r="F525" t="str">
        <f>IF(Client_churn3[[#This Row],[Type_Forfait]]= "Pro Monde", "B2B", "B2C")</f>
        <v>B2C</v>
      </c>
      <c r="G525">
        <v>310</v>
      </c>
      <c r="H525" s="7">
        <v>65.599999999999994</v>
      </c>
      <c r="I5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25" s="9">
        <f>Client_churn3[[#This Row],[Facture_Mensuelle]]*Client_churn3[[#This Row],[Remise Client]]</f>
        <v>29.52</v>
      </c>
      <c r="K525">
        <v>5</v>
      </c>
      <c r="L525"/>
    </row>
    <row r="526" spans="1:12" x14ac:dyDescent="0.25">
      <c r="A526">
        <f t="shared" si="8"/>
        <v>525</v>
      </c>
      <c r="B526" t="s">
        <v>1296</v>
      </c>
      <c r="C526" t="s">
        <v>806</v>
      </c>
      <c r="D526">
        <v>78</v>
      </c>
      <c r="E526" t="s">
        <v>743</v>
      </c>
      <c r="F526" t="str">
        <f>IF(Client_churn3[[#This Row],[Type_Forfait]]= "Pro Monde", "B2B", "B2C")</f>
        <v>B2C</v>
      </c>
      <c r="G526">
        <v>57</v>
      </c>
      <c r="H526" s="7">
        <v>49.47</v>
      </c>
      <c r="I5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6" s="9">
        <f>Client_churn3[[#This Row],[Facture_Mensuelle]]*Client_churn3[[#This Row],[Remise Client]]</f>
        <v>0</v>
      </c>
      <c r="K526">
        <v>0</v>
      </c>
      <c r="L526"/>
    </row>
    <row r="527" spans="1:12" x14ac:dyDescent="0.25">
      <c r="A527">
        <f t="shared" si="8"/>
        <v>526</v>
      </c>
      <c r="B527" t="s">
        <v>1297</v>
      </c>
      <c r="C527" t="s">
        <v>764</v>
      </c>
      <c r="D527">
        <v>90</v>
      </c>
      <c r="E527" t="s">
        <v>749</v>
      </c>
      <c r="F527" t="str">
        <f>IF(Client_churn3[[#This Row],[Type_Forfait]]= "Pro Monde", "B2B", "B2C")</f>
        <v>B2C</v>
      </c>
      <c r="G527">
        <v>343</v>
      </c>
      <c r="H527" s="7">
        <v>82.05</v>
      </c>
      <c r="I5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27" s="9">
        <f>Client_churn3[[#This Row],[Facture_Mensuelle]]*Client_churn3[[#This Row],[Remise Client]]</f>
        <v>36.922499999999999</v>
      </c>
      <c r="K527">
        <v>1</v>
      </c>
      <c r="L527"/>
    </row>
    <row r="528" spans="1:12" x14ac:dyDescent="0.25">
      <c r="A528">
        <f t="shared" si="8"/>
        <v>527</v>
      </c>
      <c r="B528" t="s">
        <v>1298</v>
      </c>
      <c r="C528" t="s">
        <v>760</v>
      </c>
      <c r="D528">
        <v>96</v>
      </c>
      <c r="E528" t="s">
        <v>749</v>
      </c>
      <c r="F528" t="str">
        <f>IF(Client_churn3[[#This Row],[Type_Forfait]]= "Pro Monde", "B2B", "B2C")</f>
        <v>B2C</v>
      </c>
      <c r="G528">
        <v>210</v>
      </c>
      <c r="H528" s="7">
        <v>28.39</v>
      </c>
      <c r="I5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8" s="9">
        <f>Client_churn3[[#This Row],[Facture_Mensuelle]]*Client_churn3[[#This Row],[Remise Client]]</f>
        <v>0</v>
      </c>
      <c r="K528">
        <v>3</v>
      </c>
      <c r="L528"/>
    </row>
    <row r="529" spans="1:12" x14ac:dyDescent="0.25">
      <c r="A529">
        <f t="shared" si="8"/>
        <v>528</v>
      </c>
      <c r="B529" t="s">
        <v>1299</v>
      </c>
      <c r="C529" t="s">
        <v>778</v>
      </c>
      <c r="D529">
        <v>12</v>
      </c>
      <c r="E529" t="s">
        <v>755</v>
      </c>
      <c r="F529" t="str">
        <f>IF(Client_churn3[[#This Row],[Type_Forfait]]= "Pro Monde", "B2B", "B2C")</f>
        <v>B2C</v>
      </c>
      <c r="G529">
        <v>138</v>
      </c>
      <c r="H529" s="7">
        <v>99.83</v>
      </c>
      <c r="I5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29" s="9">
        <f>Client_churn3[[#This Row],[Facture_Mensuelle]]*Client_churn3[[#This Row],[Remise Client]]</f>
        <v>0</v>
      </c>
      <c r="K529">
        <v>1</v>
      </c>
      <c r="L529"/>
    </row>
    <row r="530" spans="1:12" x14ac:dyDescent="0.25">
      <c r="A530">
        <f t="shared" si="8"/>
        <v>529</v>
      </c>
      <c r="B530" t="s">
        <v>1300</v>
      </c>
      <c r="C530" t="s">
        <v>782</v>
      </c>
      <c r="D530">
        <v>110</v>
      </c>
      <c r="E530" t="s">
        <v>755</v>
      </c>
      <c r="F530" t="str">
        <f>IF(Client_churn3[[#This Row],[Type_Forfait]]= "Pro Monde", "B2B", "B2C")</f>
        <v>B2C</v>
      </c>
      <c r="G530">
        <v>51</v>
      </c>
      <c r="H530" s="7">
        <v>56.59</v>
      </c>
      <c r="I5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0" s="9">
        <f>Client_churn3[[#This Row],[Facture_Mensuelle]]*Client_churn3[[#This Row],[Remise Client]]</f>
        <v>0</v>
      </c>
      <c r="K530">
        <v>5</v>
      </c>
      <c r="L530"/>
    </row>
    <row r="531" spans="1:12" x14ac:dyDescent="0.25">
      <c r="A531">
        <f t="shared" si="8"/>
        <v>530</v>
      </c>
      <c r="B531" t="s">
        <v>1301</v>
      </c>
      <c r="C531" t="s">
        <v>770</v>
      </c>
      <c r="D531">
        <v>111</v>
      </c>
      <c r="E531" t="s">
        <v>755</v>
      </c>
      <c r="F531" t="str">
        <f>IF(Client_churn3[[#This Row],[Type_Forfait]]= "Pro Monde", "B2B", "B2C")</f>
        <v>B2C</v>
      </c>
      <c r="G531">
        <v>43</v>
      </c>
      <c r="H531" s="7">
        <v>19.39</v>
      </c>
      <c r="I5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1" s="9">
        <f>Client_churn3[[#This Row],[Facture_Mensuelle]]*Client_churn3[[#This Row],[Remise Client]]</f>
        <v>0</v>
      </c>
      <c r="K531">
        <v>3</v>
      </c>
      <c r="L531"/>
    </row>
    <row r="532" spans="1:12" x14ac:dyDescent="0.25">
      <c r="A532">
        <f t="shared" si="8"/>
        <v>531</v>
      </c>
      <c r="B532" t="s">
        <v>1302</v>
      </c>
      <c r="C532" t="s">
        <v>782</v>
      </c>
      <c r="D532">
        <v>55</v>
      </c>
      <c r="E532" t="s">
        <v>746</v>
      </c>
      <c r="F532" t="str">
        <f>IF(Client_churn3[[#This Row],[Type_Forfait]]= "Pro Monde", "B2B", "B2C")</f>
        <v>B2B</v>
      </c>
      <c r="G532">
        <v>389</v>
      </c>
      <c r="H532" s="7">
        <v>67.430000000000007</v>
      </c>
      <c r="I5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32" s="9">
        <f>Client_churn3[[#This Row],[Facture_Mensuelle]]*Client_churn3[[#This Row],[Remise Client]]</f>
        <v>6.7430000000000012</v>
      </c>
      <c r="K532">
        <v>3</v>
      </c>
      <c r="L532"/>
    </row>
    <row r="533" spans="1:12" x14ac:dyDescent="0.25">
      <c r="A533">
        <f t="shared" si="8"/>
        <v>532</v>
      </c>
      <c r="B533" t="s">
        <v>1303</v>
      </c>
      <c r="C533" t="s">
        <v>842</v>
      </c>
      <c r="D533">
        <v>13</v>
      </c>
      <c r="E533" t="s">
        <v>746</v>
      </c>
      <c r="F533" t="str">
        <f>IF(Client_churn3[[#This Row],[Type_Forfait]]= "Pro Monde", "B2B", "B2C")</f>
        <v>B2B</v>
      </c>
      <c r="G533">
        <v>474</v>
      </c>
      <c r="H533" s="7">
        <v>63.67</v>
      </c>
      <c r="I5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33" s="9">
        <f>Client_churn3[[#This Row],[Facture_Mensuelle]]*Client_churn3[[#This Row],[Remise Client]]</f>
        <v>6.3670000000000009</v>
      </c>
      <c r="K533">
        <v>2</v>
      </c>
      <c r="L533"/>
    </row>
    <row r="534" spans="1:12" x14ac:dyDescent="0.25">
      <c r="A534">
        <f t="shared" si="8"/>
        <v>533</v>
      </c>
      <c r="B534" t="s">
        <v>1304</v>
      </c>
      <c r="C534" t="s">
        <v>764</v>
      </c>
      <c r="D534">
        <v>43</v>
      </c>
      <c r="E534" t="s">
        <v>749</v>
      </c>
      <c r="F534" t="str">
        <f>IF(Client_churn3[[#This Row],[Type_Forfait]]= "Pro Monde", "B2B", "B2C")</f>
        <v>B2C</v>
      </c>
      <c r="G534">
        <v>26</v>
      </c>
      <c r="H534" s="7">
        <v>25.85</v>
      </c>
      <c r="I5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4" s="9">
        <f>Client_churn3[[#This Row],[Facture_Mensuelle]]*Client_churn3[[#This Row],[Remise Client]]</f>
        <v>0</v>
      </c>
      <c r="K534">
        <v>1</v>
      </c>
      <c r="L534"/>
    </row>
    <row r="535" spans="1:12" x14ac:dyDescent="0.25">
      <c r="A535">
        <f t="shared" si="8"/>
        <v>534</v>
      </c>
      <c r="B535" t="s">
        <v>1305</v>
      </c>
      <c r="C535" t="s">
        <v>760</v>
      </c>
      <c r="D535">
        <v>63</v>
      </c>
      <c r="E535" t="s">
        <v>755</v>
      </c>
      <c r="F535" t="str">
        <f>IF(Client_churn3[[#This Row],[Type_Forfait]]= "Pro Monde", "B2B", "B2C")</f>
        <v>B2C</v>
      </c>
      <c r="G535">
        <v>177</v>
      </c>
      <c r="H535" s="7">
        <v>77.73</v>
      </c>
      <c r="I5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5" s="9">
        <f>Client_churn3[[#This Row],[Facture_Mensuelle]]*Client_churn3[[#This Row],[Remise Client]]</f>
        <v>0</v>
      </c>
      <c r="K535">
        <v>3</v>
      </c>
      <c r="L535"/>
    </row>
    <row r="536" spans="1:12" x14ac:dyDescent="0.25">
      <c r="A536">
        <f t="shared" si="8"/>
        <v>535</v>
      </c>
      <c r="B536" t="s">
        <v>1306</v>
      </c>
      <c r="C536" t="s">
        <v>758</v>
      </c>
      <c r="D536">
        <v>7</v>
      </c>
      <c r="E536" t="s">
        <v>755</v>
      </c>
      <c r="F536" t="str">
        <f>IF(Client_churn3[[#This Row],[Type_Forfait]]= "Pro Monde", "B2B", "B2C")</f>
        <v>B2C</v>
      </c>
      <c r="G536">
        <v>206</v>
      </c>
      <c r="H536" s="7">
        <v>78.09</v>
      </c>
      <c r="I5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6" s="9">
        <f>Client_churn3[[#This Row],[Facture_Mensuelle]]*Client_churn3[[#This Row],[Remise Client]]</f>
        <v>0</v>
      </c>
      <c r="K536">
        <v>3</v>
      </c>
      <c r="L536"/>
    </row>
    <row r="537" spans="1:12" x14ac:dyDescent="0.25">
      <c r="A537">
        <f t="shared" si="8"/>
        <v>536</v>
      </c>
      <c r="B537" t="s">
        <v>1307</v>
      </c>
      <c r="C537" t="s">
        <v>806</v>
      </c>
      <c r="D537">
        <v>117</v>
      </c>
      <c r="E537" t="s">
        <v>749</v>
      </c>
      <c r="F537" t="str">
        <f>IF(Client_churn3[[#This Row],[Type_Forfait]]= "Pro Monde", "B2B", "B2C")</f>
        <v>B2C</v>
      </c>
      <c r="G537">
        <v>171</v>
      </c>
      <c r="H537" s="7">
        <v>50.89</v>
      </c>
      <c r="I5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37" s="9">
        <f>Client_churn3[[#This Row],[Facture_Mensuelle]]*Client_churn3[[#This Row],[Remise Client]]</f>
        <v>0</v>
      </c>
      <c r="K537">
        <v>4</v>
      </c>
      <c r="L537"/>
    </row>
    <row r="538" spans="1:12" x14ac:dyDescent="0.25">
      <c r="A538">
        <f t="shared" si="8"/>
        <v>537</v>
      </c>
      <c r="B538" t="s">
        <v>1308</v>
      </c>
      <c r="C538" t="s">
        <v>785</v>
      </c>
      <c r="D538">
        <v>57</v>
      </c>
      <c r="E538" t="s">
        <v>743</v>
      </c>
      <c r="F538" t="str">
        <f>IF(Client_churn3[[#This Row],[Type_Forfait]]= "Pro Monde", "B2B", "B2C")</f>
        <v>B2C</v>
      </c>
      <c r="G538">
        <v>447</v>
      </c>
      <c r="H538" s="7">
        <v>23.27</v>
      </c>
      <c r="I5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38" s="9">
        <f>Client_churn3[[#This Row],[Facture_Mensuelle]]*Client_churn3[[#This Row],[Remise Client]]</f>
        <v>10.471500000000001</v>
      </c>
      <c r="K538">
        <v>3</v>
      </c>
      <c r="L538"/>
    </row>
    <row r="539" spans="1:12" x14ac:dyDescent="0.25">
      <c r="A539">
        <f t="shared" si="8"/>
        <v>538</v>
      </c>
      <c r="B539" t="s">
        <v>1309</v>
      </c>
      <c r="C539" t="s">
        <v>806</v>
      </c>
      <c r="D539">
        <v>102</v>
      </c>
      <c r="E539" t="s">
        <v>743</v>
      </c>
      <c r="F539" t="str">
        <f>IF(Client_churn3[[#This Row],[Type_Forfait]]= "Pro Monde", "B2B", "B2C")</f>
        <v>B2C</v>
      </c>
      <c r="G539">
        <v>484</v>
      </c>
      <c r="H539" s="7">
        <v>64.22</v>
      </c>
      <c r="I5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39" s="9">
        <f>Client_churn3[[#This Row],[Facture_Mensuelle]]*Client_churn3[[#This Row],[Remise Client]]</f>
        <v>28.899000000000001</v>
      </c>
      <c r="K539">
        <v>2</v>
      </c>
      <c r="L539"/>
    </row>
    <row r="540" spans="1:12" x14ac:dyDescent="0.25">
      <c r="A540">
        <f t="shared" si="8"/>
        <v>539</v>
      </c>
      <c r="B540" t="s">
        <v>1310</v>
      </c>
      <c r="C540" t="s">
        <v>768</v>
      </c>
      <c r="D540">
        <v>67</v>
      </c>
      <c r="E540" t="s">
        <v>746</v>
      </c>
      <c r="F540" t="str">
        <f>IF(Client_churn3[[#This Row],[Type_Forfait]]= "Pro Monde", "B2B", "B2C")</f>
        <v>B2B</v>
      </c>
      <c r="G540">
        <v>26</v>
      </c>
      <c r="H540" s="7">
        <v>81.489999999999995</v>
      </c>
      <c r="I5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40" s="9">
        <f>Client_churn3[[#This Row],[Facture_Mensuelle]]*Client_churn3[[#This Row],[Remise Client]]</f>
        <v>8.1489999999999991</v>
      </c>
      <c r="K540">
        <v>4</v>
      </c>
      <c r="L540"/>
    </row>
    <row r="541" spans="1:12" x14ac:dyDescent="0.25">
      <c r="A541">
        <f t="shared" si="8"/>
        <v>540</v>
      </c>
      <c r="B541" t="s">
        <v>1311</v>
      </c>
      <c r="C541" t="s">
        <v>778</v>
      </c>
      <c r="D541">
        <v>71</v>
      </c>
      <c r="E541" t="s">
        <v>755</v>
      </c>
      <c r="F541" t="str">
        <f>IF(Client_churn3[[#This Row],[Type_Forfait]]= "Pro Monde", "B2B", "B2C")</f>
        <v>B2C</v>
      </c>
      <c r="G541">
        <v>15</v>
      </c>
      <c r="H541" s="7">
        <v>25.46</v>
      </c>
      <c r="I5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41" s="9">
        <f>Client_churn3[[#This Row],[Facture_Mensuelle]]*Client_churn3[[#This Row],[Remise Client]]</f>
        <v>0</v>
      </c>
      <c r="K541">
        <v>5</v>
      </c>
      <c r="L541"/>
    </row>
    <row r="542" spans="1:12" x14ac:dyDescent="0.25">
      <c r="A542">
        <f t="shared" si="8"/>
        <v>541</v>
      </c>
      <c r="B542" t="s">
        <v>1312</v>
      </c>
      <c r="C542" t="s">
        <v>796</v>
      </c>
      <c r="D542">
        <v>10</v>
      </c>
      <c r="E542" t="s">
        <v>749</v>
      </c>
      <c r="F542" t="str">
        <f>IF(Client_churn3[[#This Row],[Type_Forfait]]= "Pro Monde", "B2B", "B2C")</f>
        <v>B2C</v>
      </c>
      <c r="G542">
        <v>260</v>
      </c>
      <c r="H542" s="7">
        <v>37.479999999999997</v>
      </c>
      <c r="I5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42" s="9">
        <f>Client_churn3[[#This Row],[Facture_Mensuelle]]*Client_churn3[[#This Row],[Remise Client]]</f>
        <v>16.866</v>
      </c>
      <c r="K542">
        <v>2</v>
      </c>
      <c r="L542"/>
    </row>
    <row r="543" spans="1:12" x14ac:dyDescent="0.25">
      <c r="A543">
        <f t="shared" si="8"/>
        <v>542</v>
      </c>
      <c r="B543" t="s">
        <v>1313</v>
      </c>
      <c r="C543" t="s">
        <v>794</v>
      </c>
      <c r="D543">
        <v>38</v>
      </c>
      <c r="E543" t="s">
        <v>743</v>
      </c>
      <c r="F543" t="str">
        <f>IF(Client_churn3[[#This Row],[Type_Forfait]]= "Pro Monde", "B2B", "B2C")</f>
        <v>B2C</v>
      </c>
      <c r="G543">
        <v>108</v>
      </c>
      <c r="H543" s="7">
        <v>72.7</v>
      </c>
      <c r="I5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43" s="9">
        <f>Client_churn3[[#This Row],[Facture_Mensuelle]]*Client_churn3[[#This Row],[Remise Client]]</f>
        <v>0</v>
      </c>
      <c r="K543">
        <v>3</v>
      </c>
      <c r="L543"/>
    </row>
    <row r="544" spans="1:12" x14ac:dyDescent="0.25">
      <c r="A544">
        <f t="shared" si="8"/>
        <v>543</v>
      </c>
      <c r="B544" t="s">
        <v>1314</v>
      </c>
      <c r="C544" t="s">
        <v>785</v>
      </c>
      <c r="D544">
        <v>59</v>
      </c>
      <c r="E544" t="s">
        <v>743</v>
      </c>
      <c r="F544" t="str">
        <f>IF(Client_churn3[[#This Row],[Type_Forfait]]= "Pro Monde", "B2B", "B2C")</f>
        <v>B2C</v>
      </c>
      <c r="G544">
        <v>150</v>
      </c>
      <c r="H544" s="7">
        <v>71.13</v>
      </c>
      <c r="I5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44" s="9">
        <f>Client_churn3[[#This Row],[Facture_Mensuelle]]*Client_churn3[[#This Row],[Remise Client]]</f>
        <v>0</v>
      </c>
      <c r="K544">
        <v>0</v>
      </c>
      <c r="L544"/>
    </row>
    <row r="545" spans="1:12" x14ac:dyDescent="0.25">
      <c r="A545">
        <f t="shared" si="8"/>
        <v>544</v>
      </c>
      <c r="B545" t="s">
        <v>1315</v>
      </c>
      <c r="C545" t="s">
        <v>842</v>
      </c>
      <c r="D545">
        <v>58</v>
      </c>
      <c r="E545" t="s">
        <v>743</v>
      </c>
      <c r="F545" t="str">
        <f>IF(Client_churn3[[#This Row],[Type_Forfait]]= "Pro Monde", "B2B", "B2C")</f>
        <v>B2C</v>
      </c>
      <c r="G545">
        <v>423</v>
      </c>
      <c r="H545" s="7">
        <v>80.459999999999994</v>
      </c>
      <c r="I5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45" s="9">
        <f>Client_churn3[[#This Row],[Facture_Mensuelle]]*Client_churn3[[#This Row],[Remise Client]]</f>
        <v>36.207000000000001</v>
      </c>
      <c r="K545">
        <v>0</v>
      </c>
      <c r="L545"/>
    </row>
    <row r="546" spans="1:12" x14ac:dyDescent="0.25">
      <c r="A546">
        <f t="shared" si="8"/>
        <v>545</v>
      </c>
      <c r="B546" t="s">
        <v>1316</v>
      </c>
      <c r="C546" t="s">
        <v>745</v>
      </c>
      <c r="D546">
        <v>36</v>
      </c>
      <c r="E546" t="s">
        <v>743</v>
      </c>
      <c r="F546" t="str">
        <f>IF(Client_churn3[[#This Row],[Type_Forfait]]= "Pro Monde", "B2B", "B2C")</f>
        <v>B2C</v>
      </c>
      <c r="G546">
        <v>491</v>
      </c>
      <c r="H546" s="7">
        <v>12.13</v>
      </c>
      <c r="I5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46" s="9">
        <f>Client_churn3[[#This Row],[Facture_Mensuelle]]*Client_churn3[[#This Row],[Remise Client]]</f>
        <v>5.4585000000000008</v>
      </c>
      <c r="K546">
        <v>4</v>
      </c>
      <c r="L546"/>
    </row>
    <row r="547" spans="1:12" x14ac:dyDescent="0.25">
      <c r="A547">
        <f t="shared" si="8"/>
        <v>546</v>
      </c>
      <c r="B547" t="s">
        <v>1317</v>
      </c>
      <c r="C547" t="s">
        <v>751</v>
      </c>
      <c r="D547">
        <v>111</v>
      </c>
      <c r="E547" t="s">
        <v>755</v>
      </c>
      <c r="F547" t="str">
        <f>IF(Client_churn3[[#This Row],[Type_Forfait]]= "Pro Monde", "B2B", "B2C")</f>
        <v>B2C</v>
      </c>
      <c r="G547">
        <v>304</v>
      </c>
      <c r="H547" s="7">
        <v>62.48</v>
      </c>
      <c r="I5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47" s="9">
        <f>Client_churn3[[#This Row],[Facture_Mensuelle]]*Client_churn3[[#This Row],[Remise Client]]</f>
        <v>28.116</v>
      </c>
      <c r="K547">
        <v>5</v>
      </c>
      <c r="L547"/>
    </row>
    <row r="548" spans="1:12" x14ac:dyDescent="0.25">
      <c r="A548">
        <f t="shared" si="8"/>
        <v>547</v>
      </c>
      <c r="B548" t="s">
        <v>1318</v>
      </c>
      <c r="C548" t="s">
        <v>834</v>
      </c>
      <c r="D548">
        <v>40</v>
      </c>
      <c r="E548" t="s">
        <v>755</v>
      </c>
      <c r="F548" t="str">
        <f>IF(Client_churn3[[#This Row],[Type_Forfait]]= "Pro Monde", "B2B", "B2C")</f>
        <v>B2C</v>
      </c>
      <c r="G548">
        <v>237</v>
      </c>
      <c r="H548" s="7">
        <v>24.51</v>
      </c>
      <c r="I5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48" s="9">
        <f>Client_churn3[[#This Row],[Facture_Mensuelle]]*Client_churn3[[#This Row],[Remise Client]]</f>
        <v>0</v>
      </c>
      <c r="K548">
        <v>1</v>
      </c>
      <c r="L548"/>
    </row>
    <row r="549" spans="1:12" x14ac:dyDescent="0.25">
      <c r="A549">
        <f t="shared" si="8"/>
        <v>548</v>
      </c>
      <c r="B549" t="s">
        <v>1319</v>
      </c>
      <c r="C549" t="s">
        <v>758</v>
      </c>
      <c r="D549">
        <v>36</v>
      </c>
      <c r="E549" t="s">
        <v>743</v>
      </c>
      <c r="F549" t="str">
        <f>IF(Client_churn3[[#This Row],[Type_Forfait]]= "Pro Monde", "B2B", "B2C")</f>
        <v>B2C</v>
      </c>
      <c r="G549">
        <v>247</v>
      </c>
      <c r="H549" s="7">
        <v>24.53</v>
      </c>
      <c r="I5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49" s="9">
        <f>Client_churn3[[#This Row],[Facture_Mensuelle]]*Client_churn3[[#This Row],[Remise Client]]</f>
        <v>11.038500000000001</v>
      </c>
      <c r="K549">
        <v>2</v>
      </c>
      <c r="L549"/>
    </row>
    <row r="550" spans="1:12" x14ac:dyDescent="0.25">
      <c r="A550">
        <f t="shared" si="8"/>
        <v>549</v>
      </c>
      <c r="B550" t="s">
        <v>1320</v>
      </c>
      <c r="C550" t="s">
        <v>842</v>
      </c>
      <c r="D550">
        <v>27</v>
      </c>
      <c r="E550" t="s">
        <v>755</v>
      </c>
      <c r="F550" t="str">
        <f>IF(Client_churn3[[#This Row],[Type_Forfait]]= "Pro Monde", "B2B", "B2C")</f>
        <v>B2C</v>
      </c>
      <c r="G550">
        <v>61</v>
      </c>
      <c r="H550" s="7">
        <v>97.51</v>
      </c>
      <c r="I5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50" s="9">
        <f>Client_churn3[[#This Row],[Facture_Mensuelle]]*Client_churn3[[#This Row],[Remise Client]]</f>
        <v>0</v>
      </c>
      <c r="K550">
        <v>5</v>
      </c>
      <c r="L550"/>
    </row>
    <row r="551" spans="1:12" x14ac:dyDescent="0.25">
      <c r="A551">
        <f t="shared" si="8"/>
        <v>550</v>
      </c>
      <c r="B551" t="s">
        <v>1321</v>
      </c>
      <c r="C551" t="s">
        <v>782</v>
      </c>
      <c r="D551">
        <v>64</v>
      </c>
      <c r="E551" t="s">
        <v>746</v>
      </c>
      <c r="F551" t="str">
        <f>IF(Client_churn3[[#This Row],[Type_Forfait]]= "Pro Monde", "B2B", "B2C")</f>
        <v>B2B</v>
      </c>
      <c r="G551">
        <v>300</v>
      </c>
      <c r="H551" s="7">
        <v>28.11</v>
      </c>
      <c r="I5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51" s="9">
        <f>Client_churn3[[#This Row],[Facture_Mensuelle]]*Client_churn3[[#This Row],[Remise Client]]</f>
        <v>2.8109999999999999</v>
      </c>
      <c r="K551">
        <v>2</v>
      </c>
      <c r="L551"/>
    </row>
    <row r="552" spans="1:12" x14ac:dyDescent="0.25">
      <c r="A552">
        <f t="shared" si="8"/>
        <v>551</v>
      </c>
      <c r="B552" t="s">
        <v>1322</v>
      </c>
      <c r="C552" t="s">
        <v>751</v>
      </c>
      <c r="D552">
        <v>102</v>
      </c>
      <c r="E552" t="s">
        <v>743</v>
      </c>
      <c r="F552" t="str">
        <f>IF(Client_churn3[[#This Row],[Type_Forfait]]= "Pro Monde", "B2B", "B2C")</f>
        <v>B2C</v>
      </c>
      <c r="G552">
        <v>189</v>
      </c>
      <c r="H552" s="7">
        <v>26.86</v>
      </c>
      <c r="I5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52" s="9">
        <f>Client_churn3[[#This Row],[Facture_Mensuelle]]*Client_churn3[[#This Row],[Remise Client]]</f>
        <v>0</v>
      </c>
      <c r="K552">
        <v>5</v>
      </c>
      <c r="L552"/>
    </row>
    <row r="553" spans="1:12" x14ac:dyDescent="0.25">
      <c r="A553">
        <f t="shared" si="8"/>
        <v>552</v>
      </c>
      <c r="B553" t="s">
        <v>1323</v>
      </c>
      <c r="C553" t="s">
        <v>774</v>
      </c>
      <c r="D553">
        <v>22</v>
      </c>
      <c r="E553" t="s">
        <v>749</v>
      </c>
      <c r="F553" t="str">
        <f>IF(Client_churn3[[#This Row],[Type_Forfait]]= "Pro Monde", "B2B", "B2C")</f>
        <v>B2C</v>
      </c>
      <c r="G553">
        <v>119</v>
      </c>
      <c r="H553" s="7">
        <v>72.86</v>
      </c>
      <c r="I5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53" s="9">
        <f>Client_churn3[[#This Row],[Facture_Mensuelle]]*Client_churn3[[#This Row],[Remise Client]]</f>
        <v>0</v>
      </c>
      <c r="K553">
        <v>3</v>
      </c>
      <c r="L553"/>
    </row>
    <row r="554" spans="1:12" x14ac:dyDescent="0.25">
      <c r="A554">
        <f t="shared" si="8"/>
        <v>553</v>
      </c>
      <c r="B554" t="s">
        <v>1324</v>
      </c>
      <c r="C554" t="s">
        <v>780</v>
      </c>
      <c r="D554">
        <v>50</v>
      </c>
      <c r="E554" t="s">
        <v>746</v>
      </c>
      <c r="F554" t="str">
        <f>IF(Client_churn3[[#This Row],[Type_Forfait]]= "Pro Monde", "B2B", "B2C")</f>
        <v>B2B</v>
      </c>
      <c r="G554">
        <v>430</v>
      </c>
      <c r="H554" s="7">
        <v>20.8</v>
      </c>
      <c r="I5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54" s="9">
        <f>Client_churn3[[#This Row],[Facture_Mensuelle]]*Client_churn3[[#This Row],[Remise Client]]</f>
        <v>2.08</v>
      </c>
      <c r="K554">
        <v>2</v>
      </c>
      <c r="L554"/>
    </row>
    <row r="555" spans="1:12" x14ac:dyDescent="0.25">
      <c r="A555">
        <f t="shared" si="8"/>
        <v>554</v>
      </c>
      <c r="B555" t="s">
        <v>1325</v>
      </c>
      <c r="C555" t="s">
        <v>842</v>
      </c>
      <c r="D555">
        <v>18</v>
      </c>
      <c r="E555" t="s">
        <v>746</v>
      </c>
      <c r="F555" t="str">
        <f>IF(Client_churn3[[#This Row],[Type_Forfait]]= "Pro Monde", "B2B", "B2C")</f>
        <v>B2B</v>
      </c>
      <c r="G555">
        <v>75</v>
      </c>
      <c r="H555" s="7">
        <v>57.66</v>
      </c>
      <c r="I5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55" s="9">
        <f>Client_churn3[[#This Row],[Facture_Mensuelle]]*Client_churn3[[#This Row],[Remise Client]]</f>
        <v>5.766</v>
      </c>
      <c r="K555">
        <v>1</v>
      </c>
      <c r="L555"/>
    </row>
    <row r="556" spans="1:12" x14ac:dyDescent="0.25">
      <c r="A556">
        <f t="shared" si="8"/>
        <v>555</v>
      </c>
      <c r="B556" t="s">
        <v>1326</v>
      </c>
      <c r="C556" t="s">
        <v>796</v>
      </c>
      <c r="D556">
        <v>111</v>
      </c>
      <c r="E556" t="s">
        <v>749</v>
      </c>
      <c r="F556" t="str">
        <f>IF(Client_churn3[[#This Row],[Type_Forfait]]= "Pro Monde", "B2B", "B2C")</f>
        <v>B2C</v>
      </c>
      <c r="G556">
        <v>324</v>
      </c>
      <c r="H556" s="7">
        <v>18.07</v>
      </c>
      <c r="I5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56" s="9">
        <f>Client_churn3[[#This Row],[Facture_Mensuelle]]*Client_churn3[[#This Row],[Remise Client]]</f>
        <v>8.1315000000000008</v>
      </c>
      <c r="K556">
        <v>2</v>
      </c>
      <c r="L556"/>
    </row>
    <row r="557" spans="1:12" x14ac:dyDescent="0.25">
      <c r="A557">
        <f t="shared" si="8"/>
        <v>556</v>
      </c>
      <c r="B557" t="s">
        <v>1327</v>
      </c>
      <c r="C557" t="s">
        <v>745</v>
      </c>
      <c r="D557">
        <v>120</v>
      </c>
      <c r="E557" t="s">
        <v>746</v>
      </c>
      <c r="F557" t="str">
        <f>IF(Client_churn3[[#This Row],[Type_Forfait]]= "Pro Monde", "B2B", "B2C")</f>
        <v>B2B</v>
      </c>
      <c r="G557">
        <v>60</v>
      </c>
      <c r="H557" s="7">
        <v>34.14</v>
      </c>
      <c r="I5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57" s="9">
        <f>Client_churn3[[#This Row],[Facture_Mensuelle]]*Client_churn3[[#This Row],[Remise Client]]</f>
        <v>3.4140000000000001</v>
      </c>
      <c r="K557">
        <v>3</v>
      </c>
      <c r="L557"/>
    </row>
    <row r="558" spans="1:12" x14ac:dyDescent="0.25">
      <c r="A558">
        <f t="shared" si="8"/>
        <v>557</v>
      </c>
      <c r="B558" t="s">
        <v>1328</v>
      </c>
      <c r="C558" t="s">
        <v>748</v>
      </c>
      <c r="D558">
        <v>87</v>
      </c>
      <c r="E558" t="s">
        <v>755</v>
      </c>
      <c r="F558" t="str">
        <f>IF(Client_churn3[[#This Row],[Type_Forfait]]= "Pro Monde", "B2B", "B2C")</f>
        <v>B2C</v>
      </c>
      <c r="G558">
        <v>356</v>
      </c>
      <c r="H558" s="7">
        <v>12.89</v>
      </c>
      <c r="I5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58" s="9">
        <f>Client_churn3[[#This Row],[Facture_Mensuelle]]*Client_churn3[[#This Row],[Remise Client]]</f>
        <v>5.8005000000000004</v>
      </c>
      <c r="K558">
        <v>0</v>
      </c>
      <c r="L558"/>
    </row>
    <row r="559" spans="1:12" x14ac:dyDescent="0.25">
      <c r="A559">
        <f t="shared" si="8"/>
        <v>558</v>
      </c>
      <c r="B559" t="s">
        <v>1329</v>
      </c>
      <c r="C559" t="s">
        <v>842</v>
      </c>
      <c r="D559">
        <v>29</v>
      </c>
      <c r="E559" t="s">
        <v>755</v>
      </c>
      <c r="F559" t="str">
        <f>IF(Client_churn3[[#This Row],[Type_Forfait]]= "Pro Monde", "B2B", "B2C")</f>
        <v>B2C</v>
      </c>
      <c r="G559">
        <v>8</v>
      </c>
      <c r="H559" s="7">
        <v>14.78</v>
      </c>
      <c r="I5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59" s="9">
        <f>Client_churn3[[#This Row],[Facture_Mensuelle]]*Client_churn3[[#This Row],[Remise Client]]</f>
        <v>0</v>
      </c>
      <c r="K559">
        <v>2</v>
      </c>
      <c r="L559"/>
    </row>
    <row r="560" spans="1:12" x14ac:dyDescent="0.25">
      <c r="A560">
        <f t="shared" si="8"/>
        <v>559</v>
      </c>
      <c r="B560" t="s">
        <v>1330</v>
      </c>
      <c r="C560" t="s">
        <v>764</v>
      </c>
      <c r="D560">
        <v>18</v>
      </c>
      <c r="E560" t="s">
        <v>749</v>
      </c>
      <c r="F560" t="str">
        <f>IF(Client_churn3[[#This Row],[Type_Forfait]]= "Pro Monde", "B2B", "B2C")</f>
        <v>B2C</v>
      </c>
      <c r="G560">
        <v>170</v>
      </c>
      <c r="H560" s="7">
        <v>87.34</v>
      </c>
      <c r="I5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60" s="9">
        <f>Client_churn3[[#This Row],[Facture_Mensuelle]]*Client_churn3[[#This Row],[Remise Client]]</f>
        <v>0</v>
      </c>
      <c r="K560">
        <v>1</v>
      </c>
      <c r="L560"/>
    </row>
    <row r="561" spans="1:12" x14ac:dyDescent="0.25">
      <c r="A561">
        <f t="shared" si="8"/>
        <v>560</v>
      </c>
      <c r="B561" t="s">
        <v>1331</v>
      </c>
      <c r="C561" t="s">
        <v>778</v>
      </c>
      <c r="D561">
        <v>34</v>
      </c>
      <c r="E561" t="s">
        <v>749</v>
      </c>
      <c r="F561" t="str">
        <f>IF(Client_churn3[[#This Row],[Type_Forfait]]= "Pro Monde", "B2B", "B2C")</f>
        <v>B2C</v>
      </c>
      <c r="G561">
        <v>401</v>
      </c>
      <c r="H561" s="7">
        <v>68.400000000000006</v>
      </c>
      <c r="I5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1" s="9">
        <f>Client_churn3[[#This Row],[Facture_Mensuelle]]*Client_churn3[[#This Row],[Remise Client]]</f>
        <v>30.780000000000005</v>
      </c>
      <c r="K561">
        <v>5</v>
      </c>
      <c r="L561"/>
    </row>
    <row r="562" spans="1:12" x14ac:dyDescent="0.25">
      <c r="A562">
        <f t="shared" si="8"/>
        <v>561</v>
      </c>
      <c r="B562" t="s">
        <v>1332</v>
      </c>
      <c r="C562" t="s">
        <v>794</v>
      </c>
      <c r="D562">
        <v>113</v>
      </c>
      <c r="E562" t="s">
        <v>749</v>
      </c>
      <c r="F562" t="str">
        <f>IF(Client_churn3[[#This Row],[Type_Forfait]]= "Pro Monde", "B2B", "B2C")</f>
        <v>B2C</v>
      </c>
      <c r="G562">
        <v>428</v>
      </c>
      <c r="H562" s="7">
        <v>73.84</v>
      </c>
      <c r="I5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2" s="9">
        <f>Client_churn3[[#This Row],[Facture_Mensuelle]]*Client_churn3[[#This Row],[Remise Client]]</f>
        <v>33.228000000000002</v>
      </c>
      <c r="K562">
        <v>0</v>
      </c>
      <c r="L562"/>
    </row>
    <row r="563" spans="1:12" x14ac:dyDescent="0.25">
      <c r="A563">
        <f t="shared" si="8"/>
        <v>562</v>
      </c>
      <c r="B563" t="s">
        <v>1333</v>
      </c>
      <c r="C563" t="s">
        <v>794</v>
      </c>
      <c r="D563">
        <v>48</v>
      </c>
      <c r="E563" t="s">
        <v>743</v>
      </c>
      <c r="F563" t="str">
        <f>IF(Client_churn3[[#This Row],[Type_Forfait]]= "Pro Monde", "B2B", "B2C")</f>
        <v>B2C</v>
      </c>
      <c r="G563">
        <v>335</v>
      </c>
      <c r="H563" s="7">
        <v>85.09</v>
      </c>
      <c r="I5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3" s="9">
        <f>Client_churn3[[#This Row],[Facture_Mensuelle]]*Client_churn3[[#This Row],[Remise Client]]</f>
        <v>38.290500000000002</v>
      </c>
      <c r="K563">
        <v>3</v>
      </c>
      <c r="L563"/>
    </row>
    <row r="564" spans="1:12" x14ac:dyDescent="0.25">
      <c r="A564">
        <f t="shared" si="8"/>
        <v>563</v>
      </c>
      <c r="B564" t="s">
        <v>1334</v>
      </c>
      <c r="C564" t="s">
        <v>751</v>
      </c>
      <c r="D564">
        <v>107</v>
      </c>
      <c r="E564" t="s">
        <v>749</v>
      </c>
      <c r="F564" t="str">
        <f>IF(Client_churn3[[#This Row],[Type_Forfait]]= "Pro Monde", "B2B", "B2C")</f>
        <v>B2C</v>
      </c>
      <c r="G564">
        <v>138</v>
      </c>
      <c r="H564" s="7">
        <v>85.75</v>
      </c>
      <c r="I5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64" s="9">
        <f>Client_churn3[[#This Row],[Facture_Mensuelle]]*Client_churn3[[#This Row],[Remise Client]]</f>
        <v>0</v>
      </c>
      <c r="K564">
        <v>1</v>
      </c>
      <c r="L564"/>
    </row>
    <row r="565" spans="1:12" x14ac:dyDescent="0.25">
      <c r="A565">
        <f t="shared" si="8"/>
        <v>564</v>
      </c>
      <c r="B565" t="s">
        <v>1335</v>
      </c>
      <c r="C565" t="s">
        <v>766</v>
      </c>
      <c r="D565">
        <v>47</v>
      </c>
      <c r="E565" t="s">
        <v>743</v>
      </c>
      <c r="F565" t="str">
        <f>IF(Client_churn3[[#This Row],[Type_Forfait]]= "Pro Monde", "B2B", "B2C")</f>
        <v>B2C</v>
      </c>
      <c r="G565">
        <v>111</v>
      </c>
      <c r="H565" s="7">
        <v>95.18</v>
      </c>
      <c r="I5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65" s="9">
        <f>Client_churn3[[#This Row],[Facture_Mensuelle]]*Client_churn3[[#This Row],[Remise Client]]</f>
        <v>0</v>
      </c>
      <c r="K565">
        <v>0</v>
      </c>
      <c r="L565"/>
    </row>
    <row r="566" spans="1:12" x14ac:dyDescent="0.25">
      <c r="A566">
        <f t="shared" si="8"/>
        <v>565</v>
      </c>
      <c r="B566" t="s">
        <v>1336</v>
      </c>
      <c r="C566" t="s">
        <v>766</v>
      </c>
      <c r="D566">
        <v>10</v>
      </c>
      <c r="E566" t="s">
        <v>743</v>
      </c>
      <c r="F566" t="str">
        <f>IF(Client_churn3[[#This Row],[Type_Forfait]]= "Pro Monde", "B2B", "B2C")</f>
        <v>B2C</v>
      </c>
      <c r="G566">
        <v>165</v>
      </c>
      <c r="H566" s="7">
        <v>38.619999999999997</v>
      </c>
      <c r="I5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66" s="9">
        <f>Client_churn3[[#This Row],[Facture_Mensuelle]]*Client_churn3[[#This Row],[Remise Client]]</f>
        <v>0</v>
      </c>
      <c r="K566">
        <v>2</v>
      </c>
      <c r="L566"/>
    </row>
    <row r="567" spans="1:12" x14ac:dyDescent="0.25">
      <c r="A567">
        <f t="shared" si="8"/>
        <v>566</v>
      </c>
      <c r="B567" t="s">
        <v>1337</v>
      </c>
      <c r="C567" t="s">
        <v>754</v>
      </c>
      <c r="D567">
        <v>9</v>
      </c>
      <c r="E567" t="s">
        <v>746</v>
      </c>
      <c r="F567" t="str">
        <f>IF(Client_churn3[[#This Row],[Type_Forfait]]= "Pro Monde", "B2B", "B2C")</f>
        <v>B2B</v>
      </c>
      <c r="G567">
        <v>255</v>
      </c>
      <c r="H567" s="7">
        <v>95.13</v>
      </c>
      <c r="I5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67" s="9">
        <f>Client_churn3[[#This Row],[Facture_Mensuelle]]*Client_churn3[[#This Row],[Remise Client]]</f>
        <v>9.5129999999999999</v>
      </c>
      <c r="K567">
        <v>1</v>
      </c>
      <c r="L567"/>
    </row>
    <row r="568" spans="1:12" x14ac:dyDescent="0.25">
      <c r="A568">
        <f t="shared" si="8"/>
        <v>567</v>
      </c>
      <c r="B568" t="s">
        <v>1338</v>
      </c>
      <c r="C568" t="s">
        <v>802</v>
      </c>
      <c r="D568">
        <v>24</v>
      </c>
      <c r="E568" t="s">
        <v>743</v>
      </c>
      <c r="F568" t="str">
        <f>IF(Client_churn3[[#This Row],[Type_Forfait]]= "Pro Monde", "B2B", "B2C")</f>
        <v>B2C</v>
      </c>
      <c r="G568">
        <v>257</v>
      </c>
      <c r="H568" s="7">
        <v>41.99</v>
      </c>
      <c r="I5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8" s="9">
        <f>Client_churn3[[#This Row],[Facture_Mensuelle]]*Client_churn3[[#This Row],[Remise Client]]</f>
        <v>18.895500000000002</v>
      </c>
      <c r="K568">
        <v>5</v>
      </c>
      <c r="L568"/>
    </row>
    <row r="569" spans="1:12" x14ac:dyDescent="0.25">
      <c r="A569">
        <f t="shared" si="8"/>
        <v>568</v>
      </c>
      <c r="B569" t="s">
        <v>1339</v>
      </c>
      <c r="C569" t="s">
        <v>754</v>
      </c>
      <c r="D569">
        <v>72</v>
      </c>
      <c r="E569" t="s">
        <v>743</v>
      </c>
      <c r="F569" t="str">
        <f>IF(Client_churn3[[#This Row],[Type_Forfait]]= "Pro Monde", "B2B", "B2C")</f>
        <v>B2C</v>
      </c>
      <c r="G569">
        <v>427</v>
      </c>
      <c r="H569" s="7">
        <v>31.44</v>
      </c>
      <c r="I5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69" s="9">
        <f>Client_churn3[[#This Row],[Facture_Mensuelle]]*Client_churn3[[#This Row],[Remise Client]]</f>
        <v>14.148000000000001</v>
      </c>
      <c r="K569">
        <v>2</v>
      </c>
      <c r="L569"/>
    </row>
    <row r="570" spans="1:12" x14ac:dyDescent="0.25">
      <c r="A570">
        <f t="shared" si="8"/>
        <v>569</v>
      </c>
      <c r="B570" t="s">
        <v>1340</v>
      </c>
      <c r="C570" t="s">
        <v>745</v>
      </c>
      <c r="D570">
        <v>33</v>
      </c>
      <c r="E570" t="s">
        <v>749</v>
      </c>
      <c r="F570" t="str">
        <f>IF(Client_churn3[[#This Row],[Type_Forfait]]= "Pro Monde", "B2B", "B2C")</f>
        <v>B2C</v>
      </c>
      <c r="G570">
        <v>18</v>
      </c>
      <c r="H570" s="7">
        <v>47.18</v>
      </c>
      <c r="I5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70" s="9">
        <f>Client_churn3[[#This Row],[Facture_Mensuelle]]*Client_churn3[[#This Row],[Remise Client]]</f>
        <v>0</v>
      </c>
      <c r="K570">
        <v>4</v>
      </c>
      <c r="L570"/>
    </row>
    <row r="571" spans="1:12" x14ac:dyDescent="0.25">
      <c r="A571">
        <f t="shared" si="8"/>
        <v>570</v>
      </c>
      <c r="B571" t="s">
        <v>1341</v>
      </c>
      <c r="C571" t="s">
        <v>748</v>
      </c>
      <c r="D571">
        <v>64</v>
      </c>
      <c r="E571" t="s">
        <v>746</v>
      </c>
      <c r="F571" t="str">
        <f>IF(Client_churn3[[#This Row],[Type_Forfait]]= "Pro Monde", "B2B", "B2C")</f>
        <v>B2B</v>
      </c>
      <c r="G571">
        <v>370</v>
      </c>
      <c r="H571" s="7">
        <v>95.74</v>
      </c>
      <c r="I5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71" s="9">
        <f>Client_churn3[[#This Row],[Facture_Mensuelle]]*Client_churn3[[#This Row],[Remise Client]]</f>
        <v>9.5739999999999998</v>
      </c>
      <c r="K571">
        <v>1</v>
      </c>
      <c r="L571"/>
    </row>
    <row r="572" spans="1:12" x14ac:dyDescent="0.25">
      <c r="A572">
        <f t="shared" si="8"/>
        <v>571</v>
      </c>
      <c r="B572" t="s">
        <v>1342</v>
      </c>
      <c r="C572" t="s">
        <v>799</v>
      </c>
      <c r="D572">
        <v>60</v>
      </c>
      <c r="E572" t="s">
        <v>749</v>
      </c>
      <c r="F572" t="str">
        <f>IF(Client_churn3[[#This Row],[Type_Forfait]]= "Pro Monde", "B2B", "B2C")</f>
        <v>B2C</v>
      </c>
      <c r="G572">
        <v>154</v>
      </c>
      <c r="H572" s="7">
        <v>13.41</v>
      </c>
      <c r="I5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72" s="9">
        <f>Client_churn3[[#This Row],[Facture_Mensuelle]]*Client_churn3[[#This Row],[Remise Client]]</f>
        <v>0</v>
      </c>
      <c r="K572">
        <v>5</v>
      </c>
      <c r="L572"/>
    </row>
    <row r="573" spans="1:12" x14ac:dyDescent="0.25">
      <c r="A573">
        <f t="shared" si="8"/>
        <v>572</v>
      </c>
      <c r="B573" t="s">
        <v>1343</v>
      </c>
      <c r="C573" t="s">
        <v>834</v>
      </c>
      <c r="D573">
        <v>51</v>
      </c>
      <c r="E573" t="s">
        <v>746</v>
      </c>
      <c r="F573" t="str">
        <f>IF(Client_churn3[[#This Row],[Type_Forfait]]= "Pro Monde", "B2B", "B2C")</f>
        <v>B2B</v>
      </c>
      <c r="G573">
        <v>389</v>
      </c>
      <c r="H573" s="7">
        <v>50.45</v>
      </c>
      <c r="I5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73" s="9">
        <f>Client_churn3[[#This Row],[Facture_Mensuelle]]*Client_churn3[[#This Row],[Remise Client]]</f>
        <v>5.0450000000000008</v>
      </c>
      <c r="K573">
        <v>3</v>
      </c>
      <c r="L573"/>
    </row>
    <row r="574" spans="1:12" x14ac:dyDescent="0.25">
      <c r="A574">
        <f t="shared" si="8"/>
        <v>573</v>
      </c>
      <c r="B574" t="s">
        <v>1344</v>
      </c>
      <c r="C574" t="s">
        <v>751</v>
      </c>
      <c r="D574">
        <v>70</v>
      </c>
      <c r="E574" t="s">
        <v>743</v>
      </c>
      <c r="F574" t="str">
        <f>IF(Client_churn3[[#This Row],[Type_Forfait]]= "Pro Monde", "B2B", "B2C")</f>
        <v>B2C</v>
      </c>
      <c r="G574">
        <v>31</v>
      </c>
      <c r="H574" s="7">
        <v>71.2</v>
      </c>
      <c r="I5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74" s="9">
        <f>Client_churn3[[#This Row],[Facture_Mensuelle]]*Client_churn3[[#This Row],[Remise Client]]</f>
        <v>0</v>
      </c>
      <c r="K574">
        <v>4</v>
      </c>
      <c r="L574"/>
    </row>
    <row r="575" spans="1:12" x14ac:dyDescent="0.25">
      <c r="A575">
        <f t="shared" si="8"/>
        <v>574</v>
      </c>
      <c r="B575" t="s">
        <v>1345</v>
      </c>
      <c r="C575" t="s">
        <v>842</v>
      </c>
      <c r="D575">
        <v>103</v>
      </c>
      <c r="E575" t="s">
        <v>743</v>
      </c>
      <c r="F575" t="str">
        <f>IF(Client_churn3[[#This Row],[Type_Forfait]]= "Pro Monde", "B2B", "B2C")</f>
        <v>B2C</v>
      </c>
      <c r="G575">
        <v>300</v>
      </c>
      <c r="H575" s="7">
        <v>13.76</v>
      </c>
      <c r="I5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75" s="9">
        <f>Client_churn3[[#This Row],[Facture_Mensuelle]]*Client_churn3[[#This Row],[Remise Client]]</f>
        <v>6.1920000000000002</v>
      </c>
      <c r="K575">
        <v>4</v>
      </c>
      <c r="L575"/>
    </row>
    <row r="576" spans="1:12" x14ac:dyDescent="0.25">
      <c r="A576">
        <f t="shared" si="8"/>
        <v>575</v>
      </c>
      <c r="B576" t="s">
        <v>1346</v>
      </c>
      <c r="C576" t="s">
        <v>774</v>
      </c>
      <c r="D576">
        <v>14</v>
      </c>
      <c r="E576" t="s">
        <v>743</v>
      </c>
      <c r="F576" t="str">
        <f>IF(Client_churn3[[#This Row],[Type_Forfait]]= "Pro Monde", "B2B", "B2C")</f>
        <v>B2C</v>
      </c>
      <c r="G576">
        <v>37</v>
      </c>
      <c r="H576" s="7">
        <v>20.399999999999999</v>
      </c>
      <c r="I5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76" s="9">
        <f>Client_churn3[[#This Row],[Facture_Mensuelle]]*Client_churn3[[#This Row],[Remise Client]]</f>
        <v>0</v>
      </c>
      <c r="K576">
        <v>2</v>
      </c>
      <c r="L576"/>
    </row>
    <row r="577" spans="1:12" x14ac:dyDescent="0.25">
      <c r="A577">
        <f t="shared" si="8"/>
        <v>576</v>
      </c>
      <c r="B577" t="s">
        <v>1347</v>
      </c>
      <c r="C577" t="s">
        <v>764</v>
      </c>
      <c r="D577">
        <v>7</v>
      </c>
      <c r="E577" t="s">
        <v>746</v>
      </c>
      <c r="F577" t="str">
        <f>IF(Client_churn3[[#This Row],[Type_Forfait]]= "Pro Monde", "B2B", "B2C")</f>
        <v>B2B</v>
      </c>
      <c r="G577">
        <v>447</v>
      </c>
      <c r="H577" s="7">
        <v>84.95</v>
      </c>
      <c r="I5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77" s="9">
        <f>Client_churn3[[#This Row],[Facture_Mensuelle]]*Client_churn3[[#This Row],[Remise Client]]</f>
        <v>8.495000000000001</v>
      </c>
      <c r="K577">
        <v>2</v>
      </c>
      <c r="L577"/>
    </row>
    <row r="578" spans="1:12" x14ac:dyDescent="0.25">
      <c r="A578">
        <f t="shared" si="8"/>
        <v>577</v>
      </c>
      <c r="B578" t="s">
        <v>1348</v>
      </c>
      <c r="C578" t="s">
        <v>780</v>
      </c>
      <c r="D578">
        <v>101</v>
      </c>
      <c r="E578" t="s">
        <v>746</v>
      </c>
      <c r="F578" t="str">
        <f>IF(Client_churn3[[#This Row],[Type_Forfait]]= "Pro Monde", "B2B", "B2C")</f>
        <v>B2B</v>
      </c>
      <c r="G578">
        <v>148</v>
      </c>
      <c r="H578" s="7">
        <v>26.63</v>
      </c>
      <c r="I5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78" s="9">
        <f>Client_churn3[[#This Row],[Facture_Mensuelle]]*Client_churn3[[#This Row],[Remise Client]]</f>
        <v>2.6630000000000003</v>
      </c>
      <c r="K578">
        <v>3</v>
      </c>
      <c r="L578"/>
    </row>
    <row r="579" spans="1:12" x14ac:dyDescent="0.25">
      <c r="A579">
        <f t="shared" si="8"/>
        <v>578</v>
      </c>
      <c r="B579" t="s">
        <v>1349</v>
      </c>
      <c r="C579" t="s">
        <v>780</v>
      </c>
      <c r="D579">
        <v>84</v>
      </c>
      <c r="E579" t="s">
        <v>755</v>
      </c>
      <c r="F579" t="str">
        <f>IF(Client_churn3[[#This Row],[Type_Forfait]]= "Pro Monde", "B2B", "B2C")</f>
        <v>B2C</v>
      </c>
      <c r="G579">
        <v>387</v>
      </c>
      <c r="H579" s="7">
        <v>58.1</v>
      </c>
      <c r="I5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79" s="9">
        <f>Client_churn3[[#This Row],[Facture_Mensuelle]]*Client_churn3[[#This Row],[Remise Client]]</f>
        <v>26.145</v>
      </c>
      <c r="K579">
        <v>3</v>
      </c>
      <c r="L579"/>
    </row>
    <row r="580" spans="1:12" x14ac:dyDescent="0.25">
      <c r="A580">
        <f t="shared" si="8"/>
        <v>579</v>
      </c>
      <c r="B580" t="s">
        <v>1350</v>
      </c>
      <c r="C580" t="s">
        <v>754</v>
      </c>
      <c r="D580">
        <v>46</v>
      </c>
      <c r="E580" t="s">
        <v>746</v>
      </c>
      <c r="F580" t="str">
        <f>IF(Client_churn3[[#This Row],[Type_Forfait]]= "Pro Monde", "B2B", "B2C")</f>
        <v>B2B</v>
      </c>
      <c r="G580">
        <v>216</v>
      </c>
      <c r="H580" s="7">
        <v>63.74</v>
      </c>
      <c r="I5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80" s="9">
        <f>Client_churn3[[#This Row],[Facture_Mensuelle]]*Client_churn3[[#This Row],[Remise Client]]</f>
        <v>6.3740000000000006</v>
      </c>
      <c r="K580">
        <v>4</v>
      </c>
      <c r="L580"/>
    </row>
    <row r="581" spans="1:12" x14ac:dyDescent="0.25">
      <c r="A581">
        <f t="shared" ref="A581:A644" si="9">A580+1</f>
        <v>580</v>
      </c>
      <c r="B581" t="s">
        <v>1351</v>
      </c>
      <c r="C581" t="s">
        <v>782</v>
      </c>
      <c r="D581">
        <v>72</v>
      </c>
      <c r="E581" t="s">
        <v>746</v>
      </c>
      <c r="F581" t="str">
        <f>IF(Client_churn3[[#This Row],[Type_Forfait]]= "Pro Monde", "B2B", "B2C")</f>
        <v>B2B</v>
      </c>
      <c r="G581">
        <v>317</v>
      </c>
      <c r="H581" s="7">
        <v>54.58</v>
      </c>
      <c r="I5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81" s="9">
        <f>Client_churn3[[#This Row],[Facture_Mensuelle]]*Client_churn3[[#This Row],[Remise Client]]</f>
        <v>5.4580000000000002</v>
      </c>
      <c r="K581">
        <v>1</v>
      </c>
      <c r="L581"/>
    </row>
    <row r="582" spans="1:12" x14ac:dyDescent="0.25">
      <c r="A582">
        <f t="shared" si="9"/>
        <v>581</v>
      </c>
      <c r="B582" t="s">
        <v>1352</v>
      </c>
      <c r="C582" t="s">
        <v>754</v>
      </c>
      <c r="D582">
        <v>69</v>
      </c>
      <c r="E582" t="s">
        <v>755</v>
      </c>
      <c r="F582" t="str">
        <f>IF(Client_churn3[[#This Row],[Type_Forfait]]= "Pro Monde", "B2B", "B2C")</f>
        <v>B2C</v>
      </c>
      <c r="G582">
        <v>486</v>
      </c>
      <c r="H582" s="7">
        <v>34.770000000000003</v>
      </c>
      <c r="I5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82" s="9">
        <f>Client_churn3[[#This Row],[Facture_Mensuelle]]*Client_churn3[[#This Row],[Remise Client]]</f>
        <v>15.646500000000001</v>
      </c>
      <c r="K582">
        <v>0</v>
      </c>
      <c r="L582"/>
    </row>
    <row r="583" spans="1:12" x14ac:dyDescent="0.25">
      <c r="A583">
        <f t="shared" si="9"/>
        <v>582</v>
      </c>
      <c r="B583" t="s">
        <v>1353</v>
      </c>
      <c r="C583" t="s">
        <v>780</v>
      </c>
      <c r="D583">
        <v>57</v>
      </c>
      <c r="E583" t="s">
        <v>749</v>
      </c>
      <c r="F583" t="str">
        <f>IF(Client_churn3[[#This Row],[Type_Forfait]]= "Pro Monde", "B2B", "B2C")</f>
        <v>B2C</v>
      </c>
      <c r="G583">
        <v>329</v>
      </c>
      <c r="H583" s="7">
        <v>50.39</v>
      </c>
      <c r="I5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83" s="9">
        <f>Client_churn3[[#This Row],[Facture_Mensuelle]]*Client_churn3[[#This Row],[Remise Client]]</f>
        <v>22.6755</v>
      </c>
      <c r="K583">
        <v>5</v>
      </c>
      <c r="L583"/>
    </row>
    <row r="584" spans="1:12" x14ac:dyDescent="0.25">
      <c r="A584">
        <f t="shared" si="9"/>
        <v>583</v>
      </c>
      <c r="B584" t="s">
        <v>1354</v>
      </c>
      <c r="C584" t="s">
        <v>766</v>
      </c>
      <c r="D584">
        <v>108</v>
      </c>
      <c r="E584" t="s">
        <v>755</v>
      </c>
      <c r="F584" t="str">
        <f>IF(Client_churn3[[#This Row],[Type_Forfait]]= "Pro Monde", "B2B", "B2C")</f>
        <v>B2C</v>
      </c>
      <c r="G584">
        <v>78</v>
      </c>
      <c r="H584" s="7">
        <v>90.05</v>
      </c>
      <c r="I5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84" s="9">
        <f>Client_churn3[[#This Row],[Facture_Mensuelle]]*Client_churn3[[#This Row],[Remise Client]]</f>
        <v>0</v>
      </c>
      <c r="K584">
        <v>2</v>
      </c>
      <c r="L584"/>
    </row>
    <row r="585" spans="1:12" x14ac:dyDescent="0.25">
      <c r="A585">
        <f t="shared" si="9"/>
        <v>584</v>
      </c>
      <c r="B585" t="s">
        <v>1355</v>
      </c>
      <c r="C585" t="s">
        <v>742</v>
      </c>
      <c r="D585">
        <v>92</v>
      </c>
      <c r="E585" t="s">
        <v>743</v>
      </c>
      <c r="F585" t="str">
        <f>IF(Client_churn3[[#This Row],[Type_Forfait]]= "Pro Monde", "B2B", "B2C")</f>
        <v>B2C</v>
      </c>
      <c r="G585">
        <v>4</v>
      </c>
      <c r="H585" s="7">
        <v>22.03</v>
      </c>
      <c r="I5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85" s="9">
        <f>Client_churn3[[#This Row],[Facture_Mensuelle]]*Client_churn3[[#This Row],[Remise Client]]</f>
        <v>0</v>
      </c>
      <c r="K585">
        <v>3</v>
      </c>
      <c r="L585"/>
    </row>
    <row r="586" spans="1:12" x14ac:dyDescent="0.25">
      <c r="A586">
        <f t="shared" si="9"/>
        <v>585</v>
      </c>
      <c r="B586" t="s">
        <v>1356</v>
      </c>
      <c r="C586" t="s">
        <v>742</v>
      </c>
      <c r="D586">
        <v>83</v>
      </c>
      <c r="E586" t="s">
        <v>746</v>
      </c>
      <c r="F586" t="str">
        <f>IF(Client_churn3[[#This Row],[Type_Forfait]]= "Pro Monde", "B2B", "B2C")</f>
        <v>B2B</v>
      </c>
      <c r="G586">
        <v>219</v>
      </c>
      <c r="H586" s="7">
        <v>52.26</v>
      </c>
      <c r="I5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86" s="9">
        <f>Client_churn3[[#This Row],[Facture_Mensuelle]]*Client_churn3[[#This Row],[Remise Client]]</f>
        <v>5.226</v>
      </c>
      <c r="K586">
        <v>1</v>
      </c>
      <c r="L586"/>
    </row>
    <row r="587" spans="1:12" x14ac:dyDescent="0.25">
      <c r="A587">
        <f t="shared" si="9"/>
        <v>586</v>
      </c>
      <c r="B587" t="s">
        <v>1357</v>
      </c>
      <c r="C587" t="s">
        <v>760</v>
      </c>
      <c r="D587">
        <v>114</v>
      </c>
      <c r="E587" t="s">
        <v>743</v>
      </c>
      <c r="F587" t="str">
        <f>IF(Client_churn3[[#This Row],[Type_Forfait]]= "Pro Monde", "B2B", "B2C")</f>
        <v>B2C</v>
      </c>
      <c r="G587">
        <v>304</v>
      </c>
      <c r="H587" s="7">
        <v>52.07</v>
      </c>
      <c r="I5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87" s="9">
        <f>Client_churn3[[#This Row],[Facture_Mensuelle]]*Client_churn3[[#This Row],[Remise Client]]</f>
        <v>23.4315</v>
      </c>
      <c r="K587">
        <v>1</v>
      </c>
      <c r="L587"/>
    </row>
    <row r="588" spans="1:12" x14ac:dyDescent="0.25">
      <c r="A588">
        <f t="shared" si="9"/>
        <v>587</v>
      </c>
      <c r="B588" t="s">
        <v>1358</v>
      </c>
      <c r="C588" t="s">
        <v>893</v>
      </c>
      <c r="D588">
        <v>75</v>
      </c>
      <c r="E588" t="s">
        <v>746</v>
      </c>
      <c r="F588" t="str">
        <f>IF(Client_churn3[[#This Row],[Type_Forfait]]= "Pro Monde", "B2B", "B2C")</f>
        <v>B2B</v>
      </c>
      <c r="G588">
        <v>242</v>
      </c>
      <c r="H588" s="7">
        <v>64.27</v>
      </c>
      <c r="I5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88" s="9">
        <f>Client_churn3[[#This Row],[Facture_Mensuelle]]*Client_churn3[[#This Row],[Remise Client]]</f>
        <v>6.4269999999999996</v>
      </c>
      <c r="K588">
        <v>2</v>
      </c>
      <c r="L588"/>
    </row>
    <row r="589" spans="1:12" x14ac:dyDescent="0.25">
      <c r="A589">
        <f t="shared" si="9"/>
        <v>588</v>
      </c>
      <c r="B589" t="s">
        <v>1359</v>
      </c>
      <c r="C589" t="s">
        <v>742</v>
      </c>
      <c r="D589">
        <v>115</v>
      </c>
      <c r="E589" t="s">
        <v>743</v>
      </c>
      <c r="F589" t="str">
        <f>IF(Client_churn3[[#This Row],[Type_Forfait]]= "Pro Monde", "B2B", "B2C")</f>
        <v>B2C</v>
      </c>
      <c r="G589">
        <v>176</v>
      </c>
      <c r="H589" s="7">
        <v>33.28</v>
      </c>
      <c r="I5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89" s="9">
        <f>Client_churn3[[#This Row],[Facture_Mensuelle]]*Client_churn3[[#This Row],[Remise Client]]</f>
        <v>0</v>
      </c>
      <c r="K589">
        <v>4</v>
      </c>
      <c r="L589"/>
    </row>
    <row r="590" spans="1:12" x14ac:dyDescent="0.25">
      <c r="A590">
        <f t="shared" si="9"/>
        <v>589</v>
      </c>
      <c r="B590" t="s">
        <v>1360</v>
      </c>
      <c r="C590" t="s">
        <v>768</v>
      </c>
      <c r="D590">
        <v>12</v>
      </c>
      <c r="E590" t="s">
        <v>749</v>
      </c>
      <c r="F590" t="str">
        <f>IF(Client_churn3[[#This Row],[Type_Forfait]]= "Pro Monde", "B2B", "B2C")</f>
        <v>B2C</v>
      </c>
      <c r="G590">
        <v>235</v>
      </c>
      <c r="H590" s="7">
        <v>33.96</v>
      </c>
      <c r="I5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90" s="9">
        <f>Client_churn3[[#This Row],[Facture_Mensuelle]]*Client_churn3[[#This Row],[Remise Client]]</f>
        <v>0</v>
      </c>
      <c r="K590">
        <v>4</v>
      </c>
      <c r="L590"/>
    </row>
    <row r="591" spans="1:12" x14ac:dyDescent="0.25">
      <c r="A591">
        <f t="shared" si="9"/>
        <v>590</v>
      </c>
      <c r="B591" t="s">
        <v>1361</v>
      </c>
      <c r="C591" t="s">
        <v>768</v>
      </c>
      <c r="D591">
        <v>44</v>
      </c>
      <c r="E591" t="s">
        <v>743</v>
      </c>
      <c r="F591" t="str">
        <f>IF(Client_churn3[[#This Row],[Type_Forfait]]= "Pro Monde", "B2B", "B2C")</f>
        <v>B2C</v>
      </c>
      <c r="G591">
        <v>199</v>
      </c>
      <c r="H591" s="7">
        <v>67.650000000000006</v>
      </c>
      <c r="I5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91" s="9">
        <f>Client_churn3[[#This Row],[Facture_Mensuelle]]*Client_churn3[[#This Row],[Remise Client]]</f>
        <v>0</v>
      </c>
      <c r="K591">
        <v>0</v>
      </c>
      <c r="L591"/>
    </row>
    <row r="592" spans="1:12" x14ac:dyDescent="0.25">
      <c r="A592">
        <f t="shared" si="9"/>
        <v>591</v>
      </c>
      <c r="B592" t="s">
        <v>1362</v>
      </c>
      <c r="C592" t="s">
        <v>764</v>
      </c>
      <c r="D592">
        <v>48</v>
      </c>
      <c r="E592" t="s">
        <v>755</v>
      </c>
      <c r="F592" t="str">
        <f>IF(Client_churn3[[#This Row],[Type_Forfait]]= "Pro Monde", "B2B", "B2C")</f>
        <v>B2C</v>
      </c>
      <c r="G592">
        <v>338</v>
      </c>
      <c r="H592" s="7">
        <v>74.42</v>
      </c>
      <c r="I5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92" s="9">
        <f>Client_churn3[[#This Row],[Facture_Mensuelle]]*Client_churn3[[#This Row],[Remise Client]]</f>
        <v>33.489000000000004</v>
      </c>
      <c r="K592">
        <v>0</v>
      </c>
      <c r="L592"/>
    </row>
    <row r="593" spans="1:12" x14ac:dyDescent="0.25">
      <c r="A593">
        <f t="shared" si="9"/>
        <v>592</v>
      </c>
      <c r="B593" t="s">
        <v>1363</v>
      </c>
      <c r="C593" t="s">
        <v>748</v>
      </c>
      <c r="D593">
        <v>51</v>
      </c>
      <c r="E593" t="s">
        <v>755</v>
      </c>
      <c r="F593" t="str">
        <f>IF(Client_churn3[[#This Row],[Type_Forfait]]= "Pro Monde", "B2B", "B2C")</f>
        <v>B2C</v>
      </c>
      <c r="G593">
        <v>222</v>
      </c>
      <c r="H593" s="7">
        <v>18.95</v>
      </c>
      <c r="I5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93" s="9">
        <f>Client_churn3[[#This Row],[Facture_Mensuelle]]*Client_churn3[[#This Row],[Remise Client]]</f>
        <v>0</v>
      </c>
      <c r="K593">
        <v>4</v>
      </c>
      <c r="L593"/>
    </row>
    <row r="594" spans="1:12" x14ac:dyDescent="0.25">
      <c r="A594">
        <f t="shared" si="9"/>
        <v>593</v>
      </c>
      <c r="B594" t="s">
        <v>1364</v>
      </c>
      <c r="C594" t="s">
        <v>745</v>
      </c>
      <c r="D594">
        <v>57</v>
      </c>
      <c r="E594" t="s">
        <v>749</v>
      </c>
      <c r="F594" t="str">
        <f>IF(Client_churn3[[#This Row],[Type_Forfait]]= "Pro Monde", "B2B", "B2C")</f>
        <v>B2C</v>
      </c>
      <c r="G594">
        <v>435</v>
      </c>
      <c r="H594" s="7">
        <v>56.88</v>
      </c>
      <c r="I5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94" s="9">
        <f>Client_churn3[[#This Row],[Facture_Mensuelle]]*Client_churn3[[#This Row],[Remise Client]]</f>
        <v>25.596</v>
      </c>
      <c r="K594">
        <v>4</v>
      </c>
      <c r="L594"/>
    </row>
    <row r="595" spans="1:12" x14ac:dyDescent="0.25">
      <c r="A595">
        <f t="shared" si="9"/>
        <v>594</v>
      </c>
      <c r="B595" t="s">
        <v>1365</v>
      </c>
      <c r="C595" t="s">
        <v>768</v>
      </c>
      <c r="D595">
        <v>37</v>
      </c>
      <c r="E595" t="s">
        <v>743</v>
      </c>
      <c r="F595" t="str">
        <f>IF(Client_churn3[[#This Row],[Type_Forfait]]= "Pro Monde", "B2B", "B2C")</f>
        <v>B2C</v>
      </c>
      <c r="G595">
        <v>87</v>
      </c>
      <c r="H595" s="7">
        <v>26.4</v>
      </c>
      <c r="I5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595" s="9">
        <f>Client_churn3[[#This Row],[Facture_Mensuelle]]*Client_churn3[[#This Row],[Remise Client]]</f>
        <v>0</v>
      </c>
      <c r="K595">
        <v>3</v>
      </c>
      <c r="L595"/>
    </row>
    <row r="596" spans="1:12" x14ac:dyDescent="0.25">
      <c r="A596">
        <f t="shared" si="9"/>
        <v>595</v>
      </c>
      <c r="B596" t="s">
        <v>1366</v>
      </c>
      <c r="C596" t="s">
        <v>758</v>
      </c>
      <c r="D596">
        <v>22</v>
      </c>
      <c r="E596" t="s">
        <v>746</v>
      </c>
      <c r="F596" t="str">
        <f>IF(Client_churn3[[#This Row],[Type_Forfait]]= "Pro Monde", "B2B", "B2C")</f>
        <v>B2B</v>
      </c>
      <c r="G596">
        <v>374</v>
      </c>
      <c r="H596" s="7">
        <v>40.06</v>
      </c>
      <c r="I5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96" s="9">
        <f>Client_churn3[[#This Row],[Facture_Mensuelle]]*Client_churn3[[#This Row],[Remise Client]]</f>
        <v>4.0060000000000002</v>
      </c>
      <c r="K596">
        <v>5</v>
      </c>
      <c r="L596"/>
    </row>
    <row r="597" spans="1:12" x14ac:dyDescent="0.25">
      <c r="A597">
        <f t="shared" si="9"/>
        <v>596</v>
      </c>
      <c r="B597" t="s">
        <v>1367</v>
      </c>
      <c r="C597" t="s">
        <v>799</v>
      </c>
      <c r="D597">
        <v>21</v>
      </c>
      <c r="E597" t="s">
        <v>749</v>
      </c>
      <c r="F597" t="str">
        <f>IF(Client_churn3[[#This Row],[Type_Forfait]]= "Pro Monde", "B2B", "B2C")</f>
        <v>B2C</v>
      </c>
      <c r="G597">
        <v>460</v>
      </c>
      <c r="H597" s="7">
        <v>70.81</v>
      </c>
      <c r="I5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597" s="9">
        <f>Client_churn3[[#This Row],[Facture_Mensuelle]]*Client_churn3[[#This Row],[Remise Client]]</f>
        <v>31.864500000000003</v>
      </c>
      <c r="K597">
        <v>2</v>
      </c>
      <c r="L597"/>
    </row>
    <row r="598" spans="1:12" x14ac:dyDescent="0.25">
      <c r="A598">
        <f t="shared" si="9"/>
        <v>597</v>
      </c>
      <c r="B598" t="s">
        <v>1368</v>
      </c>
      <c r="C598" t="s">
        <v>754</v>
      </c>
      <c r="D598">
        <v>67</v>
      </c>
      <c r="E598" t="s">
        <v>746</v>
      </c>
      <c r="F598" t="str">
        <f>IF(Client_churn3[[#This Row],[Type_Forfait]]= "Pro Monde", "B2B", "B2C")</f>
        <v>B2B</v>
      </c>
      <c r="G598">
        <v>55</v>
      </c>
      <c r="H598" s="7">
        <v>27.04</v>
      </c>
      <c r="I5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98" s="9">
        <f>Client_churn3[[#This Row],[Facture_Mensuelle]]*Client_churn3[[#This Row],[Remise Client]]</f>
        <v>2.7040000000000002</v>
      </c>
      <c r="K598">
        <v>1</v>
      </c>
      <c r="L598"/>
    </row>
    <row r="599" spans="1:12" x14ac:dyDescent="0.25">
      <c r="A599">
        <f t="shared" si="9"/>
        <v>598</v>
      </c>
      <c r="B599" t="s">
        <v>1369</v>
      </c>
      <c r="C599" t="s">
        <v>770</v>
      </c>
      <c r="D599">
        <v>23</v>
      </c>
      <c r="E599" t="s">
        <v>746</v>
      </c>
      <c r="F599" t="str">
        <f>IF(Client_churn3[[#This Row],[Type_Forfait]]= "Pro Monde", "B2B", "B2C")</f>
        <v>B2B</v>
      </c>
      <c r="G599">
        <v>473</v>
      </c>
      <c r="H599" s="7">
        <v>71.86</v>
      </c>
      <c r="I5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599" s="9">
        <f>Client_churn3[[#This Row],[Facture_Mensuelle]]*Client_churn3[[#This Row],[Remise Client]]</f>
        <v>7.1859999999999999</v>
      </c>
      <c r="K599">
        <v>3</v>
      </c>
      <c r="L599"/>
    </row>
    <row r="600" spans="1:12" x14ac:dyDescent="0.25">
      <c r="A600">
        <f t="shared" si="9"/>
        <v>599</v>
      </c>
      <c r="B600" t="s">
        <v>1370</v>
      </c>
      <c r="C600" t="s">
        <v>754</v>
      </c>
      <c r="D600">
        <v>20</v>
      </c>
      <c r="E600" t="s">
        <v>749</v>
      </c>
      <c r="F600" t="str">
        <f>IF(Client_churn3[[#This Row],[Type_Forfait]]= "Pro Monde", "B2B", "B2C")</f>
        <v>B2C</v>
      </c>
      <c r="G600">
        <v>4</v>
      </c>
      <c r="H600" s="7">
        <v>84.9</v>
      </c>
      <c r="I6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0" s="9">
        <f>Client_churn3[[#This Row],[Facture_Mensuelle]]*Client_churn3[[#This Row],[Remise Client]]</f>
        <v>0</v>
      </c>
      <c r="K600">
        <v>3</v>
      </c>
      <c r="L600"/>
    </row>
    <row r="601" spans="1:12" x14ac:dyDescent="0.25">
      <c r="A601">
        <f t="shared" si="9"/>
        <v>600</v>
      </c>
      <c r="B601" t="s">
        <v>1371</v>
      </c>
      <c r="C601" t="s">
        <v>745</v>
      </c>
      <c r="D601">
        <v>12</v>
      </c>
      <c r="E601" t="s">
        <v>755</v>
      </c>
      <c r="F601" t="str">
        <f>IF(Client_churn3[[#This Row],[Type_Forfait]]= "Pro Monde", "B2B", "B2C")</f>
        <v>B2C</v>
      </c>
      <c r="G601">
        <v>208</v>
      </c>
      <c r="H601" s="7">
        <v>16.29</v>
      </c>
      <c r="I6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1" s="9">
        <f>Client_churn3[[#This Row],[Facture_Mensuelle]]*Client_churn3[[#This Row],[Remise Client]]</f>
        <v>0</v>
      </c>
      <c r="K601">
        <v>4</v>
      </c>
      <c r="L601"/>
    </row>
    <row r="602" spans="1:12" x14ac:dyDescent="0.25">
      <c r="A602">
        <f t="shared" si="9"/>
        <v>601</v>
      </c>
      <c r="B602" t="s">
        <v>1372</v>
      </c>
      <c r="C602" t="s">
        <v>842</v>
      </c>
      <c r="D602">
        <v>6</v>
      </c>
      <c r="E602" t="s">
        <v>755</v>
      </c>
      <c r="F602" t="str">
        <f>IF(Client_churn3[[#This Row],[Type_Forfait]]= "Pro Monde", "B2B", "B2C")</f>
        <v>B2C</v>
      </c>
      <c r="G602">
        <v>162</v>
      </c>
      <c r="H602" s="7">
        <v>99.93</v>
      </c>
      <c r="I6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2" s="9">
        <f>Client_churn3[[#This Row],[Facture_Mensuelle]]*Client_churn3[[#This Row],[Remise Client]]</f>
        <v>0</v>
      </c>
      <c r="K602">
        <v>0</v>
      </c>
      <c r="L602"/>
    </row>
    <row r="603" spans="1:12" x14ac:dyDescent="0.25">
      <c r="A603">
        <f t="shared" si="9"/>
        <v>602</v>
      </c>
      <c r="B603" t="s">
        <v>1373</v>
      </c>
      <c r="C603" t="s">
        <v>893</v>
      </c>
      <c r="D603">
        <v>25</v>
      </c>
      <c r="E603" t="s">
        <v>743</v>
      </c>
      <c r="F603" t="str">
        <f>IF(Client_churn3[[#This Row],[Type_Forfait]]= "Pro Monde", "B2B", "B2C")</f>
        <v>B2C</v>
      </c>
      <c r="G603">
        <v>5</v>
      </c>
      <c r="H603" s="7">
        <v>27.93</v>
      </c>
      <c r="I6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3" s="9">
        <f>Client_churn3[[#This Row],[Facture_Mensuelle]]*Client_churn3[[#This Row],[Remise Client]]</f>
        <v>0</v>
      </c>
      <c r="K603">
        <v>0</v>
      </c>
      <c r="L603"/>
    </row>
    <row r="604" spans="1:12" x14ac:dyDescent="0.25">
      <c r="A604">
        <f t="shared" si="9"/>
        <v>603</v>
      </c>
      <c r="B604" t="s">
        <v>1374</v>
      </c>
      <c r="C604" t="s">
        <v>796</v>
      </c>
      <c r="D604">
        <v>39</v>
      </c>
      <c r="E604" t="s">
        <v>746</v>
      </c>
      <c r="F604" t="str">
        <f>IF(Client_churn3[[#This Row],[Type_Forfait]]= "Pro Monde", "B2B", "B2C")</f>
        <v>B2B</v>
      </c>
      <c r="G604">
        <v>54</v>
      </c>
      <c r="H604" s="7">
        <v>88.84</v>
      </c>
      <c r="I6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04" s="9">
        <f>Client_churn3[[#This Row],[Facture_Mensuelle]]*Client_churn3[[#This Row],[Remise Client]]</f>
        <v>8.8840000000000003</v>
      </c>
      <c r="K604">
        <v>0</v>
      </c>
      <c r="L604"/>
    </row>
    <row r="605" spans="1:12" x14ac:dyDescent="0.25">
      <c r="A605">
        <f t="shared" si="9"/>
        <v>604</v>
      </c>
      <c r="B605" t="s">
        <v>1375</v>
      </c>
      <c r="C605" t="s">
        <v>758</v>
      </c>
      <c r="D605">
        <v>120</v>
      </c>
      <c r="E605" t="s">
        <v>755</v>
      </c>
      <c r="F605" t="str">
        <f>IF(Client_churn3[[#This Row],[Type_Forfait]]= "Pro Monde", "B2B", "B2C")</f>
        <v>B2C</v>
      </c>
      <c r="G605">
        <v>391</v>
      </c>
      <c r="H605" s="7">
        <v>67.77</v>
      </c>
      <c r="I6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05" s="9">
        <f>Client_churn3[[#This Row],[Facture_Mensuelle]]*Client_churn3[[#This Row],[Remise Client]]</f>
        <v>30.496499999999997</v>
      </c>
      <c r="K605">
        <v>4</v>
      </c>
      <c r="L605"/>
    </row>
    <row r="606" spans="1:12" x14ac:dyDescent="0.25">
      <c r="A606">
        <f t="shared" si="9"/>
        <v>605</v>
      </c>
      <c r="B606" t="s">
        <v>1376</v>
      </c>
      <c r="C606" t="s">
        <v>809</v>
      </c>
      <c r="D606">
        <v>51</v>
      </c>
      <c r="E606" t="s">
        <v>743</v>
      </c>
      <c r="F606" t="str">
        <f>IF(Client_churn3[[#This Row],[Type_Forfait]]= "Pro Monde", "B2B", "B2C")</f>
        <v>B2C</v>
      </c>
      <c r="G606">
        <v>260</v>
      </c>
      <c r="H606" s="7">
        <v>92.8</v>
      </c>
      <c r="I6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06" s="9">
        <f>Client_churn3[[#This Row],[Facture_Mensuelle]]*Client_churn3[[#This Row],[Remise Client]]</f>
        <v>41.76</v>
      </c>
      <c r="K606">
        <v>5</v>
      </c>
      <c r="L606"/>
    </row>
    <row r="607" spans="1:12" x14ac:dyDescent="0.25">
      <c r="A607">
        <f t="shared" si="9"/>
        <v>606</v>
      </c>
      <c r="B607" t="s">
        <v>1377</v>
      </c>
      <c r="C607" t="s">
        <v>802</v>
      </c>
      <c r="D607">
        <v>11</v>
      </c>
      <c r="E607" t="s">
        <v>755</v>
      </c>
      <c r="F607" t="str">
        <f>IF(Client_churn3[[#This Row],[Type_Forfait]]= "Pro Monde", "B2B", "B2C")</f>
        <v>B2C</v>
      </c>
      <c r="G607">
        <v>191</v>
      </c>
      <c r="H607" s="7">
        <v>87.37</v>
      </c>
      <c r="I6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7" s="9">
        <f>Client_churn3[[#This Row],[Facture_Mensuelle]]*Client_churn3[[#This Row],[Remise Client]]</f>
        <v>0</v>
      </c>
      <c r="K607">
        <v>3</v>
      </c>
      <c r="L607"/>
    </row>
    <row r="608" spans="1:12" x14ac:dyDescent="0.25">
      <c r="A608">
        <f t="shared" si="9"/>
        <v>607</v>
      </c>
      <c r="B608" t="s">
        <v>1378</v>
      </c>
      <c r="C608" t="s">
        <v>782</v>
      </c>
      <c r="D608">
        <v>47</v>
      </c>
      <c r="E608" t="s">
        <v>755</v>
      </c>
      <c r="F608" t="str">
        <f>IF(Client_churn3[[#This Row],[Type_Forfait]]= "Pro Monde", "B2B", "B2C")</f>
        <v>B2C</v>
      </c>
      <c r="G608">
        <v>457</v>
      </c>
      <c r="H608" s="7">
        <v>84.93</v>
      </c>
      <c r="I6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08" s="9">
        <f>Client_churn3[[#This Row],[Facture_Mensuelle]]*Client_churn3[[#This Row],[Remise Client]]</f>
        <v>38.218500000000006</v>
      </c>
      <c r="K608">
        <v>2</v>
      </c>
      <c r="L608"/>
    </row>
    <row r="609" spans="1:12" x14ac:dyDescent="0.25">
      <c r="A609">
        <f t="shared" si="9"/>
        <v>608</v>
      </c>
      <c r="B609" t="s">
        <v>1379</v>
      </c>
      <c r="C609" t="s">
        <v>751</v>
      </c>
      <c r="D609">
        <v>98</v>
      </c>
      <c r="E609" t="s">
        <v>749</v>
      </c>
      <c r="F609" t="str">
        <f>IF(Client_churn3[[#This Row],[Type_Forfait]]= "Pro Monde", "B2B", "B2C")</f>
        <v>B2C</v>
      </c>
      <c r="G609">
        <v>110</v>
      </c>
      <c r="H609" s="7">
        <v>96.23</v>
      </c>
      <c r="I6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09" s="9">
        <f>Client_churn3[[#This Row],[Facture_Mensuelle]]*Client_churn3[[#This Row],[Remise Client]]</f>
        <v>0</v>
      </c>
      <c r="K609">
        <v>2</v>
      </c>
      <c r="L609"/>
    </row>
    <row r="610" spans="1:12" x14ac:dyDescent="0.25">
      <c r="A610">
        <f t="shared" si="9"/>
        <v>609</v>
      </c>
      <c r="B610" t="s">
        <v>1380</v>
      </c>
      <c r="C610" t="s">
        <v>809</v>
      </c>
      <c r="D610">
        <v>28</v>
      </c>
      <c r="E610" t="s">
        <v>755</v>
      </c>
      <c r="F610" t="str">
        <f>IF(Client_churn3[[#This Row],[Type_Forfait]]= "Pro Monde", "B2B", "B2C")</f>
        <v>B2C</v>
      </c>
      <c r="G610">
        <v>96</v>
      </c>
      <c r="H610" s="7">
        <v>72.010000000000005</v>
      </c>
      <c r="I6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10" s="9">
        <f>Client_churn3[[#This Row],[Facture_Mensuelle]]*Client_churn3[[#This Row],[Remise Client]]</f>
        <v>0</v>
      </c>
      <c r="K610">
        <v>4</v>
      </c>
      <c r="L610"/>
    </row>
    <row r="611" spans="1:12" x14ac:dyDescent="0.25">
      <c r="A611">
        <f t="shared" si="9"/>
        <v>610</v>
      </c>
      <c r="B611" t="s">
        <v>1381</v>
      </c>
      <c r="C611" t="s">
        <v>742</v>
      </c>
      <c r="D611">
        <v>77</v>
      </c>
      <c r="E611" t="s">
        <v>749</v>
      </c>
      <c r="F611" t="str">
        <f>IF(Client_churn3[[#This Row],[Type_Forfait]]= "Pro Monde", "B2B", "B2C")</f>
        <v>B2C</v>
      </c>
      <c r="G611">
        <v>375</v>
      </c>
      <c r="H611" s="7">
        <v>24.03</v>
      </c>
      <c r="I6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1" s="9">
        <f>Client_churn3[[#This Row],[Facture_Mensuelle]]*Client_churn3[[#This Row],[Remise Client]]</f>
        <v>10.813500000000001</v>
      </c>
      <c r="K611">
        <v>1</v>
      </c>
      <c r="L611"/>
    </row>
    <row r="612" spans="1:12" x14ac:dyDescent="0.25">
      <c r="A612">
        <f t="shared" si="9"/>
        <v>611</v>
      </c>
      <c r="B612" t="s">
        <v>1382</v>
      </c>
      <c r="C612" t="s">
        <v>768</v>
      </c>
      <c r="D612">
        <v>56</v>
      </c>
      <c r="E612" t="s">
        <v>743</v>
      </c>
      <c r="F612" t="str">
        <f>IF(Client_churn3[[#This Row],[Type_Forfait]]= "Pro Monde", "B2B", "B2C")</f>
        <v>B2C</v>
      </c>
      <c r="G612">
        <v>333</v>
      </c>
      <c r="H612" s="7">
        <v>23.01</v>
      </c>
      <c r="I6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2" s="9">
        <f>Client_churn3[[#This Row],[Facture_Mensuelle]]*Client_churn3[[#This Row],[Remise Client]]</f>
        <v>10.354500000000002</v>
      </c>
      <c r="K612">
        <v>2</v>
      </c>
      <c r="L612"/>
    </row>
    <row r="613" spans="1:12" x14ac:dyDescent="0.25">
      <c r="A613">
        <f t="shared" si="9"/>
        <v>612</v>
      </c>
      <c r="B613" t="s">
        <v>1383</v>
      </c>
      <c r="C613" t="s">
        <v>745</v>
      </c>
      <c r="D613">
        <v>66</v>
      </c>
      <c r="E613" t="s">
        <v>749</v>
      </c>
      <c r="F613" t="str">
        <f>IF(Client_churn3[[#This Row],[Type_Forfait]]= "Pro Monde", "B2B", "B2C")</f>
        <v>B2C</v>
      </c>
      <c r="G613">
        <v>387</v>
      </c>
      <c r="H613" s="7">
        <v>82.94</v>
      </c>
      <c r="I6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3" s="9">
        <f>Client_churn3[[#This Row],[Facture_Mensuelle]]*Client_churn3[[#This Row],[Remise Client]]</f>
        <v>37.323</v>
      </c>
      <c r="K613">
        <v>3</v>
      </c>
      <c r="L613"/>
    </row>
    <row r="614" spans="1:12" x14ac:dyDescent="0.25">
      <c r="A614">
        <f t="shared" si="9"/>
        <v>613</v>
      </c>
      <c r="B614" t="s">
        <v>1384</v>
      </c>
      <c r="C614" t="s">
        <v>842</v>
      </c>
      <c r="D614">
        <v>75</v>
      </c>
      <c r="E614" t="s">
        <v>743</v>
      </c>
      <c r="F614" t="str">
        <f>IF(Client_churn3[[#This Row],[Type_Forfait]]= "Pro Monde", "B2B", "B2C")</f>
        <v>B2C</v>
      </c>
      <c r="G614">
        <v>282</v>
      </c>
      <c r="H614" s="7">
        <v>45.16</v>
      </c>
      <c r="I6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4" s="9">
        <f>Client_churn3[[#This Row],[Facture_Mensuelle]]*Client_churn3[[#This Row],[Remise Client]]</f>
        <v>20.321999999999999</v>
      </c>
      <c r="K614">
        <v>5</v>
      </c>
      <c r="L614"/>
    </row>
    <row r="615" spans="1:12" x14ac:dyDescent="0.25">
      <c r="A615">
        <f t="shared" si="9"/>
        <v>614</v>
      </c>
      <c r="B615" t="s">
        <v>1385</v>
      </c>
      <c r="C615" t="s">
        <v>742</v>
      </c>
      <c r="D615">
        <v>39</v>
      </c>
      <c r="E615" t="s">
        <v>755</v>
      </c>
      <c r="F615" t="str">
        <f>IF(Client_churn3[[#This Row],[Type_Forfait]]= "Pro Monde", "B2B", "B2C")</f>
        <v>B2C</v>
      </c>
      <c r="G615">
        <v>1</v>
      </c>
      <c r="H615" s="7">
        <v>66.94</v>
      </c>
      <c r="I6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15" s="9">
        <f>Client_churn3[[#This Row],[Facture_Mensuelle]]*Client_churn3[[#This Row],[Remise Client]]</f>
        <v>0</v>
      </c>
      <c r="K615">
        <v>5</v>
      </c>
      <c r="L615"/>
    </row>
    <row r="616" spans="1:12" x14ac:dyDescent="0.25">
      <c r="A616">
        <f t="shared" si="9"/>
        <v>615</v>
      </c>
      <c r="B616" t="s">
        <v>1386</v>
      </c>
      <c r="C616" t="s">
        <v>748</v>
      </c>
      <c r="D616">
        <v>102</v>
      </c>
      <c r="E616" t="s">
        <v>743</v>
      </c>
      <c r="F616" t="str">
        <f>IF(Client_churn3[[#This Row],[Type_Forfait]]= "Pro Monde", "B2B", "B2C")</f>
        <v>B2C</v>
      </c>
      <c r="G616">
        <v>91</v>
      </c>
      <c r="H616" s="7">
        <v>34.64</v>
      </c>
      <c r="I6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16" s="9">
        <f>Client_churn3[[#This Row],[Facture_Mensuelle]]*Client_churn3[[#This Row],[Remise Client]]</f>
        <v>0</v>
      </c>
      <c r="K616">
        <v>2</v>
      </c>
      <c r="L616"/>
    </row>
    <row r="617" spans="1:12" x14ac:dyDescent="0.25">
      <c r="A617">
        <f t="shared" si="9"/>
        <v>616</v>
      </c>
      <c r="B617" t="s">
        <v>1387</v>
      </c>
      <c r="C617" t="s">
        <v>782</v>
      </c>
      <c r="D617">
        <v>55</v>
      </c>
      <c r="E617" t="s">
        <v>755</v>
      </c>
      <c r="F617" t="str">
        <f>IF(Client_churn3[[#This Row],[Type_Forfait]]= "Pro Monde", "B2B", "B2C")</f>
        <v>B2C</v>
      </c>
      <c r="G617">
        <v>394</v>
      </c>
      <c r="H617" s="7">
        <v>26.8</v>
      </c>
      <c r="I6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7" s="9">
        <f>Client_churn3[[#This Row],[Facture_Mensuelle]]*Client_churn3[[#This Row],[Remise Client]]</f>
        <v>12.06</v>
      </c>
      <c r="K617">
        <v>4</v>
      </c>
      <c r="L617"/>
    </row>
    <row r="618" spans="1:12" x14ac:dyDescent="0.25">
      <c r="A618">
        <f t="shared" si="9"/>
        <v>617</v>
      </c>
      <c r="B618" t="s">
        <v>1388</v>
      </c>
      <c r="C618" t="s">
        <v>776</v>
      </c>
      <c r="D618">
        <v>78</v>
      </c>
      <c r="E618" t="s">
        <v>749</v>
      </c>
      <c r="F618" t="str">
        <f>IF(Client_churn3[[#This Row],[Type_Forfait]]= "Pro Monde", "B2B", "B2C")</f>
        <v>B2C</v>
      </c>
      <c r="G618">
        <v>198</v>
      </c>
      <c r="H618" s="7">
        <v>69.849999999999994</v>
      </c>
      <c r="I6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18" s="9">
        <f>Client_churn3[[#This Row],[Facture_Mensuelle]]*Client_churn3[[#This Row],[Remise Client]]</f>
        <v>0</v>
      </c>
      <c r="K618">
        <v>0</v>
      </c>
      <c r="L618"/>
    </row>
    <row r="619" spans="1:12" x14ac:dyDescent="0.25">
      <c r="A619">
        <f t="shared" si="9"/>
        <v>618</v>
      </c>
      <c r="B619" t="s">
        <v>1389</v>
      </c>
      <c r="C619" t="s">
        <v>802</v>
      </c>
      <c r="D619">
        <v>5</v>
      </c>
      <c r="E619" t="s">
        <v>755</v>
      </c>
      <c r="F619" t="str">
        <f>IF(Client_churn3[[#This Row],[Type_Forfait]]= "Pro Monde", "B2B", "B2C")</f>
        <v>B2C</v>
      </c>
      <c r="G619">
        <v>384</v>
      </c>
      <c r="H619" s="7">
        <v>97.26</v>
      </c>
      <c r="I6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19" s="9">
        <f>Client_churn3[[#This Row],[Facture_Mensuelle]]*Client_churn3[[#This Row],[Remise Client]]</f>
        <v>43.767000000000003</v>
      </c>
      <c r="K619">
        <v>3</v>
      </c>
      <c r="L619"/>
    </row>
    <row r="620" spans="1:12" x14ac:dyDescent="0.25">
      <c r="A620">
        <f t="shared" si="9"/>
        <v>619</v>
      </c>
      <c r="B620" t="s">
        <v>1390</v>
      </c>
      <c r="C620" t="s">
        <v>758</v>
      </c>
      <c r="D620">
        <v>87</v>
      </c>
      <c r="E620" t="s">
        <v>746</v>
      </c>
      <c r="F620" t="str">
        <f>IF(Client_churn3[[#This Row],[Type_Forfait]]= "Pro Monde", "B2B", "B2C")</f>
        <v>B2B</v>
      </c>
      <c r="G620">
        <v>486</v>
      </c>
      <c r="H620" s="7">
        <v>58.26</v>
      </c>
      <c r="I6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20" s="9">
        <f>Client_churn3[[#This Row],[Facture_Mensuelle]]*Client_churn3[[#This Row],[Remise Client]]</f>
        <v>5.8260000000000005</v>
      </c>
      <c r="K620">
        <v>0</v>
      </c>
      <c r="L620"/>
    </row>
    <row r="621" spans="1:12" x14ac:dyDescent="0.25">
      <c r="A621">
        <f t="shared" si="9"/>
        <v>620</v>
      </c>
      <c r="B621" t="s">
        <v>1391</v>
      </c>
      <c r="C621" t="s">
        <v>842</v>
      </c>
      <c r="D621">
        <v>42</v>
      </c>
      <c r="E621" t="s">
        <v>749</v>
      </c>
      <c r="F621" t="str">
        <f>IF(Client_churn3[[#This Row],[Type_Forfait]]= "Pro Monde", "B2B", "B2C")</f>
        <v>B2C</v>
      </c>
      <c r="G621">
        <v>385</v>
      </c>
      <c r="H621" s="7">
        <v>96.52</v>
      </c>
      <c r="I6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1" s="9">
        <f>Client_churn3[[#This Row],[Facture_Mensuelle]]*Client_churn3[[#This Row],[Remise Client]]</f>
        <v>43.433999999999997</v>
      </c>
      <c r="K621">
        <v>1</v>
      </c>
      <c r="L621"/>
    </row>
    <row r="622" spans="1:12" x14ac:dyDescent="0.25">
      <c r="A622">
        <f t="shared" si="9"/>
        <v>621</v>
      </c>
      <c r="B622" t="s">
        <v>1392</v>
      </c>
      <c r="C622" t="s">
        <v>770</v>
      </c>
      <c r="D622">
        <v>103</v>
      </c>
      <c r="E622" t="s">
        <v>755</v>
      </c>
      <c r="F622" t="str">
        <f>IF(Client_churn3[[#This Row],[Type_Forfait]]= "Pro Monde", "B2B", "B2C")</f>
        <v>B2C</v>
      </c>
      <c r="G622">
        <v>386</v>
      </c>
      <c r="H622" s="7">
        <v>10.58</v>
      </c>
      <c r="I6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2" s="9">
        <f>Client_churn3[[#This Row],[Facture_Mensuelle]]*Client_churn3[[#This Row],[Remise Client]]</f>
        <v>4.7610000000000001</v>
      </c>
      <c r="K622">
        <v>0</v>
      </c>
      <c r="L622"/>
    </row>
    <row r="623" spans="1:12" x14ac:dyDescent="0.25">
      <c r="A623">
        <f t="shared" si="9"/>
        <v>622</v>
      </c>
      <c r="B623" t="s">
        <v>1393</v>
      </c>
      <c r="C623" t="s">
        <v>742</v>
      </c>
      <c r="D623">
        <v>63</v>
      </c>
      <c r="E623" t="s">
        <v>743</v>
      </c>
      <c r="F623" t="str">
        <f>IF(Client_churn3[[#This Row],[Type_Forfait]]= "Pro Monde", "B2B", "B2C")</f>
        <v>B2C</v>
      </c>
      <c r="G623">
        <v>392</v>
      </c>
      <c r="H623" s="7">
        <v>93.11</v>
      </c>
      <c r="I6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3" s="9">
        <f>Client_churn3[[#This Row],[Facture_Mensuelle]]*Client_churn3[[#This Row],[Remise Client]]</f>
        <v>41.899500000000003</v>
      </c>
      <c r="K623">
        <v>3</v>
      </c>
      <c r="L623"/>
    </row>
    <row r="624" spans="1:12" x14ac:dyDescent="0.25">
      <c r="A624">
        <f t="shared" si="9"/>
        <v>623</v>
      </c>
      <c r="B624" t="s">
        <v>1394</v>
      </c>
      <c r="C624" t="s">
        <v>754</v>
      </c>
      <c r="D624">
        <v>52</v>
      </c>
      <c r="E624" t="s">
        <v>743</v>
      </c>
      <c r="F624" t="str">
        <f>IF(Client_churn3[[#This Row],[Type_Forfait]]= "Pro Monde", "B2B", "B2C")</f>
        <v>B2C</v>
      </c>
      <c r="G624">
        <v>307</v>
      </c>
      <c r="H624" s="7">
        <v>81.38</v>
      </c>
      <c r="I6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4" s="9">
        <f>Client_churn3[[#This Row],[Facture_Mensuelle]]*Client_churn3[[#This Row],[Remise Client]]</f>
        <v>36.621000000000002</v>
      </c>
      <c r="K624">
        <v>2</v>
      </c>
      <c r="L624"/>
    </row>
    <row r="625" spans="1:12" x14ac:dyDescent="0.25">
      <c r="A625">
        <f t="shared" si="9"/>
        <v>624</v>
      </c>
      <c r="B625" t="s">
        <v>1395</v>
      </c>
      <c r="C625" t="s">
        <v>778</v>
      </c>
      <c r="D625">
        <v>57</v>
      </c>
      <c r="E625" t="s">
        <v>743</v>
      </c>
      <c r="F625" t="str">
        <f>IF(Client_churn3[[#This Row],[Type_Forfait]]= "Pro Monde", "B2B", "B2C")</f>
        <v>B2C</v>
      </c>
      <c r="G625">
        <v>208</v>
      </c>
      <c r="H625" s="7">
        <v>85.66</v>
      </c>
      <c r="I6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25" s="9">
        <f>Client_churn3[[#This Row],[Facture_Mensuelle]]*Client_churn3[[#This Row],[Remise Client]]</f>
        <v>0</v>
      </c>
      <c r="K625">
        <v>5</v>
      </c>
      <c r="L625"/>
    </row>
    <row r="626" spans="1:12" x14ac:dyDescent="0.25">
      <c r="A626">
        <f t="shared" si="9"/>
        <v>625</v>
      </c>
      <c r="B626" t="s">
        <v>1396</v>
      </c>
      <c r="C626" t="s">
        <v>742</v>
      </c>
      <c r="D626">
        <v>55</v>
      </c>
      <c r="E626" t="s">
        <v>755</v>
      </c>
      <c r="F626" t="str">
        <f>IF(Client_churn3[[#This Row],[Type_Forfait]]= "Pro Monde", "B2B", "B2C")</f>
        <v>B2C</v>
      </c>
      <c r="G626">
        <v>86</v>
      </c>
      <c r="H626" s="7">
        <v>17.440000000000001</v>
      </c>
      <c r="I6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26" s="9">
        <f>Client_churn3[[#This Row],[Facture_Mensuelle]]*Client_churn3[[#This Row],[Remise Client]]</f>
        <v>0</v>
      </c>
      <c r="K626">
        <v>2</v>
      </c>
      <c r="L626"/>
    </row>
    <row r="627" spans="1:12" x14ac:dyDescent="0.25">
      <c r="A627">
        <f t="shared" si="9"/>
        <v>626</v>
      </c>
      <c r="B627" t="s">
        <v>1397</v>
      </c>
      <c r="C627" t="s">
        <v>785</v>
      </c>
      <c r="D627">
        <v>58</v>
      </c>
      <c r="E627" t="s">
        <v>755</v>
      </c>
      <c r="F627" t="str">
        <f>IF(Client_churn3[[#This Row],[Type_Forfait]]= "Pro Monde", "B2B", "B2C")</f>
        <v>B2C</v>
      </c>
      <c r="G627">
        <v>485</v>
      </c>
      <c r="H627" s="7">
        <v>64.290000000000006</v>
      </c>
      <c r="I6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7" s="9">
        <f>Client_churn3[[#This Row],[Facture_Mensuelle]]*Client_churn3[[#This Row],[Remise Client]]</f>
        <v>28.930500000000002</v>
      </c>
      <c r="K627">
        <v>4</v>
      </c>
      <c r="L627"/>
    </row>
    <row r="628" spans="1:12" x14ac:dyDescent="0.25">
      <c r="A628">
        <f t="shared" si="9"/>
        <v>627</v>
      </c>
      <c r="B628" t="s">
        <v>1398</v>
      </c>
      <c r="C628" t="s">
        <v>758</v>
      </c>
      <c r="D628">
        <v>-53</v>
      </c>
      <c r="E628" t="s">
        <v>743</v>
      </c>
      <c r="F628" t="str">
        <f>IF(Client_churn3[[#This Row],[Type_Forfait]]= "Pro Monde", "B2B", "B2C")</f>
        <v>B2C</v>
      </c>
      <c r="G628">
        <v>414</v>
      </c>
      <c r="H628" s="7">
        <v>64.39</v>
      </c>
      <c r="I6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28" s="9">
        <f>Client_churn3[[#This Row],[Facture_Mensuelle]]*Client_churn3[[#This Row],[Remise Client]]</f>
        <v>28.9755</v>
      </c>
      <c r="K628">
        <v>1</v>
      </c>
      <c r="L628"/>
    </row>
    <row r="629" spans="1:12" x14ac:dyDescent="0.25">
      <c r="A629">
        <f t="shared" si="9"/>
        <v>628</v>
      </c>
      <c r="B629" t="s">
        <v>1399</v>
      </c>
      <c r="C629" t="s">
        <v>745</v>
      </c>
      <c r="D629">
        <v>9</v>
      </c>
      <c r="E629" t="s">
        <v>743</v>
      </c>
      <c r="F629" t="str">
        <f>IF(Client_churn3[[#This Row],[Type_Forfait]]= "Pro Monde", "B2B", "B2C")</f>
        <v>B2C</v>
      </c>
      <c r="G629">
        <v>27</v>
      </c>
      <c r="H629" s="7">
        <v>99.02</v>
      </c>
      <c r="I6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29" s="9">
        <f>Client_churn3[[#This Row],[Facture_Mensuelle]]*Client_churn3[[#This Row],[Remise Client]]</f>
        <v>0</v>
      </c>
      <c r="K629">
        <v>3</v>
      </c>
      <c r="L629"/>
    </row>
    <row r="630" spans="1:12" x14ac:dyDescent="0.25">
      <c r="A630">
        <f t="shared" si="9"/>
        <v>629</v>
      </c>
      <c r="B630" t="s">
        <v>1400</v>
      </c>
      <c r="C630" t="s">
        <v>766</v>
      </c>
      <c r="D630">
        <v>84</v>
      </c>
      <c r="E630" t="s">
        <v>743</v>
      </c>
      <c r="F630" t="str">
        <f>IF(Client_churn3[[#This Row],[Type_Forfait]]= "Pro Monde", "B2B", "B2C")</f>
        <v>B2C</v>
      </c>
      <c r="G630">
        <v>364</v>
      </c>
      <c r="H630" s="7">
        <v>87.79</v>
      </c>
      <c r="I6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30" s="9">
        <f>Client_churn3[[#This Row],[Facture_Mensuelle]]*Client_churn3[[#This Row],[Remise Client]]</f>
        <v>39.505500000000005</v>
      </c>
      <c r="K630">
        <v>3</v>
      </c>
      <c r="L630"/>
    </row>
    <row r="631" spans="1:12" x14ac:dyDescent="0.25">
      <c r="A631">
        <f t="shared" si="9"/>
        <v>630</v>
      </c>
      <c r="B631" t="s">
        <v>1401</v>
      </c>
      <c r="C631" t="s">
        <v>785</v>
      </c>
      <c r="D631">
        <v>27</v>
      </c>
      <c r="E631" t="s">
        <v>743</v>
      </c>
      <c r="F631" t="str">
        <f>IF(Client_churn3[[#This Row],[Type_Forfait]]= "Pro Monde", "B2B", "B2C")</f>
        <v>B2C</v>
      </c>
      <c r="G631">
        <v>275</v>
      </c>
      <c r="H631" s="7">
        <v>80.069999999999993</v>
      </c>
      <c r="I6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31" s="9">
        <f>Client_churn3[[#This Row],[Facture_Mensuelle]]*Client_churn3[[#This Row],[Remise Client]]</f>
        <v>36.031500000000001</v>
      </c>
      <c r="K631">
        <v>1</v>
      </c>
      <c r="L631"/>
    </row>
    <row r="632" spans="1:12" x14ac:dyDescent="0.25">
      <c r="A632">
        <f t="shared" si="9"/>
        <v>631</v>
      </c>
      <c r="B632" t="s">
        <v>1402</v>
      </c>
      <c r="C632" t="s">
        <v>782</v>
      </c>
      <c r="D632">
        <v>56</v>
      </c>
      <c r="E632" t="s">
        <v>743</v>
      </c>
      <c r="F632" t="str">
        <f>IF(Client_churn3[[#This Row],[Type_Forfait]]= "Pro Monde", "B2B", "B2C")</f>
        <v>B2C</v>
      </c>
      <c r="G632">
        <v>114</v>
      </c>
      <c r="H632" s="7">
        <v>64.39</v>
      </c>
      <c r="I6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2" s="9">
        <f>Client_churn3[[#This Row],[Facture_Mensuelle]]*Client_churn3[[#This Row],[Remise Client]]</f>
        <v>0</v>
      </c>
      <c r="K632">
        <v>1</v>
      </c>
      <c r="L632"/>
    </row>
    <row r="633" spans="1:12" x14ac:dyDescent="0.25">
      <c r="A633">
        <f t="shared" si="9"/>
        <v>632</v>
      </c>
      <c r="B633" t="s">
        <v>1403</v>
      </c>
      <c r="C633" t="s">
        <v>806</v>
      </c>
      <c r="D633">
        <v>51</v>
      </c>
      <c r="E633" t="s">
        <v>749</v>
      </c>
      <c r="F633" t="str">
        <f>IF(Client_churn3[[#This Row],[Type_Forfait]]= "Pro Monde", "B2B", "B2C")</f>
        <v>B2C</v>
      </c>
      <c r="G633">
        <v>152</v>
      </c>
      <c r="H633" s="7">
        <v>34.630000000000003</v>
      </c>
      <c r="I6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3" s="9">
        <f>Client_churn3[[#This Row],[Facture_Mensuelle]]*Client_churn3[[#This Row],[Remise Client]]</f>
        <v>0</v>
      </c>
      <c r="K633">
        <v>2</v>
      </c>
      <c r="L633"/>
    </row>
    <row r="634" spans="1:12" x14ac:dyDescent="0.25">
      <c r="A634">
        <f t="shared" si="9"/>
        <v>633</v>
      </c>
      <c r="B634" t="s">
        <v>1404</v>
      </c>
      <c r="C634" t="s">
        <v>748</v>
      </c>
      <c r="D634">
        <v>26</v>
      </c>
      <c r="E634" t="s">
        <v>743</v>
      </c>
      <c r="F634" t="str">
        <f>IF(Client_churn3[[#This Row],[Type_Forfait]]= "Pro Monde", "B2B", "B2C")</f>
        <v>B2C</v>
      </c>
      <c r="G634">
        <v>174</v>
      </c>
      <c r="H634" s="7">
        <v>90.53</v>
      </c>
      <c r="I6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4" s="9">
        <f>Client_churn3[[#This Row],[Facture_Mensuelle]]*Client_churn3[[#This Row],[Remise Client]]</f>
        <v>0</v>
      </c>
      <c r="K634">
        <v>3</v>
      </c>
      <c r="L634"/>
    </row>
    <row r="635" spans="1:12" x14ac:dyDescent="0.25">
      <c r="A635">
        <f t="shared" si="9"/>
        <v>634</v>
      </c>
      <c r="B635" t="s">
        <v>1405</v>
      </c>
      <c r="C635" t="s">
        <v>796</v>
      </c>
      <c r="D635">
        <v>60</v>
      </c>
      <c r="E635" t="s">
        <v>743</v>
      </c>
      <c r="F635" t="str">
        <f>IF(Client_churn3[[#This Row],[Type_Forfait]]= "Pro Monde", "B2B", "B2C")</f>
        <v>B2C</v>
      </c>
      <c r="G635">
        <v>168</v>
      </c>
      <c r="H635" s="7">
        <v>67.650000000000006</v>
      </c>
      <c r="I6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5" s="9">
        <f>Client_churn3[[#This Row],[Facture_Mensuelle]]*Client_churn3[[#This Row],[Remise Client]]</f>
        <v>0</v>
      </c>
      <c r="K635">
        <v>1</v>
      </c>
      <c r="L635"/>
    </row>
    <row r="636" spans="1:12" x14ac:dyDescent="0.25">
      <c r="A636">
        <f t="shared" si="9"/>
        <v>635</v>
      </c>
      <c r="B636" t="s">
        <v>1406</v>
      </c>
      <c r="C636" t="s">
        <v>745</v>
      </c>
      <c r="D636">
        <v>47</v>
      </c>
      <c r="E636" t="s">
        <v>743</v>
      </c>
      <c r="F636" t="str">
        <f>IF(Client_churn3[[#This Row],[Type_Forfait]]= "Pro Monde", "B2B", "B2C")</f>
        <v>B2C</v>
      </c>
      <c r="G636">
        <v>199</v>
      </c>
      <c r="H636" s="7">
        <v>23.19</v>
      </c>
      <c r="I6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36" s="9">
        <f>Client_churn3[[#This Row],[Facture_Mensuelle]]*Client_churn3[[#This Row],[Remise Client]]</f>
        <v>0</v>
      </c>
      <c r="K636">
        <v>2</v>
      </c>
      <c r="L636"/>
    </row>
    <row r="637" spans="1:12" x14ac:dyDescent="0.25">
      <c r="A637">
        <f t="shared" si="9"/>
        <v>636</v>
      </c>
      <c r="B637" t="s">
        <v>1407</v>
      </c>
      <c r="C637" t="s">
        <v>768</v>
      </c>
      <c r="D637">
        <v>7</v>
      </c>
      <c r="E637" t="s">
        <v>743</v>
      </c>
      <c r="F637" t="str">
        <f>IF(Client_churn3[[#This Row],[Type_Forfait]]= "Pro Monde", "B2B", "B2C")</f>
        <v>B2C</v>
      </c>
      <c r="G637">
        <v>257</v>
      </c>
      <c r="H637" s="7">
        <v>73.040000000000006</v>
      </c>
      <c r="I6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37" s="9">
        <f>Client_churn3[[#This Row],[Facture_Mensuelle]]*Client_churn3[[#This Row],[Remise Client]]</f>
        <v>32.868000000000002</v>
      </c>
      <c r="K637">
        <v>3</v>
      </c>
      <c r="L637"/>
    </row>
    <row r="638" spans="1:12" x14ac:dyDescent="0.25">
      <c r="A638">
        <f t="shared" si="9"/>
        <v>637</v>
      </c>
      <c r="B638" t="s">
        <v>1408</v>
      </c>
      <c r="C638" t="s">
        <v>766</v>
      </c>
      <c r="D638">
        <v>59</v>
      </c>
      <c r="E638" t="s">
        <v>746</v>
      </c>
      <c r="F638" t="str">
        <f>IF(Client_churn3[[#This Row],[Type_Forfait]]= "Pro Monde", "B2B", "B2C")</f>
        <v>B2B</v>
      </c>
      <c r="G638">
        <v>369</v>
      </c>
      <c r="H638" s="7">
        <v>26.64</v>
      </c>
      <c r="I6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38" s="9">
        <f>Client_churn3[[#This Row],[Facture_Mensuelle]]*Client_churn3[[#This Row],[Remise Client]]</f>
        <v>2.6640000000000001</v>
      </c>
      <c r="K638">
        <v>4</v>
      </c>
      <c r="L638"/>
    </row>
    <row r="639" spans="1:12" x14ac:dyDescent="0.25">
      <c r="A639">
        <f t="shared" si="9"/>
        <v>638</v>
      </c>
      <c r="B639" t="s">
        <v>1409</v>
      </c>
      <c r="C639" t="s">
        <v>751</v>
      </c>
      <c r="D639">
        <v>104</v>
      </c>
      <c r="E639" t="s">
        <v>743</v>
      </c>
      <c r="F639" t="str">
        <f>IF(Client_churn3[[#This Row],[Type_Forfait]]= "Pro Monde", "B2B", "B2C")</f>
        <v>B2C</v>
      </c>
      <c r="G639">
        <v>243</v>
      </c>
      <c r="H639" s="7">
        <v>65.819999999999993</v>
      </c>
      <c r="I6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39" s="9">
        <f>Client_churn3[[#This Row],[Facture_Mensuelle]]*Client_churn3[[#This Row],[Remise Client]]</f>
        <v>29.618999999999996</v>
      </c>
      <c r="K639">
        <v>0</v>
      </c>
      <c r="L639"/>
    </row>
    <row r="640" spans="1:12" x14ac:dyDescent="0.25">
      <c r="A640">
        <f t="shared" si="9"/>
        <v>639</v>
      </c>
      <c r="B640" t="s">
        <v>1410</v>
      </c>
      <c r="C640" t="s">
        <v>758</v>
      </c>
      <c r="D640">
        <v>48</v>
      </c>
      <c r="E640" t="s">
        <v>749</v>
      </c>
      <c r="F640" t="str">
        <f>IF(Client_churn3[[#This Row],[Type_Forfait]]= "Pro Monde", "B2B", "B2C")</f>
        <v>B2C</v>
      </c>
      <c r="G640">
        <v>15</v>
      </c>
      <c r="H640" s="7">
        <v>50.67</v>
      </c>
      <c r="I6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40" s="9">
        <f>Client_churn3[[#This Row],[Facture_Mensuelle]]*Client_churn3[[#This Row],[Remise Client]]</f>
        <v>0</v>
      </c>
      <c r="K640">
        <v>1</v>
      </c>
      <c r="L640"/>
    </row>
    <row r="641" spans="1:12" x14ac:dyDescent="0.25">
      <c r="A641">
        <f t="shared" si="9"/>
        <v>640</v>
      </c>
      <c r="B641" t="s">
        <v>1411</v>
      </c>
      <c r="C641" t="s">
        <v>758</v>
      </c>
      <c r="D641">
        <v>71</v>
      </c>
      <c r="E641" t="s">
        <v>743</v>
      </c>
      <c r="F641" t="str">
        <f>IF(Client_churn3[[#This Row],[Type_Forfait]]= "Pro Monde", "B2B", "B2C")</f>
        <v>B2C</v>
      </c>
      <c r="G641">
        <v>364</v>
      </c>
      <c r="H641" s="7">
        <v>39.58</v>
      </c>
      <c r="I6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41" s="9">
        <f>Client_churn3[[#This Row],[Facture_Mensuelle]]*Client_churn3[[#This Row],[Remise Client]]</f>
        <v>17.811</v>
      </c>
      <c r="K641">
        <v>1</v>
      </c>
      <c r="L641"/>
    </row>
    <row r="642" spans="1:12" x14ac:dyDescent="0.25">
      <c r="A642">
        <f t="shared" si="9"/>
        <v>641</v>
      </c>
      <c r="B642" t="s">
        <v>1412</v>
      </c>
      <c r="C642" t="s">
        <v>745</v>
      </c>
      <c r="D642">
        <v>88</v>
      </c>
      <c r="E642" t="s">
        <v>749</v>
      </c>
      <c r="F642" t="str">
        <f>IF(Client_churn3[[#This Row],[Type_Forfait]]= "Pro Monde", "B2B", "B2C")</f>
        <v>B2C</v>
      </c>
      <c r="G642">
        <v>154</v>
      </c>
      <c r="H642" s="7">
        <v>62.62</v>
      </c>
      <c r="I6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42" s="9">
        <f>Client_churn3[[#This Row],[Facture_Mensuelle]]*Client_churn3[[#This Row],[Remise Client]]</f>
        <v>0</v>
      </c>
      <c r="K642">
        <v>5</v>
      </c>
      <c r="L642"/>
    </row>
    <row r="643" spans="1:12" x14ac:dyDescent="0.25">
      <c r="A643">
        <f t="shared" si="9"/>
        <v>642</v>
      </c>
      <c r="B643" t="s">
        <v>1413</v>
      </c>
      <c r="C643" t="s">
        <v>751</v>
      </c>
      <c r="D643">
        <v>119</v>
      </c>
      <c r="E643" t="s">
        <v>749</v>
      </c>
      <c r="F643" t="str">
        <f>IF(Client_churn3[[#This Row],[Type_Forfait]]= "Pro Monde", "B2B", "B2C")</f>
        <v>B2C</v>
      </c>
      <c r="G643">
        <v>231</v>
      </c>
      <c r="H643" s="7">
        <v>20.22</v>
      </c>
      <c r="I6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43" s="9">
        <f>Client_churn3[[#This Row],[Facture_Mensuelle]]*Client_churn3[[#This Row],[Remise Client]]</f>
        <v>0</v>
      </c>
      <c r="K643">
        <v>2</v>
      </c>
      <c r="L643"/>
    </row>
    <row r="644" spans="1:12" x14ac:dyDescent="0.25">
      <c r="A644">
        <f t="shared" si="9"/>
        <v>643</v>
      </c>
      <c r="B644" t="s">
        <v>1414</v>
      </c>
      <c r="C644" t="s">
        <v>758</v>
      </c>
      <c r="D644">
        <v>81</v>
      </c>
      <c r="E644" t="s">
        <v>746</v>
      </c>
      <c r="F644" t="str">
        <f>IF(Client_churn3[[#This Row],[Type_Forfait]]= "Pro Monde", "B2B", "B2C")</f>
        <v>B2B</v>
      </c>
      <c r="G644">
        <v>298</v>
      </c>
      <c r="H644" s="7">
        <v>53.61</v>
      </c>
      <c r="I6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44" s="9">
        <f>Client_churn3[[#This Row],[Facture_Mensuelle]]*Client_churn3[[#This Row],[Remise Client]]</f>
        <v>5.3610000000000007</v>
      </c>
      <c r="K644">
        <v>2</v>
      </c>
      <c r="L644"/>
    </row>
    <row r="645" spans="1:12" x14ac:dyDescent="0.25">
      <c r="A645">
        <f t="shared" ref="A645:A708" si="10">A644+1</f>
        <v>644</v>
      </c>
      <c r="B645" t="s">
        <v>1415</v>
      </c>
      <c r="C645" t="s">
        <v>766</v>
      </c>
      <c r="D645">
        <v>45</v>
      </c>
      <c r="E645" t="s">
        <v>755</v>
      </c>
      <c r="F645" t="str">
        <f>IF(Client_churn3[[#This Row],[Type_Forfait]]= "Pro Monde", "B2B", "B2C")</f>
        <v>B2C</v>
      </c>
      <c r="G645">
        <v>244</v>
      </c>
      <c r="H645" s="7">
        <v>55.17</v>
      </c>
      <c r="I6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45" s="9">
        <f>Client_churn3[[#This Row],[Facture_Mensuelle]]*Client_churn3[[#This Row],[Remise Client]]</f>
        <v>24.826500000000003</v>
      </c>
      <c r="K645">
        <v>2</v>
      </c>
      <c r="L645"/>
    </row>
    <row r="646" spans="1:12" x14ac:dyDescent="0.25">
      <c r="A646">
        <f t="shared" si="10"/>
        <v>645</v>
      </c>
      <c r="B646" t="s">
        <v>1416</v>
      </c>
      <c r="C646" t="s">
        <v>782</v>
      </c>
      <c r="D646">
        <v>86</v>
      </c>
      <c r="E646" t="s">
        <v>755</v>
      </c>
      <c r="F646" t="str">
        <f>IF(Client_churn3[[#This Row],[Type_Forfait]]= "Pro Monde", "B2B", "B2C")</f>
        <v>B2C</v>
      </c>
      <c r="G646">
        <v>471</v>
      </c>
      <c r="H646" s="7">
        <v>33.380000000000003</v>
      </c>
      <c r="I6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46" s="9">
        <f>Client_churn3[[#This Row],[Facture_Mensuelle]]*Client_churn3[[#This Row],[Remise Client]]</f>
        <v>15.021000000000001</v>
      </c>
      <c r="K646">
        <v>4</v>
      </c>
      <c r="L646"/>
    </row>
    <row r="647" spans="1:12" x14ac:dyDescent="0.25">
      <c r="A647">
        <f t="shared" si="10"/>
        <v>646</v>
      </c>
      <c r="B647" t="s">
        <v>1417</v>
      </c>
      <c r="C647" t="s">
        <v>754</v>
      </c>
      <c r="D647">
        <v>33</v>
      </c>
      <c r="E647" t="s">
        <v>755</v>
      </c>
      <c r="F647" t="str">
        <f>IF(Client_churn3[[#This Row],[Type_Forfait]]= "Pro Monde", "B2B", "B2C")</f>
        <v>B2C</v>
      </c>
      <c r="G647">
        <v>444</v>
      </c>
      <c r="H647" s="7">
        <v>10.28</v>
      </c>
      <c r="I6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47" s="9">
        <f>Client_churn3[[#This Row],[Facture_Mensuelle]]*Client_churn3[[#This Row],[Remise Client]]</f>
        <v>4.6259999999999994</v>
      </c>
      <c r="K647">
        <v>5</v>
      </c>
      <c r="L647"/>
    </row>
    <row r="648" spans="1:12" x14ac:dyDescent="0.25">
      <c r="A648">
        <f t="shared" si="10"/>
        <v>647</v>
      </c>
      <c r="B648" t="s">
        <v>1418</v>
      </c>
      <c r="C648" t="s">
        <v>782</v>
      </c>
      <c r="D648">
        <v>104</v>
      </c>
      <c r="E648" t="s">
        <v>746</v>
      </c>
      <c r="F648" t="str">
        <f>IF(Client_churn3[[#This Row],[Type_Forfait]]= "Pro Monde", "B2B", "B2C")</f>
        <v>B2B</v>
      </c>
      <c r="G648">
        <v>317</v>
      </c>
      <c r="H648" s="7">
        <v>79.150000000000006</v>
      </c>
      <c r="I64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48" s="9">
        <f>Client_churn3[[#This Row],[Facture_Mensuelle]]*Client_churn3[[#This Row],[Remise Client]]</f>
        <v>7.9150000000000009</v>
      </c>
      <c r="K648">
        <v>1</v>
      </c>
      <c r="L648"/>
    </row>
    <row r="649" spans="1:12" x14ac:dyDescent="0.25">
      <c r="A649">
        <f t="shared" si="10"/>
        <v>648</v>
      </c>
      <c r="B649" t="s">
        <v>1419</v>
      </c>
      <c r="C649" t="s">
        <v>776</v>
      </c>
      <c r="D649">
        <v>90</v>
      </c>
      <c r="E649" t="s">
        <v>746</v>
      </c>
      <c r="F649" t="str">
        <f>IF(Client_churn3[[#This Row],[Type_Forfait]]= "Pro Monde", "B2B", "B2C")</f>
        <v>B2B</v>
      </c>
      <c r="G649">
        <v>195</v>
      </c>
      <c r="H649" s="7">
        <v>52.71</v>
      </c>
      <c r="I64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49" s="9">
        <f>Client_churn3[[#This Row],[Facture_Mensuelle]]*Client_churn3[[#This Row],[Remise Client]]</f>
        <v>5.2710000000000008</v>
      </c>
      <c r="K649">
        <v>2</v>
      </c>
      <c r="L649"/>
    </row>
    <row r="650" spans="1:12" x14ac:dyDescent="0.25">
      <c r="A650">
        <f t="shared" si="10"/>
        <v>649</v>
      </c>
      <c r="B650" t="s">
        <v>1420</v>
      </c>
      <c r="C650" t="s">
        <v>842</v>
      </c>
      <c r="D650">
        <v>108</v>
      </c>
      <c r="E650" t="s">
        <v>749</v>
      </c>
      <c r="F650" t="str">
        <f>IF(Client_churn3[[#This Row],[Type_Forfait]]= "Pro Monde", "B2B", "B2C")</f>
        <v>B2C</v>
      </c>
      <c r="G650">
        <v>278</v>
      </c>
      <c r="H650" s="7">
        <v>40.51</v>
      </c>
      <c r="I65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0" s="9">
        <f>Client_churn3[[#This Row],[Facture_Mensuelle]]*Client_churn3[[#This Row],[Remise Client]]</f>
        <v>18.229499999999998</v>
      </c>
      <c r="K650">
        <v>3</v>
      </c>
      <c r="L650"/>
    </row>
    <row r="651" spans="1:12" x14ac:dyDescent="0.25">
      <c r="A651">
        <f t="shared" si="10"/>
        <v>650</v>
      </c>
      <c r="B651" t="s">
        <v>1421</v>
      </c>
      <c r="C651" t="s">
        <v>802</v>
      </c>
      <c r="D651">
        <v>57</v>
      </c>
      <c r="E651" t="s">
        <v>749</v>
      </c>
      <c r="F651" t="str">
        <f>IF(Client_churn3[[#This Row],[Type_Forfait]]= "Pro Monde", "B2B", "B2C")</f>
        <v>B2C</v>
      </c>
      <c r="G651">
        <v>375</v>
      </c>
      <c r="H651" s="7">
        <v>64.73</v>
      </c>
      <c r="I65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1" s="9">
        <f>Client_churn3[[#This Row],[Facture_Mensuelle]]*Client_churn3[[#This Row],[Remise Client]]</f>
        <v>29.128500000000003</v>
      </c>
      <c r="K651">
        <v>1</v>
      </c>
      <c r="L651"/>
    </row>
    <row r="652" spans="1:12" x14ac:dyDescent="0.25">
      <c r="A652">
        <f t="shared" si="10"/>
        <v>651</v>
      </c>
      <c r="B652" t="s">
        <v>1422</v>
      </c>
      <c r="C652" t="s">
        <v>774</v>
      </c>
      <c r="D652">
        <v>101</v>
      </c>
      <c r="E652" t="s">
        <v>746</v>
      </c>
      <c r="F652" t="str">
        <f>IF(Client_churn3[[#This Row],[Type_Forfait]]= "Pro Monde", "B2B", "B2C")</f>
        <v>B2B</v>
      </c>
      <c r="G652">
        <v>210</v>
      </c>
      <c r="H652" s="7">
        <v>35.4</v>
      </c>
      <c r="I65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52" s="9">
        <f>Client_churn3[[#This Row],[Facture_Mensuelle]]*Client_churn3[[#This Row],[Remise Client]]</f>
        <v>3.54</v>
      </c>
      <c r="K652">
        <v>1</v>
      </c>
      <c r="L652"/>
    </row>
    <row r="653" spans="1:12" x14ac:dyDescent="0.25">
      <c r="A653">
        <f t="shared" si="10"/>
        <v>652</v>
      </c>
      <c r="B653" t="s">
        <v>1423</v>
      </c>
      <c r="C653" t="s">
        <v>754</v>
      </c>
      <c r="D653">
        <v>72</v>
      </c>
      <c r="E653" t="s">
        <v>746</v>
      </c>
      <c r="F653" t="str">
        <f>IF(Client_churn3[[#This Row],[Type_Forfait]]= "Pro Monde", "B2B", "B2C")</f>
        <v>B2B</v>
      </c>
      <c r="G653">
        <v>333</v>
      </c>
      <c r="H653" s="7">
        <v>34.57</v>
      </c>
      <c r="I65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53" s="9">
        <f>Client_churn3[[#This Row],[Facture_Mensuelle]]*Client_churn3[[#This Row],[Remise Client]]</f>
        <v>3.4570000000000003</v>
      </c>
      <c r="K653">
        <v>2</v>
      </c>
      <c r="L653"/>
    </row>
    <row r="654" spans="1:12" x14ac:dyDescent="0.25">
      <c r="A654">
        <f t="shared" si="10"/>
        <v>653</v>
      </c>
      <c r="B654" t="s">
        <v>1424</v>
      </c>
      <c r="C654" t="s">
        <v>768</v>
      </c>
      <c r="D654">
        <v>91</v>
      </c>
      <c r="E654" t="s">
        <v>749</v>
      </c>
      <c r="F654" t="str">
        <f>IF(Client_churn3[[#This Row],[Type_Forfait]]= "Pro Monde", "B2B", "B2C")</f>
        <v>B2C</v>
      </c>
      <c r="G654">
        <v>404</v>
      </c>
      <c r="H654" s="7">
        <v>76.53</v>
      </c>
      <c r="I65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4" s="9">
        <f>Client_churn3[[#This Row],[Facture_Mensuelle]]*Client_churn3[[#This Row],[Remise Client]]</f>
        <v>34.438500000000005</v>
      </c>
      <c r="K654">
        <v>5</v>
      </c>
      <c r="L654"/>
    </row>
    <row r="655" spans="1:12" x14ac:dyDescent="0.25">
      <c r="A655">
        <f t="shared" si="10"/>
        <v>654</v>
      </c>
      <c r="B655" t="s">
        <v>1425</v>
      </c>
      <c r="C655" t="s">
        <v>782</v>
      </c>
      <c r="D655">
        <v>118</v>
      </c>
      <c r="E655" t="s">
        <v>743</v>
      </c>
      <c r="F655" t="str">
        <f>IF(Client_churn3[[#This Row],[Type_Forfait]]= "Pro Monde", "B2B", "B2C")</f>
        <v>B2C</v>
      </c>
      <c r="G655">
        <v>300</v>
      </c>
      <c r="H655" s="7">
        <v>98.22</v>
      </c>
      <c r="I65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5" s="9">
        <f>Client_churn3[[#This Row],[Facture_Mensuelle]]*Client_churn3[[#This Row],[Remise Client]]</f>
        <v>44.198999999999998</v>
      </c>
      <c r="K655">
        <v>4</v>
      </c>
      <c r="L655"/>
    </row>
    <row r="656" spans="1:12" x14ac:dyDescent="0.25">
      <c r="A656">
        <f t="shared" si="10"/>
        <v>655</v>
      </c>
      <c r="B656" t="s">
        <v>1426</v>
      </c>
      <c r="C656" t="s">
        <v>774</v>
      </c>
      <c r="D656">
        <v>79</v>
      </c>
      <c r="E656" t="s">
        <v>743</v>
      </c>
      <c r="F656" t="str">
        <f>IF(Client_churn3[[#This Row],[Type_Forfait]]= "Pro Monde", "B2B", "B2C")</f>
        <v>B2C</v>
      </c>
      <c r="G656">
        <v>357</v>
      </c>
      <c r="H656" s="7">
        <v>69.900000000000006</v>
      </c>
      <c r="I65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6" s="9">
        <f>Client_churn3[[#This Row],[Facture_Mensuelle]]*Client_churn3[[#This Row],[Remise Client]]</f>
        <v>31.455000000000002</v>
      </c>
      <c r="K656">
        <v>5</v>
      </c>
      <c r="L656"/>
    </row>
    <row r="657" spans="1:12" x14ac:dyDescent="0.25">
      <c r="A657">
        <f t="shared" si="10"/>
        <v>656</v>
      </c>
      <c r="B657" t="s">
        <v>1427</v>
      </c>
      <c r="C657" t="s">
        <v>766</v>
      </c>
      <c r="D657">
        <v>112</v>
      </c>
      <c r="E657" t="s">
        <v>749</v>
      </c>
      <c r="F657" t="str">
        <f>IF(Client_churn3[[#This Row],[Type_Forfait]]= "Pro Monde", "B2B", "B2C")</f>
        <v>B2C</v>
      </c>
      <c r="G657">
        <v>281</v>
      </c>
      <c r="H657" s="7">
        <v>80.72</v>
      </c>
      <c r="I65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7" s="9">
        <f>Client_churn3[[#This Row],[Facture_Mensuelle]]*Client_churn3[[#This Row],[Remise Client]]</f>
        <v>36.323999999999998</v>
      </c>
      <c r="K657">
        <v>2</v>
      </c>
      <c r="L657"/>
    </row>
    <row r="658" spans="1:12" x14ac:dyDescent="0.25">
      <c r="A658">
        <f t="shared" si="10"/>
        <v>657</v>
      </c>
      <c r="B658" t="s">
        <v>1428</v>
      </c>
      <c r="C658" t="s">
        <v>764</v>
      </c>
      <c r="D658">
        <v>93</v>
      </c>
      <c r="E658" t="s">
        <v>746</v>
      </c>
      <c r="F658" t="str">
        <f>IF(Client_churn3[[#This Row],[Type_Forfait]]= "Pro Monde", "B2B", "B2C")</f>
        <v>B2B</v>
      </c>
      <c r="G658">
        <v>153</v>
      </c>
      <c r="H658" s="7">
        <v>86.19</v>
      </c>
      <c r="I65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58" s="9">
        <f>Client_churn3[[#This Row],[Facture_Mensuelle]]*Client_churn3[[#This Row],[Remise Client]]</f>
        <v>8.6189999999999998</v>
      </c>
      <c r="K658">
        <v>0</v>
      </c>
      <c r="L658"/>
    </row>
    <row r="659" spans="1:12" x14ac:dyDescent="0.25">
      <c r="A659">
        <f t="shared" si="10"/>
        <v>658</v>
      </c>
      <c r="B659" t="s">
        <v>1429</v>
      </c>
      <c r="C659" t="s">
        <v>780</v>
      </c>
      <c r="D659">
        <v>48</v>
      </c>
      <c r="E659" t="s">
        <v>743</v>
      </c>
      <c r="F659" t="str">
        <f>IF(Client_churn3[[#This Row],[Type_Forfait]]= "Pro Monde", "B2B", "B2C")</f>
        <v>B2C</v>
      </c>
      <c r="G659">
        <v>482</v>
      </c>
      <c r="H659" s="7">
        <v>83.24</v>
      </c>
      <c r="I65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59" s="9">
        <f>Client_churn3[[#This Row],[Facture_Mensuelle]]*Client_churn3[[#This Row],[Remise Client]]</f>
        <v>37.457999999999998</v>
      </c>
      <c r="K659">
        <v>0</v>
      </c>
      <c r="L659"/>
    </row>
    <row r="660" spans="1:12" x14ac:dyDescent="0.25">
      <c r="A660">
        <f t="shared" si="10"/>
        <v>659</v>
      </c>
      <c r="B660" t="s">
        <v>1430</v>
      </c>
      <c r="C660" t="s">
        <v>796</v>
      </c>
      <c r="D660">
        <v>22</v>
      </c>
      <c r="E660" t="s">
        <v>746</v>
      </c>
      <c r="F660" t="str">
        <f>IF(Client_churn3[[#This Row],[Type_Forfait]]= "Pro Monde", "B2B", "B2C")</f>
        <v>B2B</v>
      </c>
      <c r="G660">
        <v>127</v>
      </c>
      <c r="H660" s="7">
        <v>49.06</v>
      </c>
      <c r="I66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60" s="9">
        <f>Client_churn3[[#This Row],[Facture_Mensuelle]]*Client_churn3[[#This Row],[Remise Client]]</f>
        <v>4.9060000000000006</v>
      </c>
      <c r="K660">
        <v>2</v>
      </c>
      <c r="L660"/>
    </row>
    <row r="661" spans="1:12" x14ac:dyDescent="0.25">
      <c r="A661">
        <f t="shared" si="10"/>
        <v>660</v>
      </c>
      <c r="B661" t="s">
        <v>1431</v>
      </c>
      <c r="C661" t="s">
        <v>785</v>
      </c>
      <c r="D661">
        <v>87</v>
      </c>
      <c r="E661" t="s">
        <v>746</v>
      </c>
      <c r="F661" t="str">
        <f>IF(Client_churn3[[#This Row],[Type_Forfait]]= "Pro Monde", "B2B", "B2C")</f>
        <v>B2B</v>
      </c>
      <c r="G661">
        <v>205</v>
      </c>
      <c r="H661" s="7">
        <v>40.159999999999997</v>
      </c>
      <c r="I66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61" s="9">
        <f>Client_churn3[[#This Row],[Facture_Mensuelle]]*Client_churn3[[#This Row],[Remise Client]]</f>
        <v>4.016</v>
      </c>
      <c r="K661">
        <v>5</v>
      </c>
      <c r="L661"/>
    </row>
    <row r="662" spans="1:12" x14ac:dyDescent="0.25">
      <c r="A662">
        <f t="shared" si="10"/>
        <v>661</v>
      </c>
      <c r="B662" t="s">
        <v>1432</v>
      </c>
      <c r="C662" t="s">
        <v>768</v>
      </c>
      <c r="D662">
        <v>100</v>
      </c>
      <c r="E662" t="s">
        <v>743</v>
      </c>
      <c r="F662" t="str">
        <f>IF(Client_churn3[[#This Row],[Type_Forfait]]= "Pro Monde", "B2B", "B2C")</f>
        <v>B2C</v>
      </c>
      <c r="G662">
        <v>471</v>
      </c>
      <c r="H662" s="7">
        <v>61.2</v>
      </c>
      <c r="I66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62" s="9">
        <f>Client_churn3[[#This Row],[Facture_Mensuelle]]*Client_churn3[[#This Row],[Remise Client]]</f>
        <v>27.540000000000003</v>
      </c>
      <c r="K662">
        <v>3</v>
      </c>
      <c r="L662"/>
    </row>
    <row r="663" spans="1:12" x14ac:dyDescent="0.25">
      <c r="A663">
        <f t="shared" si="10"/>
        <v>662</v>
      </c>
      <c r="B663" t="s">
        <v>1433</v>
      </c>
      <c r="C663" t="s">
        <v>802</v>
      </c>
      <c r="D663">
        <v>51</v>
      </c>
      <c r="E663" t="s">
        <v>749</v>
      </c>
      <c r="F663" t="str">
        <f>IF(Client_churn3[[#This Row],[Type_Forfait]]= "Pro Monde", "B2B", "B2C")</f>
        <v>B2C</v>
      </c>
      <c r="G663">
        <v>433</v>
      </c>
      <c r="H663" s="7">
        <v>12.89</v>
      </c>
      <c r="I66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63" s="9">
        <f>Client_churn3[[#This Row],[Facture_Mensuelle]]*Client_churn3[[#This Row],[Remise Client]]</f>
        <v>5.8005000000000004</v>
      </c>
      <c r="K663">
        <v>1</v>
      </c>
      <c r="L663"/>
    </row>
    <row r="664" spans="1:12" x14ac:dyDescent="0.25">
      <c r="A664">
        <f t="shared" si="10"/>
        <v>663</v>
      </c>
      <c r="B664" t="s">
        <v>1434</v>
      </c>
      <c r="C664" t="s">
        <v>785</v>
      </c>
      <c r="D664">
        <v>15</v>
      </c>
      <c r="E664" t="s">
        <v>743</v>
      </c>
      <c r="F664" t="str">
        <f>IF(Client_churn3[[#This Row],[Type_Forfait]]= "Pro Monde", "B2B", "B2C")</f>
        <v>B2C</v>
      </c>
      <c r="G664">
        <v>30</v>
      </c>
      <c r="H664" s="7">
        <v>30.5</v>
      </c>
      <c r="I66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64" s="9">
        <f>Client_churn3[[#This Row],[Facture_Mensuelle]]*Client_churn3[[#This Row],[Remise Client]]</f>
        <v>0</v>
      </c>
      <c r="K664">
        <v>1</v>
      </c>
      <c r="L664"/>
    </row>
    <row r="665" spans="1:12" x14ac:dyDescent="0.25">
      <c r="A665">
        <f t="shared" si="10"/>
        <v>664</v>
      </c>
      <c r="B665" t="s">
        <v>1435</v>
      </c>
      <c r="C665" t="s">
        <v>742</v>
      </c>
      <c r="D665">
        <v>55</v>
      </c>
      <c r="E665" t="s">
        <v>743</v>
      </c>
      <c r="F665" t="str">
        <f>IF(Client_churn3[[#This Row],[Type_Forfait]]= "Pro Monde", "B2B", "B2C")</f>
        <v>B2C</v>
      </c>
      <c r="G665">
        <v>407</v>
      </c>
      <c r="H665" s="7">
        <v>23.11</v>
      </c>
      <c r="I66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65" s="9">
        <f>Client_churn3[[#This Row],[Facture_Mensuelle]]*Client_churn3[[#This Row],[Remise Client]]</f>
        <v>10.3995</v>
      </c>
      <c r="K665">
        <v>0</v>
      </c>
      <c r="L665"/>
    </row>
    <row r="666" spans="1:12" x14ac:dyDescent="0.25">
      <c r="A666">
        <f t="shared" si="10"/>
        <v>665</v>
      </c>
      <c r="B666" t="s">
        <v>1436</v>
      </c>
      <c r="C666" t="s">
        <v>764</v>
      </c>
      <c r="D666">
        <v>99</v>
      </c>
      <c r="E666" t="s">
        <v>746</v>
      </c>
      <c r="F666" t="str">
        <f>IF(Client_churn3[[#This Row],[Type_Forfait]]= "Pro Monde", "B2B", "B2C")</f>
        <v>B2B</v>
      </c>
      <c r="G666">
        <v>42</v>
      </c>
      <c r="H666" s="7">
        <v>98.77</v>
      </c>
      <c r="I66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66" s="9">
        <f>Client_churn3[[#This Row],[Facture_Mensuelle]]*Client_churn3[[#This Row],[Remise Client]]</f>
        <v>9.8770000000000007</v>
      </c>
      <c r="K666">
        <v>3</v>
      </c>
      <c r="L666"/>
    </row>
    <row r="667" spans="1:12" x14ac:dyDescent="0.25">
      <c r="A667">
        <f t="shared" si="10"/>
        <v>666</v>
      </c>
      <c r="B667" t="s">
        <v>1437</v>
      </c>
      <c r="C667" t="s">
        <v>794</v>
      </c>
      <c r="D667">
        <v>50</v>
      </c>
      <c r="E667" t="s">
        <v>743</v>
      </c>
      <c r="F667" t="str">
        <f>IF(Client_churn3[[#This Row],[Type_Forfait]]= "Pro Monde", "B2B", "B2C")</f>
        <v>B2C</v>
      </c>
      <c r="G667">
        <v>258</v>
      </c>
      <c r="H667" s="7">
        <v>25.06</v>
      </c>
      <c r="I66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67" s="9">
        <f>Client_churn3[[#This Row],[Facture_Mensuelle]]*Client_churn3[[#This Row],[Remise Client]]</f>
        <v>11.276999999999999</v>
      </c>
      <c r="K667">
        <v>4</v>
      </c>
      <c r="L667"/>
    </row>
    <row r="668" spans="1:12" x14ac:dyDescent="0.25">
      <c r="A668">
        <f t="shared" si="10"/>
        <v>667</v>
      </c>
      <c r="B668" t="s">
        <v>1438</v>
      </c>
      <c r="C668" t="s">
        <v>799</v>
      </c>
      <c r="D668">
        <v>22</v>
      </c>
      <c r="E668" t="s">
        <v>749</v>
      </c>
      <c r="F668" t="str">
        <f>IF(Client_churn3[[#This Row],[Type_Forfait]]= "Pro Monde", "B2B", "B2C")</f>
        <v>B2C</v>
      </c>
      <c r="G668">
        <v>451</v>
      </c>
      <c r="H668" s="7">
        <v>76.38</v>
      </c>
      <c r="I66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68" s="9">
        <f>Client_churn3[[#This Row],[Facture_Mensuelle]]*Client_churn3[[#This Row],[Remise Client]]</f>
        <v>34.371000000000002</v>
      </c>
      <c r="K668">
        <v>3</v>
      </c>
      <c r="L668"/>
    </row>
    <row r="669" spans="1:12" x14ac:dyDescent="0.25">
      <c r="A669">
        <f t="shared" si="10"/>
        <v>668</v>
      </c>
      <c r="B669" t="s">
        <v>1439</v>
      </c>
      <c r="C669" t="s">
        <v>796</v>
      </c>
      <c r="D669">
        <v>83</v>
      </c>
      <c r="E669" t="s">
        <v>746</v>
      </c>
      <c r="F669" t="str">
        <f>IF(Client_churn3[[#This Row],[Type_Forfait]]= "Pro Monde", "B2B", "B2C")</f>
        <v>B2B</v>
      </c>
      <c r="G669">
        <v>91</v>
      </c>
      <c r="H669" s="7">
        <v>73.73</v>
      </c>
      <c r="I66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69" s="9">
        <f>Client_churn3[[#This Row],[Facture_Mensuelle]]*Client_churn3[[#This Row],[Remise Client]]</f>
        <v>7.3730000000000011</v>
      </c>
      <c r="K669">
        <v>2</v>
      </c>
      <c r="L669"/>
    </row>
    <row r="670" spans="1:12" x14ac:dyDescent="0.25">
      <c r="A670">
        <f t="shared" si="10"/>
        <v>669</v>
      </c>
      <c r="B670" t="s">
        <v>1440</v>
      </c>
      <c r="C670" t="s">
        <v>776</v>
      </c>
      <c r="D670">
        <v>35</v>
      </c>
      <c r="E670" t="s">
        <v>749</v>
      </c>
      <c r="F670" t="str">
        <f>IF(Client_churn3[[#This Row],[Type_Forfait]]= "Pro Monde", "B2B", "B2C")</f>
        <v>B2C</v>
      </c>
      <c r="G670">
        <v>421</v>
      </c>
      <c r="H670" s="7">
        <v>29.57</v>
      </c>
      <c r="I67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70" s="9">
        <f>Client_churn3[[#This Row],[Facture_Mensuelle]]*Client_churn3[[#This Row],[Remise Client]]</f>
        <v>13.3065</v>
      </c>
      <c r="K670">
        <v>5</v>
      </c>
      <c r="L670"/>
    </row>
    <row r="671" spans="1:12" x14ac:dyDescent="0.25">
      <c r="A671">
        <f t="shared" si="10"/>
        <v>670</v>
      </c>
      <c r="B671" t="s">
        <v>1441</v>
      </c>
      <c r="C671" t="s">
        <v>796</v>
      </c>
      <c r="D671">
        <v>99</v>
      </c>
      <c r="E671" t="s">
        <v>749</v>
      </c>
      <c r="F671" t="str">
        <f>IF(Client_churn3[[#This Row],[Type_Forfait]]= "Pro Monde", "B2B", "B2C")</f>
        <v>B2C</v>
      </c>
      <c r="G671">
        <v>137</v>
      </c>
      <c r="H671" s="7">
        <v>23.05</v>
      </c>
      <c r="I67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71" s="9">
        <f>Client_churn3[[#This Row],[Facture_Mensuelle]]*Client_churn3[[#This Row],[Remise Client]]</f>
        <v>0</v>
      </c>
      <c r="K671">
        <v>4</v>
      </c>
      <c r="L671"/>
    </row>
    <row r="672" spans="1:12" x14ac:dyDescent="0.25">
      <c r="A672">
        <f t="shared" si="10"/>
        <v>671</v>
      </c>
      <c r="B672" t="s">
        <v>1442</v>
      </c>
      <c r="C672" t="s">
        <v>742</v>
      </c>
      <c r="D672">
        <v>115</v>
      </c>
      <c r="E672" t="s">
        <v>746</v>
      </c>
      <c r="F672" t="str">
        <f>IF(Client_churn3[[#This Row],[Type_Forfait]]= "Pro Monde", "B2B", "B2C")</f>
        <v>B2B</v>
      </c>
      <c r="G672">
        <v>262</v>
      </c>
      <c r="H672" s="7">
        <v>66.34</v>
      </c>
      <c r="I67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72" s="9">
        <f>Client_churn3[[#This Row],[Facture_Mensuelle]]*Client_churn3[[#This Row],[Remise Client]]</f>
        <v>6.6340000000000003</v>
      </c>
      <c r="K672">
        <v>3</v>
      </c>
      <c r="L672"/>
    </row>
    <row r="673" spans="1:12" x14ac:dyDescent="0.25">
      <c r="A673">
        <f t="shared" si="10"/>
        <v>672</v>
      </c>
      <c r="B673" t="s">
        <v>1443</v>
      </c>
      <c r="C673" t="s">
        <v>770</v>
      </c>
      <c r="D673">
        <v>112</v>
      </c>
      <c r="E673" t="s">
        <v>749</v>
      </c>
      <c r="F673" t="str">
        <f>IF(Client_churn3[[#This Row],[Type_Forfait]]= "Pro Monde", "B2B", "B2C")</f>
        <v>B2C</v>
      </c>
      <c r="G673">
        <v>483</v>
      </c>
      <c r="H673" s="7">
        <v>93.98</v>
      </c>
      <c r="I67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73" s="9">
        <f>Client_churn3[[#This Row],[Facture_Mensuelle]]*Client_churn3[[#This Row],[Remise Client]]</f>
        <v>42.291000000000004</v>
      </c>
      <c r="K673">
        <v>0</v>
      </c>
      <c r="L673"/>
    </row>
    <row r="674" spans="1:12" x14ac:dyDescent="0.25">
      <c r="A674">
        <f t="shared" si="10"/>
        <v>673</v>
      </c>
      <c r="B674" t="s">
        <v>1444</v>
      </c>
      <c r="C674" t="s">
        <v>754</v>
      </c>
      <c r="D674">
        <v>7</v>
      </c>
      <c r="E674" t="s">
        <v>743</v>
      </c>
      <c r="F674" t="str">
        <f>IF(Client_churn3[[#This Row],[Type_Forfait]]= "Pro Monde", "B2B", "B2C")</f>
        <v>B2C</v>
      </c>
      <c r="G674">
        <v>233</v>
      </c>
      <c r="H674" s="7">
        <v>10.94</v>
      </c>
      <c r="I67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74" s="9">
        <f>Client_churn3[[#This Row],[Facture_Mensuelle]]*Client_churn3[[#This Row],[Remise Client]]</f>
        <v>0</v>
      </c>
      <c r="K674">
        <v>0</v>
      </c>
      <c r="L674"/>
    </row>
    <row r="675" spans="1:12" x14ac:dyDescent="0.25">
      <c r="A675">
        <f t="shared" si="10"/>
        <v>674</v>
      </c>
      <c r="B675" t="s">
        <v>1445</v>
      </c>
      <c r="C675" t="s">
        <v>796</v>
      </c>
      <c r="D675">
        <v>42</v>
      </c>
      <c r="E675" t="s">
        <v>746</v>
      </c>
      <c r="F675" t="str">
        <f>IF(Client_churn3[[#This Row],[Type_Forfait]]= "Pro Monde", "B2B", "B2C")</f>
        <v>B2B</v>
      </c>
      <c r="G675">
        <v>389</v>
      </c>
      <c r="H675" s="7">
        <v>80.08</v>
      </c>
      <c r="I67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75" s="9">
        <f>Client_churn3[[#This Row],[Facture_Mensuelle]]*Client_churn3[[#This Row],[Remise Client]]</f>
        <v>8.0080000000000009</v>
      </c>
      <c r="K675">
        <v>1</v>
      </c>
      <c r="L675"/>
    </row>
    <row r="676" spans="1:12" x14ac:dyDescent="0.25">
      <c r="A676">
        <f t="shared" si="10"/>
        <v>675</v>
      </c>
      <c r="B676" t="s">
        <v>1446</v>
      </c>
      <c r="C676" t="s">
        <v>780</v>
      </c>
      <c r="D676">
        <v>104</v>
      </c>
      <c r="E676" t="s">
        <v>743</v>
      </c>
      <c r="F676" t="str">
        <f>IF(Client_churn3[[#This Row],[Type_Forfait]]= "Pro Monde", "B2B", "B2C")</f>
        <v>B2C</v>
      </c>
      <c r="G676">
        <v>245</v>
      </c>
      <c r="H676" s="7">
        <v>38.270000000000003</v>
      </c>
      <c r="I67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76" s="9">
        <f>Client_churn3[[#This Row],[Facture_Mensuelle]]*Client_churn3[[#This Row],[Remise Client]]</f>
        <v>17.221500000000002</v>
      </c>
      <c r="K676">
        <v>0</v>
      </c>
      <c r="L676"/>
    </row>
    <row r="677" spans="1:12" x14ac:dyDescent="0.25">
      <c r="A677">
        <f t="shared" si="10"/>
        <v>676</v>
      </c>
      <c r="B677" t="s">
        <v>1447</v>
      </c>
      <c r="C677" t="s">
        <v>809</v>
      </c>
      <c r="D677">
        <v>23</v>
      </c>
      <c r="E677" t="s">
        <v>746</v>
      </c>
      <c r="F677" t="str">
        <f>IF(Client_churn3[[#This Row],[Type_Forfait]]= "Pro Monde", "B2B", "B2C")</f>
        <v>B2B</v>
      </c>
      <c r="G677">
        <v>120</v>
      </c>
      <c r="H677" s="7">
        <v>73.12</v>
      </c>
      <c r="I67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77" s="9">
        <f>Client_churn3[[#This Row],[Facture_Mensuelle]]*Client_churn3[[#This Row],[Remise Client]]</f>
        <v>7.3120000000000012</v>
      </c>
      <c r="K677">
        <v>1</v>
      </c>
      <c r="L677"/>
    </row>
    <row r="678" spans="1:12" x14ac:dyDescent="0.25">
      <c r="A678">
        <f t="shared" si="10"/>
        <v>677</v>
      </c>
      <c r="B678" t="s">
        <v>1448</v>
      </c>
      <c r="C678" t="s">
        <v>748</v>
      </c>
      <c r="D678">
        <v>76</v>
      </c>
      <c r="E678" t="s">
        <v>743</v>
      </c>
      <c r="F678" t="str">
        <f>IF(Client_churn3[[#This Row],[Type_Forfait]]= "Pro Monde", "B2B", "B2C")</f>
        <v>B2C</v>
      </c>
      <c r="G678">
        <v>192</v>
      </c>
      <c r="H678" s="7">
        <v>68.53</v>
      </c>
      <c r="I67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78" s="9">
        <f>Client_churn3[[#This Row],[Facture_Mensuelle]]*Client_churn3[[#This Row],[Remise Client]]</f>
        <v>0</v>
      </c>
      <c r="K678">
        <v>0</v>
      </c>
      <c r="L678"/>
    </row>
    <row r="679" spans="1:12" x14ac:dyDescent="0.25">
      <c r="A679">
        <f t="shared" si="10"/>
        <v>678</v>
      </c>
      <c r="B679" t="s">
        <v>1449</v>
      </c>
      <c r="C679" t="s">
        <v>785</v>
      </c>
      <c r="D679">
        <v>35</v>
      </c>
      <c r="E679" t="s">
        <v>746</v>
      </c>
      <c r="F679" t="str">
        <f>IF(Client_churn3[[#This Row],[Type_Forfait]]= "Pro Monde", "B2B", "B2C")</f>
        <v>B2B</v>
      </c>
      <c r="G679">
        <v>496</v>
      </c>
      <c r="H679" s="7">
        <v>19.78</v>
      </c>
      <c r="I67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79" s="9">
        <f>Client_churn3[[#This Row],[Facture_Mensuelle]]*Client_churn3[[#This Row],[Remise Client]]</f>
        <v>1.9780000000000002</v>
      </c>
      <c r="K679">
        <v>5</v>
      </c>
      <c r="L679"/>
    </row>
    <row r="680" spans="1:12" x14ac:dyDescent="0.25">
      <c r="A680">
        <f t="shared" si="10"/>
        <v>679</v>
      </c>
      <c r="B680" t="s">
        <v>1450</v>
      </c>
      <c r="C680" t="s">
        <v>806</v>
      </c>
      <c r="D680">
        <v>97</v>
      </c>
      <c r="E680" t="s">
        <v>746</v>
      </c>
      <c r="F680" t="str">
        <f>IF(Client_churn3[[#This Row],[Type_Forfait]]= "Pro Monde", "B2B", "B2C")</f>
        <v>B2B</v>
      </c>
      <c r="G680">
        <v>319</v>
      </c>
      <c r="H680" s="7">
        <v>31.25</v>
      </c>
      <c r="I68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80" s="9">
        <f>Client_churn3[[#This Row],[Facture_Mensuelle]]*Client_churn3[[#This Row],[Remise Client]]</f>
        <v>3.125</v>
      </c>
      <c r="K680">
        <v>1</v>
      </c>
      <c r="L680"/>
    </row>
    <row r="681" spans="1:12" x14ac:dyDescent="0.25">
      <c r="A681">
        <f t="shared" si="10"/>
        <v>680</v>
      </c>
      <c r="B681" t="s">
        <v>1451</v>
      </c>
      <c r="C681" t="s">
        <v>754</v>
      </c>
      <c r="D681">
        <v>114</v>
      </c>
      <c r="E681" t="s">
        <v>755</v>
      </c>
      <c r="F681" t="str">
        <f>IF(Client_churn3[[#This Row],[Type_Forfait]]= "Pro Monde", "B2B", "B2C")</f>
        <v>B2C</v>
      </c>
      <c r="G681">
        <v>482</v>
      </c>
      <c r="H681" s="7">
        <v>16.25</v>
      </c>
      <c r="I68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81" s="9">
        <f>Client_churn3[[#This Row],[Facture_Mensuelle]]*Client_churn3[[#This Row],[Remise Client]]</f>
        <v>7.3125</v>
      </c>
      <c r="K681">
        <v>3</v>
      </c>
      <c r="L681"/>
    </row>
    <row r="682" spans="1:12" x14ac:dyDescent="0.25">
      <c r="A682">
        <f t="shared" si="10"/>
        <v>681</v>
      </c>
      <c r="B682" t="s">
        <v>1452</v>
      </c>
      <c r="C682" t="s">
        <v>780</v>
      </c>
      <c r="D682">
        <v>89</v>
      </c>
      <c r="E682" t="s">
        <v>743</v>
      </c>
      <c r="F682" t="str">
        <f>IF(Client_churn3[[#This Row],[Type_Forfait]]= "Pro Monde", "B2B", "B2C")</f>
        <v>B2C</v>
      </c>
      <c r="G682">
        <v>474</v>
      </c>
      <c r="H682" s="7">
        <v>28.51</v>
      </c>
      <c r="I68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82" s="9">
        <f>Client_churn3[[#This Row],[Facture_Mensuelle]]*Client_churn3[[#This Row],[Remise Client]]</f>
        <v>12.829500000000001</v>
      </c>
      <c r="K682">
        <v>5</v>
      </c>
      <c r="L682"/>
    </row>
    <row r="683" spans="1:12" x14ac:dyDescent="0.25">
      <c r="A683">
        <f t="shared" si="10"/>
        <v>682</v>
      </c>
      <c r="B683" t="s">
        <v>1453</v>
      </c>
      <c r="C683" t="s">
        <v>780</v>
      </c>
      <c r="D683">
        <v>41</v>
      </c>
      <c r="E683" t="s">
        <v>746</v>
      </c>
      <c r="F683" t="str">
        <f>IF(Client_churn3[[#This Row],[Type_Forfait]]= "Pro Monde", "B2B", "B2C")</f>
        <v>B2B</v>
      </c>
      <c r="G683">
        <v>206</v>
      </c>
      <c r="H683" s="7">
        <v>83.16</v>
      </c>
      <c r="I68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83" s="9">
        <f>Client_churn3[[#This Row],[Facture_Mensuelle]]*Client_churn3[[#This Row],[Remise Client]]</f>
        <v>8.3160000000000007</v>
      </c>
      <c r="K683">
        <v>2</v>
      </c>
      <c r="L683"/>
    </row>
    <row r="684" spans="1:12" x14ac:dyDescent="0.25">
      <c r="A684">
        <f t="shared" si="10"/>
        <v>683</v>
      </c>
      <c r="B684" t="s">
        <v>1454</v>
      </c>
      <c r="C684" t="s">
        <v>774</v>
      </c>
      <c r="D684">
        <v>110</v>
      </c>
      <c r="E684" t="s">
        <v>749</v>
      </c>
      <c r="F684" t="str">
        <f>IF(Client_churn3[[#This Row],[Type_Forfait]]= "Pro Monde", "B2B", "B2C")</f>
        <v>B2C</v>
      </c>
      <c r="G684">
        <v>454</v>
      </c>
      <c r="H684" s="7">
        <v>31.05</v>
      </c>
      <c r="I68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84" s="9">
        <f>Client_churn3[[#This Row],[Facture_Mensuelle]]*Client_churn3[[#This Row],[Remise Client]]</f>
        <v>13.9725</v>
      </c>
      <c r="K684">
        <v>1</v>
      </c>
      <c r="L684"/>
    </row>
    <row r="685" spans="1:12" x14ac:dyDescent="0.25">
      <c r="A685">
        <f t="shared" si="10"/>
        <v>684</v>
      </c>
      <c r="B685" t="s">
        <v>1455</v>
      </c>
      <c r="C685" t="s">
        <v>766</v>
      </c>
      <c r="D685">
        <v>85</v>
      </c>
      <c r="E685" t="s">
        <v>746</v>
      </c>
      <c r="F685" t="str">
        <f>IF(Client_churn3[[#This Row],[Type_Forfait]]= "Pro Monde", "B2B", "B2C")</f>
        <v>B2B</v>
      </c>
      <c r="G685">
        <v>75</v>
      </c>
      <c r="H685" s="7">
        <v>98.01</v>
      </c>
      <c r="I68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85" s="9">
        <f>Client_churn3[[#This Row],[Facture_Mensuelle]]*Client_churn3[[#This Row],[Remise Client]]</f>
        <v>9.8010000000000019</v>
      </c>
      <c r="K685">
        <v>1</v>
      </c>
      <c r="L685"/>
    </row>
    <row r="686" spans="1:12" x14ac:dyDescent="0.25">
      <c r="A686">
        <f t="shared" si="10"/>
        <v>685</v>
      </c>
      <c r="B686" t="s">
        <v>1456</v>
      </c>
      <c r="C686" t="s">
        <v>776</v>
      </c>
      <c r="D686">
        <v>79</v>
      </c>
      <c r="E686" t="s">
        <v>743</v>
      </c>
      <c r="F686" t="str">
        <f>IF(Client_churn3[[#This Row],[Type_Forfait]]= "Pro Monde", "B2B", "B2C")</f>
        <v>B2C</v>
      </c>
      <c r="G686">
        <v>462</v>
      </c>
      <c r="H686" s="7">
        <v>18.28</v>
      </c>
      <c r="I68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86" s="9">
        <f>Client_churn3[[#This Row],[Facture_Mensuelle]]*Client_churn3[[#This Row],[Remise Client]]</f>
        <v>8.2260000000000009</v>
      </c>
      <c r="K686">
        <v>0</v>
      </c>
      <c r="L686"/>
    </row>
    <row r="687" spans="1:12" x14ac:dyDescent="0.25">
      <c r="A687">
        <f t="shared" si="10"/>
        <v>686</v>
      </c>
      <c r="B687" t="s">
        <v>1457</v>
      </c>
      <c r="C687" t="s">
        <v>842</v>
      </c>
      <c r="D687">
        <v>46</v>
      </c>
      <c r="E687" t="s">
        <v>755</v>
      </c>
      <c r="F687" t="str">
        <f>IF(Client_churn3[[#This Row],[Type_Forfait]]= "Pro Monde", "B2B", "B2C")</f>
        <v>B2C</v>
      </c>
      <c r="G687">
        <v>43</v>
      </c>
      <c r="H687" s="7">
        <v>98.44</v>
      </c>
      <c r="I68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87" s="9">
        <f>Client_churn3[[#This Row],[Facture_Mensuelle]]*Client_churn3[[#This Row],[Remise Client]]</f>
        <v>0</v>
      </c>
      <c r="K687">
        <v>2</v>
      </c>
      <c r="L687"/>
    </row>
    <row r="688" spans="1:12" x14ac:dyDescent="0.25">
      <c r="A688">
        <f t="shared" si="10"/>
        <v>687</v>
      </c>
      <c r="B688" t="s">
        <v>1458</v>
      </c>
      <c r="C688" t="s">
        <v>770</v>
      </c>
      <c r="D688">
        <v>1</v>
      </c>
      <c r="E688" t="s">
        <v>746</v>
      </c>
      <c r="F688" t="str">
        <f>IF(Client_churn3[[#This Row],[Type_Forfait]]= "Pro Monde", "B2B", "B2C")</f>
        <v>B2B</v>
      </c>
      <c r="G688">
        <v>326</v>
      </c>
      <c r="H688" s="7">
        <v>54.63</v>
      </c>
      <c r="I68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88" s="9">
        <f>Client_churn3[[#This Row],[Facture_Mensuelle]]*Client_churn3[[#This Row],[Remise Client]]</f>
        <v>5.463000000000001</v>
      </c>
      <c r="K688">
        <v>3</v>
      </c>
      <c r="L688"/>
    </row>
    <row r="689" spans="1:12" x14ac:dyDescent="0.25">
      <c r="A689">
        <f t="shared" si="10"/>
        <v>688</v>
      </c>
      <c r="B689" t="s">
        <v>1459</v>
      </c>
      <c r="C689" t="s">
        <v>776</v>
      </c>
      <c r="D689">
        <v>26</v>
      </c>
      <c r="E689" t="s">
        <v>755</v>
      </c>
      <c r="F689" t="str">
        <f>IF(Client_churn3[[#This Row],[Type_Forfait]]= "Pro Monde", "B2B", "B2C")</f>
        <v>B2C</v>
      </c>
      <c r="G689">
        <v>378</v>
      </c>
      <c r="H689" s="7">
        <v>45.21</v>
      </c>
      <c r="I68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89" s="9">
        <f>Client_churn3[[#This Row],[Facture_Mensuelle]]*Client_churn3[[#This Row],[Remise Client]]</f>
        <v>20.3445</v>
      </c>
      <c r="K689">
        <v>5</v>
      </c>
      <c r="L689"/>
    </row>
    <row r="690" spans="1:12" x14ac:dyDescent="0.25">
      <c r="A690">
        <f t="shared" si="10"/>
        <v>689</v>
      </c>
      <c r="B690" t="s">
        <v>1460</v>
      </c>
      <c r="C690" t="s">
        <v>760</v>
      </c>
      <c r="D690">
        <v>73</v>
      </c>
      <c r="E690" t="s">
        <v>746</v>
      </c>
      <c r="F690" t="str">
        <f>IF(Client_churn3[[#This Row],[Type_Forfait]]= "Pro Monde", "B2B", "B2C")</f>
        <v>B2B</v>
      </c>
      <c r="G690">
        <v>268</v>
      </c>
      <c r="H690" s="7">
        <v>56.86</v>
      </c>
      <c r="I69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90" s="9">
        <f>Client_churn3[[#This Row],[Facture_Mensuelle]]*Client_churn3[[#This Row],[Remise Client]]</f>
        <v>5.6859999999999999</v>
      </c>
      <c r="K690">
        <v>5</v>
      </c>
      <c r="L690"/>
    </row>
    <row r="691" spans="1:12" x14ac:dyDescent="0.25">
      <c r="A691">
        <f t="shared" si="10"/>
        <v>690</v>
      </c>
      <c r="B691" t="s">
        <v>1461</v>
      </c>
      <c r="C691" t="s">
        <v>802</v>
      </c>
      <c r="D691">
        <v>16</v>
      </c>
      <c r="E691" t="s">
        <v>743</v>
      </c>
      <c r="F691" t="str">
        <f>IF(Client_churn3[[#This Row],[Type_Forfait]]= "Pro Monde", "B2B", "B2C")</f>
        <v>B2C</v>
      </c>
      <c r="G691">
        <v>13</v>
      </c>
      <c r="H691" s="7">
        <v>14.91</v>
      </c>
      <c r="I69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91" s="9">
        <f>Client_churn3[[#This Row],[Facture_Mensuelle]]*Client_churn3[[#This Row],[Remise Client]]</f>
        <v>0</v>
      </c>
      <c r="K691">
        <v>1</v>
      </c>
      <c r="L691"/>
    </row>
    <row r="692" spans="1:12" x14ac:dyDescent="0.25">
      <c r="A692">
        <f t="shared" si="10"/>
        <v>691</v>
      </c>
      <c r="B692" t="s">
        <v>1462</v>
      </c>
      <c r="C692" t="s">
        <v>774</v>
      </c>
      <c r="D692">
        <v>101</v>
      </c>
      <c r="E692" t="s">
        <v>749</v>
      </c>
      <c r="F692" t="str">
        <f>IF(Client_churn3[[#This Row],[Type_Forfait]]= "Pro Monde", "B2B", "B2C")</f>
        <v>B2C</v>
      </c>
      <c r="G692">
        <v>358</v>
      </c>
      <c r="H692" s="7">
        <v>29.24</v>
      </c>
      <c r="I69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92" s="9">
        <f>Client_churn3[[#This Row],[Facture_Mensuelle]]*Client_churn3[[#This Row],[Remise Client]]</f>
        <v>13.157999999999999</v>
      </c>
      <c r="K692">
        <v>3</v>
      </c>
      <c r="L692"/>
    </row>
    <row r="693" spans="1:12" x14ac:dyDescent="0.25">
      <c r="A693">
        <f t="shared" si="10"/>
        <v>692</v>
      </c>
      <c r="B693" t="s">
        <v>1463</v>
      </c>
      <c r="C693" t="s">
        <v>760</v>
      </c>
      <c r="D693">
        <v>103</v>
      </c>
      <c r="E693" t="s">
        <v>749</v>
      </c>
      <c r="F693" t="str">
        <f>IF(Client_churn3[[#This Row],[Type_Forfait]]= "Pro Monde", "B2B", "B2C")</f>
        <v>B2C</v>
      </c>
      <c r="G693">
        <v>291</v>
      </c>
      <c r="H693" s="7">
        <v>60.34</v>
      </c>
      <c r="I69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693" s="9">
        <f>Client_churn3[[#This Row],[Facture_Mensuelle]]*Client_churn3[[#This Row],[Remise Client]]</f>
        <v>27.153000000000002</v>
      </c>
      <c r="K693">
        <v>5</v>
      </c>
      <c r="L693"/>
    </row>
    <row r="694" spans="1:12" x14ac:dyDescent="0.25">
      <c r="A694">
        <f t="shared" si="10"/>
        <v>693</v>
      </c>
      <c r="B694" t="s">
        <v>1464</v>
      </c>
      <c r="C694" t="s">
        <v>766</v>
      </c>
      <c r="D694">
        <v>92</v>
      </c>
      <c r="E694" t="s">
        <v>755</v>
      </c>
      <c r="F694" t="str">
        <f>IF(Client_churn3[[#This Row],[Type_Forfait]]= "Pro Monde", "B2B", "B2C")</f>
        <v>B2C</v>
      </c>
      <c r="G694">
        <v>116</v>
      </c>
      <c r="H694" s="7">
        <v>23.83</v>
      </c>
      <c r="I69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94" s="9">
        <f>Client_churn3[[#This Row],[Facture_Mensuelle]]*Client_churn3[[#This Row],[Remise Client]]</f>
        <v>0</v>
      </c>
      <c r="K694">
        <v>3</v>
      </c>
      <c r="L694"/>
    </row>
    <row r="695" spans="1:12" x14ac:dyDescent="0.25">
      <c r="A695">
        <f t="shared" si="10"/>
        <v>694</v>
      </c>
      <c r="B695" t="s">
        <v>1465</v>
      </c>
      <c r="C695" t="s">
        <v>834</v>
      </c>
      <c r="D695">
        <v>116</v>
      </c>
      <c r="E695" t="s">
        <v>749</v>
      </c>
      <c r="F695" t="str">
        <f>IF(Client_churn3[[#This Row],[Type_Forfait]]= "Pro Monde", "B2B", "B2C")</f>
        <v>B2C</v>
      </c>
      <c r="G695">
        <v>231</v>
      </c>
      <c r="H695" s="7">
        <v>19.12</v>
      </c>
      <c r="I69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95" s="9">
        <f>Client_churn3[[#This Row],[Facture_Mensuelle]]*Client_churn3[[#This Row],[Remise Client]]</f>
        <v>0</v>
      </c>
      <c r="K695">
        <v>5</v>
      </c>
      <c r="L695"/>
    </row>
    <row r="696" spans="1:12" x14ac:dyDescent="0.25">
      <c r="A696">
        <f t="shared" si="10"/>
        <v>695</v>
      </c>
      <c r="B696" t="s">
        <v>1466</v>
      </c>
      <c r="C696" t="s">
        <v>809</v>
      </c>
      <c r="D696">
        <v>89</v>
      </c>
      <c r="E696" t="s">
        <v>746</v>
      </c>
      <c r="F696" t="str">
        <f>IF(Client_churn3[[#This Row],[Type_Forfait]]= "Pro Monde", "B2B", "B2C")</f>
        <v>B2B</v>
      </c>
      <c r="G696">
        <v>381</v>
      </c>
      <c r="H696" s="7">
        <v>68.17</v>
      </c>
      <c r="I69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96" s="9">
        <f>Client_churn3[[#This Row],[Facture_Mensuelle]]*Client_churn3[[#This Row],[Remise Client]]</f>
        <v>6.8170000000000002</v>
      </c>
      <c r="K696">
        <v>0</v>
      </c>
      <c r="L696"/>
    </row>
    <row r="697" spans="1:12" x14ac:dyDescent="0.25">
      <c r="A697">
        <f t="shared" si="10"/>
        <v>696</v>
      </c>
      <c r="B697" t="s">
        <v>1467</v>
      </c>
      <c r="C697" t="s">
        <v>842</v>
      </c>
      <c r="D697">
        <v>65</v>
      </c>
      <c r="E697" t="s">
        <v>755</v>
      </c>
      <c r="F697" t="str">
        <f>IF(Client_churn3[[#This Row],[Type_Forfait]]= "Pro Monde", "B2B", "B2C")</f>
        <v>B2C</v>
      </c>
      <c r="G697">
        <v>15</v>
      </c>
      <c r="H697" s="7">
        <v>44.47</v>
      </c>
      <c r="I69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697" s="9">
        <f>Client_churn3[[#This Row],[Facture_Mensuelle]]*Client_churn3[[#This Row],[Remise Client]]</f>
        <v>0</v>
      </c>
      <c r="K697">
        <v>0</v>
      </c>
      <c r="L697"/>
    </row>
    <row r="698" spans="1:12" x14ac:dyDescent="0.25">
      <c r="A698">
        <f t="shared" si="10"/>
        <v>697</v>
      </c>
      <c r="B698" t="s">
        <v>1468</v>
      </c>
      <c r="C698" t="s">
        <v>745</v>
      </c>
      <c r="D698">
        <v>61</v>
      </c>
      <c r="E698" t="s">
        <v>746</v>
      </c>
      <c r="F698" t="str">
        <f>IF(Client_churn3[[#This Row],[Type_Forfait]]= "Pro Monde", "B2B", "B2C")</f>
        <v>B2B</v>
      </c>
      <c r="G698">
        <v>362</v>
      </c>
      <c r="H698" s="7">
        <v>75.03</v>
      </c>
      <c r="I69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98" s="9">
        <f>Client_churn3[[#This Row],[Facture_Mensuelle]]*Client_churn3[[#This Row],[Remise Client]]</f>
        <v>7.5030000000000001</v>
      </c>
      <c r="K698">
        <v>0</v>
      </c>
      <c r="L698"/>
    </row>
    <row r="699" spans="1:12" x14ac:dyDescent="0.25">
      <c r="A699">
        <f t="shared" si="10"/>
        <v>698</v>
      </c>
      <c r="B699" t="s">
        <v>1469</v>
      </c>
      <c r="C699" t="s">
        <v>834</v>
      </c>
      <c r="D699">
        <v>17</v>
      </c>
      <c r="E699" t="s">
        <v>746</v>
      </c>
      <c r="F699" t="str">
        <f>IF(Client_churn3[[#This Row],[Type_Forfait]]= "Pro Monde", "B2B", "B2C")</f>
        <v>B2B</v>
      </c>
      <c r="G699">
        <v>206</v>
      </c>
      <c r="H699" s="7">
        <v>63.46</v>
      </c>
      <c r="I69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699" s="9">
        <f>Client_churn3[[#This Row],[Facture_Mensuelle]]*Client_churn3[[#This Row],[Remise Client]]</f>
        <v>6.3460000000000001</v>
      </c>
      <c r="K699">
        <v>3</v>
      </c>
      <c r="L699"/>
    </row>
    <row r="700" spans="1:12" x14ac:dyDescent="0.25">
      <c r="A700">
        <f t="shared" si="10"/>
        <v>699</v>
      </c>
      <c r="B700" t="s">
        <v>1470</v>
      </c>
      <c r="C700" t="s">
        <v>806</v>
      </c>
      <c r="D700">
        <v>19</v>
      </c>
      <c r="E700" t="s">
        <v>743</v>
      </c>
      <c r="F700" t="str">
        <f>IF(Client_churn3[[#This Row],[Type_Forfait]]= "Pro Monde", "B2B", "B2C")</f>
        <v>B2C</v>
      </c>
      <c r="G700">
        <v>125</v>
      </c>
      <c r="H700" s="7">
        <v>11.78</v>
      </c>
      <c r="I70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0" s="9">
        <f>Client_churn3[[#This Row],[Facture_Mensuelle]]*Client_churn3[[#This Row],[Remise Client]]</f>
        <v>0</v>
      </c>
      <c r="K700">
        <v>4</v>
      </c>
      <c r="L700"/>
    </row>
    <row r="701" spans="1:12" x14ac:dyDescent="0.25">
      <c r="A701">
        <f t="shared" si="10"/>
        <v>700</v>
      </c>
      <c r="B701" t="s">
        <v>1471</v>
      </c>
      <c r="C701" t="s">
        <v>778</v>
      </c>
      <c r="D701">
        <v>13</v>
      </c>
      <c r="E701" t="s">
        <v>743</v>
      </c>
      <c r="F701" t="str">
        <f>IF(Client_churn3[[#This Row],[Type_Forfait]]= "Pro Monde", "B2B", "B2C")</f>
        <v>B2C</v>
      </c>
      <c r="G701">
        <v>180</v>
      </c>
      <c r="H701" s="7">
        <v>24.01</v>
      </c>
      <c r="I70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1" s="9">
        <f>Client_churn3[[#This Row],[Facture_Mensuelle]]*Client_churn3[[#This Row],[Remise Client]]</f>
        <v>0</v>
      </c>
      <c r="K701">
        <v>0</v>
      </c>
      <c r="L701"/>
    </row>
    <row r="702" spans="1:12" x14ac:dyDescent="0.25">
      <c r="A702">
        <f t="shared" si="10"/>
        <v>701</v>
      </c>
      <c r="B702" t="s">
        <v>1472</v>
      </c>
      <c r="C702" t="s">
        <v>799</v>
      </c>
      <c r="D702">
        <v>90</v>
      </c>
      <c r="E702" t="s">
        <v>746</v>
      </c>
      <c r="F702" t="str">
        <f>IF(Client_churn3[[#This Row],[Type_Forfait]]= "Pro Monde", "B2B", "B2C")</f>
        <v>B2B</v>
      </c>
      <c r="G702">
        <v>299</v>
      </c>
      <c r="H702" s="7">
        <v>71.760000000000005</v>
      </c>
      <c r="I70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02" s="9">
        <f>Client_churn3[[#This Row],[Facture_Mensuelle]]*Client_churn3[[#This Row],[Remise Client]]</f>
        <v>7.176000000000001</v>
      </c>
      <c r="K702">
        <v>1</v>
      </c>
      <c r="L702"/>
    </row>
    <row r="703" spans="1:12" x14ac:dyDescent="0.25">
      <c r="A703">
        <f t="shared" si="10"/>
        <v>702</v>
      </c>
      <c r="B703" t="s">
        <v>1473</v>
      </c>
      <c r="C703" t="s">
        <v>794</v>
      </c>
      <c r="D703">
        <v>41</v>
      </c>
      <c r="E703" t="s">
        <v>755</v>
      </c>
      <c r="F703" t="str">
        <f>IF(Client_churn3[[#This Row],[Type_Forfait]]= "Pro Monde", "B2B", "B2C")</f>
        <v>B2C</v>
      </c>
      <c r="G703">
        <v>64</v>
      </c>
      <c r="H703" s="7">
        <v>91.95</v>
      </c>
      <c r="I70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3" s="9">
        <f>Client_churn3[[#This Row],[Facture_Mensuelle]]*Client_churn3[[#This Row],[Remise Client]]</f>
        <v>0</v>
      </c>
      <c r="K703">
        <v>1</v>
      </c>
      <c r="L703"/>
    </row>
    <row r="704" spans="1:12" x14ac:dyDescent="0.25">
      <c r="A704">
        <f t="shared" si="10"/>
        <v>703</v>
      </c>
      <c r="B704" t="s">
        <v>1474</v>
      </c>
      <c r="C704" t="s">
        <v>834</v>
      </c>
      <c r="D704">
        <v>74</v>
      </c>
      <c r="E704" t="s">
        <v>749</v>
      </c>
      <c r="F704" t="str">
        <f>IF(Client_churn3[[#This Row],[Type_Forfait]]= "Pro Monde", "B2B", "B2C")</f>
        <v>B2C</v>
      </c>
      <c r="G704">
        <v>359</v>
      </c>
      <c r="H704" s="7">
        <v>92.63</v>
      </c>
      <c r="I70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04" s="9">
        <f>Client_churn3[[#This Row],[Facture_Mensuelle]]*Client_churn3[[#This Row],[Remise Client]]</f>
        <v>41.683500000000002</v>
      </c>
      <c r="K704">
        <v>0</v>
      </c>
      <c r="L704"/>
    </row>
    <row r="705" spans="1:12" x14ac:dyDescent="0.25">
      <c r="A705">
        <f t="shared" si="10"/>
        <v>704</v>
      </c>
      <c r="B705" t="s">
        <v>1475</v>
      </c>
      <c r="C705" t="s">
        <v>785</v>
      </c>
      <c r="D705">
        <v>62</v>
      </c>
      <c r="E705" t="s">
        <v>755</v>
      </c>
      <c r="F705" t="str">
        <f>IF(Client_churn3[[#This Row],[Type_Forfait]]= "Pro Monde", "B2B", "B2C")</f>
        <v>B2C</v>
      </c>
      <c r="G705">
        <v>116</v>
      </c>
      <c r="H705" s="7">
        <v>92.99</v>
      </c>
      <c r="I70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5" s="9">
        <f>Client_churn3[[#This Row],[Facture_Mensuelle]]*Client_churn3[[#This Row],[Remise Client]]</f>
        <v>0</v>
      </c>
      <c r="K705">
        <v>5</v>
      </c>
      <c r="L705"/>
    </row>
    <row r="706" spans="1:12" x14ac:dyDescent="0.25">
      <c r="A706">
        <f t="shared" si="10"/>
        <v>705</v>
      </c>
      <c r="B706" t="s">
        <v>1476</v>
      </c>
      <c r="C706" t="s">
        <v>834</v>
      </c>
      <c r="D706">
        <v>118</v>
      </c>
      <c r="E706" t="s">
        <v>746</v>
      </c>
      <c r="F706" t="str">
        <f>IF(Client_churn3[[#This Row],[Type_Forfait]]= "Pro Monde", "B2B", "B2C")</f>
        <v>B2B</v>
      </c>
      <c r="G706">
        <v>80</v>
      </c>
      <c r="H706" s="7">
        <v>97.58</v>
      </c>
      <c r="I70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06" s="9">
        <f>Client_churn3[[#This Row],[Facture_Mensuelle]]*Client_churn3[[#This Row],[Remise Client]]</f>
        <v>9.7580000000000009</v>
      </c>
      <c r="K706">
        <v>3</v>
      </c>
      <c r="L706"/>
    </row>
    <row r="707" spans="1:12" x14ac:dyDescent="0.25">
      <c r="A707">
        <f t="shared" si="10"/>
        <v>706</v>
      </c>
      <c r="B707" t="s">
        <v>1477</v>
      </c>
      <c r="C707" t="s">
        <v>806</v>
      </c>
      <c r="D707">
        <v>99</v>
      </c>
      <c r="E707" t="s">
        <v>743</v>
      </c>
      <c r="F707" t="str">
        <f>IF(Client_churn3[[#This Row],[Type_Forfait]]= "Pro Monde", "B2B", "B2C")</f>
        <v>B2C</v>
      </c>
      <c r="G707">
        <v>28</v>
      </c>
      <c r="H707" s="7">
        <v>70.19</v>
      </c>
      <c r="I70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7" s="9">
        <f>Client_churn3[[#This Row],[Facture_Mensuelle]]*Client_churn3[[#This Row],[Remise Client]]</f>
        <v>0</v>
      </c>
      <c r="K707">
        <v>1</v>
      </c>
      <c r="L707"/>
    </row>
    <row r="708" spans="1:12" x14ac:dyDescent="0.25">
      <c r="A708">
        <f t="shared" si="10"/>
        <v>707</v>
      </c>
      <c r="B708" t="s">
        <v>1478</v>
      </c>
      <c r="C708" t="s">
        <v>842</v>
      </c>
      <c r="D708">
        <v>80</v>
      </c>
      <c r="E708" t="s">
        <v>755</v>
      </c>
      <c r="F708" t="str">
        <f>IF(Client_churn3[[#This Row],[Type_Forfait]]= "Pro Monde", "B2B", "B2C")</f>
        <v>B2C</v>
      </c>
      <c r="G708">
        <v>121</v>
      </c>
      <c r="H708" s="7">
        <v>83.14</v>
      </c>
      <c r="I70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8" s="9">
        <f>Client_churn3[[#This Row],[Facture_Mensuelle]]*Client_churn3[[#This Row],[Remise Client]]</f>
        <v>0</v>
      </c>
      <c r="K708">
        <v>5</v>
      </c>
      <c r="L708"/>
    </row>
    <row r="709" spans="1:12" x14ac:dyDescent="0.25">
      <c r="A709">
        <f t="shared" ref="A709:A747" si="11">A708+1</f>
        <v>708</v>
      </c>
      <c r="B709" t="s">
        <v>1479</v>
      </c>
      <c r="C709" t="s">
        <v>802</v>
      </c>
      <c r="D709">
        <v>58</v>
      </c>
      <c r="E709" t="s">
        <v>749</v>
      </c>
      <c r="F709" t="str">
        <f>IF(Client_churn3[[#This Row],[Type_Forfait]]= "Pro Monde", "B2B", "B2C")</f>
        <v>B2C</v>
      </c>
      <c r="G709">
        <v>61</v>
      </c>
      <c r="H709" s="7">
        <v>58.64</v>
      </c>
      <c r="I70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09" s="9">
        <f>Client_churn3[[#This Row],[Facture_Mensuelle]]*Client_churn3[[#This Row],[Remise Client]]</f>
        <v>0</v>
      </c>
      <c r="K709">
        <v>3</v>
      </c>
      <c r="L709"/>
    </row>
    <row r="710" spans="1:12" x14ac:dyDescent="0.25">
      <c r="A710">
        <f t="shared" si="11"/>
        <v>709</v>
      </c>
      <c r="B710" t="s">
        <v>1480</v>
      </c>
      <c r="C710" t="s">
        <v>751</v>
      </c>
      <c r="D710">
        <v>4</v>
      </c>
      <c r="E710" t="s">
        <v>743</v>
      </c>
      <c r="F710" t="str">
        <f>IF(Client_churn3[[#This Row],[Type_Forfait]]= "Pro Monde", "B2B", "B2C")</f>
        <v>B2C</v>
      </c>
      <c r="G710">
        <v>453</v>
      </c>
      <c r="H710" s="7">
        <v>75.260000000000005</v>
      </c>
      <c r="I71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10" s="9">
        <f>Client_churn3[[#This Row],[Facture_Mensuelle]]*Client_churn3[[#This Row],[Remise Client]]</f>
        <v>33.867000000000004</v>
      </c>
      <c r="K710">
        <v>5</v>
      </c>
      <c r="L710"/>
    </row>
    <row r="711" spans="1:12" x14ac:dyDescent="0.25">
      <c r="A711">
        <f t="shared" si="11"/>
        <v>710</v>
      </c>
      <c r="B711" t="s">
        <v>1481</v>
      </c>
      <c r="C711" t="s">
        <v>754</v>
      </c>
      <c r="D711">
        <v>41</v>
      </c>
      <c r="E711" t="s">
        <v>743</v>
      </c>
      <c r="F711" t="str">
        <f>IF(Client_churn3[[#This Row],[Type_Forfait]]= "Pro Monde", "B2B", "B2C")</f>
        <v>B2C</v>
      </c>
      <c r="G711">
        <v>398</v>
      </c>
      <c r="H711" s="7">
        <v>28.56</v>
      </c>
      <c r="I71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11" s="9">
        <f>Client_churn3[[#This Row],[Facture_Mensuelle]]*Client_churn3[[#This Row],[Remise Client]]</f>
        <v>12.852</v>
      </c>
      <c r="K711">
        <v>2</v>
      </c>
      <c r="L711"/>
    </row>
    <row r="712" spans="1:12" x14ac:dyDescent="0.25">
      <c r="A712">
        <f t="shared" si="11"/>
        <v>711</v>
      </c>
      <c r="B712" t="s">
        <v>1482</v>
      </c>
      <c r="C712" t="s">
        <v>782</v>
      </c>
      <c r="D712">
        <v>49</v>
      </c>
      <c r="E712" t="s">
        <v>746</v>
      </c>
      <c r="F712" t="str">
        <f>IF(Client_churn3[[#This Row],[Type_Forfait]]= "Pro Monde", "B2B", "B2C")</f>
        <v>B2B</v>
      </c>
      <c r="G712">
        <v>229</v>
      </c>
      <c r="H712" s="7">
        <v>53.94</v>
      </c>
      <c r="I71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12" s="9">
        <f>Client_churn3[[#This Row],[Facture_Mensuelle]]*Client_churn3[[#This Row],[Remise Client]]</f>
        <v>5.3940000000000001</v>
      </c>
      <c r="K712">
        <v>5</v>
      </c>
      <c r="L712"/>
    </row>
    <row r="713" spans="1:12" x14ac:dyDescent="0.25">
      <c r="A713">
        <f t="shared" si="11"/>
        <v>712</v>
      </c>
      <c r="B713" t="s">
        <v>1483</v>
      </c>
      <c r="C713" t="s">
        <v>806</v>
      </c>
      <c r="D713">
        <v>29</v>
      </c>
      <c r="E713" t="s">
        <v>749</v>
      </c>
      <c r="F713" t="str">
        <f>IF(Client_churn3[[#This Row],[Type_Forfait]]= "Pro Monde", "B2B", "B2C")</f>
        <v>B2C</v>
      </c>
      <c r="G713">
        <v>416</v>
      </c>
      <c r="H713" s="7">
        <v>61.26</v>
      </c>
      <c r="I71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13" s="9">
        <f>Client_churn3[[#This Row],[Facture_Mensuelle]]*Client_churn3[[#This Row],[Remise Client]]</f>
        <v>27.567</v>
      </c>
      <c r="K713">
        <v>0</v>
      </c>
      <c r="L713"/>
    </row>
    <row r="714" spans="1:12" x14ac:dyDescent="0.25">
      <c r="A714">
        <f t="shared" si="11"/>
        <v>713</v>
      </c>
      <c r="B714" t="s">
        <v>1484</v>
      </c>
      <c r="C714" t="s">
        <v>785</v>
      </c>
      <c r="D714">
        <v>9</v>
      </c>
      <c r="E714" t="s">
        <v>749</v>
      </c>
      <c r="F714" t="str">
        <f>IF(Client_churn3[[#This Row],[Type_Forfait]]= "Pro Monde", "B2B", "B2C")</f>
        <v>B2C</v>
      </c>
      <c r="G714">
        <v>227</v>
      </c>
      <c r="H714" s="7">
        <v>63.74</v>
      </c>
      <c r="I71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14" s="9">
        <f>Client_churn3[[#This Row],[Facture_Mensuelle]]*Client_churn3[[#This Row],[Remise Client]]</f>
        <v>0</v>
      </c>
      <c r="K714">
        <v>3</v>
      </c>
      <c r="L714"/>
    </row>
    <row r="715" spans="1:12" x14ac:dyDescent="0.25">
      <c r="A715">
        <f t="shared" si="11"/>
        <v>714</v>
      </c>
      <c r="B715" t="s">
        <v>1485</v>
      </c>
      <c r="C715" t="s">
        <v>760</v>
      </c>
      <c r="D715">
        <v>97</v>
      </c>
      <c r="E715" t="s">
        <v>746</v>
      </c>
      <c r="F715" t="str">
        <f>IF(Client_churn3[[#This Row],[Type_Forfait]]= "Pro Monde", "B2B", "B2C")</f>
        <v>B2B</v>
      </c>
      <c r="G715">
        <v>276</v>
      </c>
      <c r="H715" s="7">
        <v>88.35</v>
      </c>
      <c r="I71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15" s="9">
        <f>Client_churn3[[#This Row],[Facture_Mensuelle]]*Client_churn3[[#This Row],[Remise Client]]</f>
        <v>8.8349999999999991</v>
      </c>
      <c r="K715">
        <v>0</v>
      </c>
      <c r="L715"/>
    </row>
    <row r="716" spans="1:12" x14ac:dyDescent="0.25">
      <c r="A716">
        <f t="shared" si="11"/>
        <v>715</v>
      </c>
      <c r="B716" t="s">
        <v>1486</v>
      </c>
      <c r="C716" t="s">
        <v>834</v>
      </c>
      <c r="D716">
        <v>32</v>
      </c>
      <c r="E716" t="s">
        <v>749</v>
      </c>
      <c r="F716" t="str">
        <f>IF(Client_churn3[[#This Row],[Type_Forfait]]= "Pro Monde", "B2B", "B2C")</f>
        <v>B2C</v>
      </c>
      <c r="G716">
        <v>31</v>
      </c>
      <c r="H716" s="7">
        <v>67.040000000000006</v>
      </c>
      <c r="I71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16" s="9">
        <f>Client_churn3[[#This Row],[Facture_Mensuelle]]*Client_churn3[[#This Row],[Remise Client]]</f>
        <v>0</v>
      </c>
      <c r="K716">
        <v>1</v>
      </c>
      <c r="L716"/>
    </row>
    <row r="717" spans="1:12" x14ac:dyDescent="0.25">
      <c r="A717">
        <f t="shared" si="11"/>
        <v>716</v>
      </c>
      <c r="B717" t="s">
        <v>1487</v>
      </c>
      <c r="C717" t="s">
        <v>785</v>
      </c>
      <c r="D717">
        <v>87</v>
      </c>
      <c r="E717" t="s">
        <v>749</v>
      </c>
      <c r="F717" t="str">
        <f>IF(Client_churn3[[#This Row],[Type_Forfait]]= "Pro Monde", "B2B", "B2C")</f>
        <v>B2C</v>
      </c>
      <c r="G717">
        <v>498</v>
      </c>
      <c r="H717" s="7">
        <v>61.57</v>
      </c>
      <c r="I71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17" s="9">
        <f>Client_churn3[[#This Row],[Facture_Mensuelle]]*Client_churn3[[#This Row],[Remise Client]]</f>
        <v>27.706500000000002</v>
      </c>
      <c r="K717">
        <v>0</v>
      </c>
      <c r="L717"/>
    </row>
    <row r="718" spans="1:12" x14ac:dyDescent="0.25">
      <c r="A718">
        <f t="shared" si="11"/>
        <v>717</v>
      </c>
      <c r="B718" t="s">
        <v>1488</v>
      </c>
      <c r="C718" t="s">
        <v>745</v>
      </c>
      <c r="D718">
        <v>112</v>
      </c>
      <c r="E718" t="s">
        <v>746</v>
      </c>
      <c r="F718" t="str">
        <f>IF(Client_churn3[[#This Row],[Type_Forfait]]= "Pro Monde", "B2B", "B2C")</f>
        <v>B2B</v>
      </c>
      <c r="G718">
        <v>18</v>
      </c>
      <c r="H718" s="7">
        <v>27.33</v>
      </c>
      <c r="I71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18" s="9">
        <f>Client_churn3[[#This Row],[Facture_Mensuelle]]*Client_churn3[[#This Row],[Remise Client]]</f>
        <v>2.7330000000000001</v>
      </c>
      <c r="K718">
        <v>5</v>
      </c>
      <c r="L718"/>
    </row>
    <row r="719" spans="1:12" x14ac:dyDescent="0.25">
      <c r="A719">
        <f t="shared" si="11"/>
        <v>718</v>
      </c>
      <c r="B719" t="s">
        <v>1489</v>
      </c>
      <c r="C719" t="s">
        <v>799</v>
      </c>
      <c r="D719">
        <v>97</v>
      </c>
      <c r="E719" t="s">
        <v>755</v>
      </c>
      <c r="F719" t="str">
        <f>IF(Client_churn3[[#This Row],[Type_Forfait]]= "Pro Monde", "B2B", "B2C")</f>
        <v>B2C</v>
      </c>
      <c r="G719">
        <v>296</v>
      </c>
      <c r="H719" s="7">
        <v>10.87</v>
      </c>
      <c r="I71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19" s="9">
        <f>Client_churn3[[#This Row],[Facture_Mensuelle]]*Client_churn3[[#This Row],[Remise Client]]</f>
        <v>4.8914999999999997</v>
      </c>
      <c r="K719">
        <v>4</v>
      </c>
      <c r="L719"/>
    </row>
    <row r="720" spans="1:12" x14ac:dyDescent="0.25">
      <c r="A720">
        <f t="shared" si="11"/>
        <v>719</v>
      </c>
      <c r="B720" t="s">
        <v>1490</v>
      </c>
      <c r="C720" t="s">
        <v>768</v>
      </c>
      <c r="D720">
        <v>14</v>
      </c>
      <c r="E720" t="s">
        <v>746</v>
      </c>
      <c r="F720" t="str">
        <f>IF(Client_churn3[[#This Row],[Type_Forfait]]= "Pro Monde", "B2B", "B2C")</f>
        <v>B2B</v>
      </c>
      <c r="G720">
        <v>303</v>
      </c>
      <c r="H720" s="7">
        <v>61.43</v>
      </c>
      <c r="I72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20" s="9">
        <f>Client_churn3[[#This Row],[Facture_Mensuelle]]*Client_churn3[[#This Row],[Remise Client]]</f>
        <v>6.1430000000000007</v>
      </c>
      <c r="K720">
        <v>1</v>
      </c>
      <c r="L720"/>
    </row>
    <row r="721" spans="1:12" x14ac:dyDescent="0.25">
      <c r="A721">
        <f t="shared" si="11"/>
        <v>720</v>
      </c>
      <c r="B721" t="s">
        <v>1491</v>
      </c>
      <c r="C721" t="s">
        <v>802</v>
      </c>
      <c r="D721">
        <v>104</v>
      </c>
      <c r="E721" t="s">
        <v>755</v>
      </c>
      <c r="F721" t="str">
        <f>IF(Client_churn3[[#This Row],[Type_Forfait]]= "Pro Monde", "B2B", "B2C")</f>
        <v>B2C</v>
      </c>
      <c r="G721">
        <v>68</v>
      </c>
      <c r="H721" s="7">
        <v>21.15</v>
      </c>
      <c r="I72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21" s="9">
        <f>Client_churn3[[#This Row],[Facture_Mensuelle]]*Client_churn3[[#This Row],[Remise Client]]</f>
        <v>0</v>
      </c>
      <c r="K721">
        <v>2</v>
      </c>
      <c r="L721"/>
    </row>
    <row r="722" spans="1:12" x14ac:dyDescent="0.25">
      <c r="A722">
        <f t="shared" si="11"/>
        <v>721</v>
      </c>
      <c r="B722" t="s">
        <v>1492</v>
      </c>
      <c r="C722" t="s">
        <v>748</v>
      </c>
      <c r="D722">
        <v>38</v>
      </c>
      <c r="E722" t="s">
        <v>755</v>
      </c>
      <c r="F722" t="str">
        <f>IF(Client_churn3[[#This Row],[Type_Forfait]]= "Pro Monde", "B2B", "B2C")</f>
        <v>B2C</v>
      </c>
      <c r="G722">
        <v>432</v>
      </c>
      <c r="H722" s="7">
        <v>53.65</v>
      </c>
      <c r="I72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2" s="9">
        <f>Client_churn3[[#This Row],[Facture_Mensuelle]]*Client_churn3[[#This Row],[Remise Client]]</f>
        <v>24.142499999999998</v>
      </c>
      <c r="K722">
        <v>4</v>
      </c>
      <c r="L722"/>
    </row>
    <row r="723" spans="1:12" x14ac:dyDescent="0.25">
      <c r="A723">
        <f t="shared" si="11"/>
        <v>722</v>
      </c>
      <c r="B723" t="s">
        <v>1493</v>
      </c>
      <c r="C723" t="s">
        <v>799</v>
      </c>
      <c r="D723">
        <v>91</v>
      </c>
      <c r="E723" t="s">
        <v>755</v>
      </c>
      <c r="F723" t="str">
        <f>IF(Client_churn3[[#This Row],[Type_Forfait]]= "Pro Monde", "B2B", "B2C")</f>
        <v>B2C</v>
      </c>
      <c r="G723">
        <v>467</v>
      </c>
      <c r="H723" s="7">
        <v>84.74</v>
      </c>
      <c r="I72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3" s="9">
        <f>Client_churn3[[#This Row],[Facture_Mensuelle]]*Client_churn3[[#This Row],[Remise Client]]</f>
        <v>38.132999999999996</v>
      </c>
      <c r="K723">
        <v>1</v>
      </c>
      <c r="L723"/>
    </row>
    <row r="724" spans="1:12" x14ac:dyDescent="0.25">
      <c r="A724">
        <f t="shared" si="11"/>
        <v>723</v>
      </c>
      <c r="B724" t="s">
        <v>1494</v>
      </c>
      <c r="C724" t="s">
        <v>760</v>
      </c>
      <c r="D724">
        <v>14</v>
      </c>
      <c r="E724" t="s">
        <v>743</v>
      </c>
      <c r="F724" t="str">
        <f>IF(Client_churn3[[#This Row],[Type_Forfait]]= "Pro Monde", "B2B", "B2C")</f>
        <v>B2C</v>
      </c>
      <c r="G724">
        <v>415</v>
      </c>
      <c r="H724" s="7">
        <v>36.93</v>
      </c>
      <c r="I72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4" s="9">
        <f>Client_churn3[[#This Row],[Facture_Mensuelle]]*Client_churn3[[#This Row],[Remise Client]]</f>
        <v>16.618500000000001</v>
      </c>
      <c r="K724">
        <v>5</v>
      </c>
      <c r="L724"/>
    </row>
    <row r="725" spans="1:12" x14ac:dyDescent="0.25">
      <c r="A725">
        <f t="shared" si="11"/>
        <v>724</v>
      </c>
      <c r="B725" t="s">
        <v>1495</v>
      </c>
      <c r="C725" t="s">
        <v>782</v>
      </c>
      <c r="D725">
        <v>7</v>
      </c>
      <c r="E725" t="s">
        <v>746</v>
      </c>
      <c r="F725" t="str">
        <f>IF(Client_churn3[[#This Row],[Type_Forfait]]= "Pro Monde", "B2B", "B2C")</f>
        <v>B2B</v>
      </c>
      <c r="G725">
        <v>268</v>
      </c>
      <c r="H725" s="7">
        <v>33.04</v>
      </c>
      <c r="I72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25" s="9">
        <f>Client_churn3[[#This Row],[Facture_Mensuelle]]*Client_churn3[[#This Row],[Remise Client]]</f>
        <v>3.3040000000000003</v>
      </c>
      <c r="K725">
        <v>5</v>
      </c>
      <c r="L725"/>
    </row>
    <row r="726" spans="1:12" x14ac:dyDescent="0.25">
      <c r="A726">
        <f t="shared" si="11"/>
        <v>725</v>
      </c>
      <c r="B726" t="s">
        <v>1496</v>
      </c>
      <c r="C726" t="s">
        <v>785</v>
      </c>
      <c r="D726">
        <v>93</v>
      </c>
      <c r="E726" t="s">
        <v>743</v>
      </c>
      <c r="F726" t="str">
        <f>IF(Client_churn3[[#This Row],[Type_Forfait]]= "Pro Monde", "B2B", "B2C")</f>
        <v>B2C</v>
      </c>
      <c r="G726">
        <v>365</v>
      </c>
      <c r="H726" s="7">
        <v>72.319999999999993</v>
      </c>
      <c r="I72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6" s="9">
        <f>Client_churn3[[#This Row],[Facture_Mensuelle]]*Client_churn3[[#This Row],[Remise Client]]</f>
        <v>32.543999999999997</v>
      </c>
      <c r="K726">
        <v>1</v>
      </c>
      <c r="L726"/>
    </row>
    <row r="727" spans="1:12" x14ac:dyDescent="0.25">
      <c r="A727">
        <f t="shared" si="11"/>
        <v>726</v>
      </c>
      <c r="B727" t="s">
        <v>1497</v>
      </c>
      <c r="C727" t="s">
        <v>794</v>
      </c>
      <c r="D727">
        <v>30</v>
      </c>
      <c r="E727" t="s">
        <v>755</v>
      </c>
      <c r="F727" t="str">
        <f>IF(Client_churn3[[#This Row],[Type_Forfait]]= "Pro Monde", "B2B", "B2C")</f>
        <v>B2C</v>
      </c>
      <c r="G727">
        <v>197</v>
      </c>
      <c r="H727" s="7">
        <v>15.42</v>
      </c>
      <c r="I72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27" s="9">
        <f>Client_churn3[[#This Row],[Facture_Mensuelle]]*Client_churn3[[#This Row],[Remise Client]]</f>
        <v>0</v>
      </c>
      <c r="K727">
        <v>0</v>
      </c>
      <c r="L727"/>
    </row>
    <row r="728" spans="1:12" x14ac:dyDescent="0.25">
      <c r="A728">
        <f t="shared" si="11"/>
        <v>727</v>
      </c>
      <c r="B728" t="s">
        <v>1498</v>
      </c>
      <c r="C728" t="s">
        <v>785</v>
      </c>
      <c r="D728">
        <v>58</v>
      </c>
      <c r="E728" t="s">
        <v>755</v>
      </c>
      <c r="F728" t="str">
        <f>IF(Client_churn3[[#This Row],[Type_Forfait]]= "Pro Monde", "B2B", "B2C")</f>
        <v>B2C</v>
      </c>
      <c r="G728">
        <v>485</v>
      </c>
      <c r="H728" s="7">
        <v>65.41</v>
      </c>
      <c r="I72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8" s="9">
        <f>Client_churn3[[#This Row],[Facture_Mensuelle]]*Client_churn3[[#This Row],[Remise Client]]</f>
        <v>29.4345</v>
      </c>
      <c r="K728">
        <v>5</v>
      </c>
      <c r="L728"/>
    </row>
    <row r="729" spans="1:12" x14ac:dyDescent="0.25">
      <c r="A729">
        <f t="shared" si="11"/>
        <v>728</v>
      </c>
      <c r="B729" t="s">
        <v>1499</v>
      </c>
      <c r="C729" t="s">
        <v>780</v>
      </c>
      <c r="D729">
        <v>113</v>
      </c>
      <c r="E729" t="s">
        <v>755</v>
      </c>
      <c r="F729" t="str">
        <f>IF(Client_churn3[[#This Row],[Type_Forfait]]= "Pro Monde", "B2B", "B2C")</f>
        <v>B2C</v>
      </c>
      <c r="G729">
        <v>246</v>
      </c>
      <c r="H729" s="7">
        <v>29.18</v>
      </c>
      <c r="I72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29" s="9">
        <f>Client_churn3[[#This Row],[Facture_Mensuelle]]*Client_churn3[[#This Row],[Remise Client]]</f>
        <v>13.131</v>
      </c>
      <c r="K729">
        <v>2</v>
      </c>
      <c r="L729"/>
    </row>
    <row r="730" spans="1:12" x14ac:dyDescent="0.25">
      <c r="A730">
        <f t="shared" si="11"/>
        <v>729</v>
      </c>
      <c r="B730" t="s">
        <v>1500</v>
      </c>
      <c r="C730" t="s">
        <v>834</v>
      </c>
      <c r="D730">
        <v>19</v>
      </c>
      <c r="E730" t="s">
        <v>743</v>
      </c>
      <c r="F730" t="str">
        <f>IF(Client_churn3[[#This Row],[Type_Forfait]]= "Pro Monde", "B2B", "B2C")</f>
        <v>B2C</v>
      </c>
      <c r="G730">
        <v>141</v>
      </c>
      <c r="H730" s="7">
        <v>53.95</v>
      </c>
      <c r="I73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30" s="9">
        <f>Client_churn3[[#This Row],[Facture_Mensuelle]]*Client_churn3[[#This Row],[Remise Client]]</f>
        <v>0</v>
      </c>
      <c r="K730">
        <v>1</v>
      </c>
      <c r="L730"/>
    </row>
    <row r="731" spans="1:12" x14ac:dyDescent="0.25">
      <c r="A731">
        <f t="shared" si="11"/>
        <v>730</v>
      </c>
      <c r="B731" t="s">
        <v>1501</v>
      </c>
      <c r="C731" t="s">
        <v>751</v>
      </c>
      <c r="D731">
        <v>33</v>
      </c>
      <c r="E731" t="s">
        <v>743</v>
      </c>
      <c r="F731" t="str">
        <f>IF(Client_churn3[[#This Row],[Type_Forfait]]= "Pro Monde", "B2B", "B2C")</f>
        <v>B2C</v>
      </c>
      <c r="G731">
        <v>332</v>
      </c>
      <c r="H731" s="7">
        <v>76.41</v>
      </c>
      <c r="I73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31" s="9">
        <f>Client_churn3[[#This Row],[Facture_Mensuelle]]*Client_churn3[[#This Row],[Remise Client]]</f>
        <v>34.384500000000003</v>
      </c>
      <c r="K731">
        <v>1</v>
      </c>
      <c r="L731"/>
    </row>
    <row r="732" spans="1:12" x14ac:dyDescent="0.25">
      <c r="A732">
        <f t="shared" si="11"/>
        <v>731</v>
      </c>
      <c r="B732" t="s">
        <v>1502</v>
      </c>
      <c r="C732" t="s">
        <v>760</v>
      </c>
      <c r="D732">
        <v>103</v>
      </c>
      <c r="E732" t="s">
        <v>743</v>
      </c>
      <c r="F732" t="str">
        <f>IF(Client_churn3[[#This Row],[Type_Forfait]]= "Pro Monde", "B2B", "B2C")</f>
        <v>B2C</v>
      </c>
      <c r="G732">
        <v>98</v>
      </c>
      <c r="H732" s="7">
        <v>38.69</v>
      </c>
      <c r="I73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32" s="9">
        <f>Client_churn3[[#This Row],[Facture_Mensuelle]]*Client_churn3[[#This Row],[Remise Client]]</f>
        <v>0</v>
      </c>
      <c r="K732">
        <v>4</v>
      </c>
      <c r="L732"/>
    </row>
    <row r="733" spans="1:12" x14ac:dyDescent="0.25">
      <c r="A733">
        <f t="shared" si="11"/>
        <v>732</v>
      </c>
      <c r="B733" t="s">
        <v>1503</v>
      </c>
      <c r="C733" t="s">
        <v>778</v>
      </c>
      <c r="D733">
        <v>72</v>
      </c>
      <c r="E733" t="s">
        <v>743</v>
      </c>
      <c r="F733" t="str">
        <f>IF(Client_churn3[[#This Row],[Type_Forfait]]= "Pro Monde", "B2B", "B2C")</f>
        <v>B2C</v>
      </c>
      <c r="G733">
        <v>332</v>
      </c>
      <c r="H733" s="7">
        <v>83.36</v>
      </c>
      <c r="I73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33" s="9">
        <f>Client_churn3[[#This Row],[Facture_Mensuelle]]*Client_churn3[[#This Row],[Remise Client]]</f>
        <v>37.512</v>
      </c>
      <c r="K733">
        <v>4</v>
      </c>
      <c r="L733"/>
    </row>
    <row r="734" spans="1:12" x14ac:dyDescent="0.25">
      <c r="A734">
        <f t="shared" si="11"/>
        <v>733</v>
      </c>
      <c r="B734" t="s">
        <v>1504</v>
      </c>
      <c r="C734" t="s">
        <v>782</v>
      </c>
      <c r="D734">
        <v>23</v>
      </c>
      <c r="E734" t="s">
        <v>746</v>
      </c>
      <c r="F734" t="str">
        <f>IF(Client_churn3[[#This Row],[Type_Forfait]]= "Pro Monde", "B2B", "B2C")</f>
        <v>B2B</v>
      </c>
      <c r="G734">
        <v>262</v>
      </c>
      <c r="H734" s="7">
        <v>46.3</v>
      </c>
      <c r="I73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34" s="9">
        <f>Client_churn3[[#This Row],[Facture_Mensuelle]]*Client_churn3[[#This Row],[Remise Client]]</f>
        <v>4.63</v>
      </c>
      <c r="K734">
        <v>1</v>
      </c>
      <c r="L734"/>
    </row>
    <row r="735" spans="1:12" x14ac:dyDescent="0.25">
      <c r="A735">
        <f t="shared" si="11"/>
        <v>734</v>
      </c>
      <c r="B735" t="s">
        <v>1505</v>
      </c>
      <c r="C735" t="s">
        <v>785</v>
      </c>
      <c r="D735">
        <v>91</v>
      </c>
      <c r="E735" t="s">
        <v>746</v>
      </c>
      <c r="F735" t="str">
        <f>IF(Client_churn3[[#This Row],[Type_Forfait]]= "Pro Monde", "B2B", "B2C")</f>
        <v>B2B</v>
      </c>
      <c r="G735">
        <v>358</v>
      </c>
      <c r="H735" s="7">
        <v>21.14</v>
      </c>
      <c r="I73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35" s="9">
        <f>Client_churn3[[#This Row],[Facture_Mensuelle]]*Client_churn3[[#This Row],[Remise Client]]</f>
        <v>2.1140000000000003</v>
      </c>
      <c r="K735">
        <v>5</v>
      </c>
      <c r="L735"/>
    </row>
    <row r="736" spans="1:12" x14ac:dyDescent="0.25">
      <c r="A736">
        <f t="shared" si="11"/>
        <v>735</v>
      </c>
      <c r="B736" t="s">
        <v>1506</v>
      </c>
      <c r="C736" t="s">
        <v>809</v>
      </c>
      <c r="D736">
        <v>65</v>
      </c>
      <c r="E736" t="s">
        <v>746</v>
      </c>
      <c r="F736" t="str">
        <f>IF(Client_churn3[[#This Row],[Type_Forfait]]= "Pro Monde", "B2B", "B2C")</f>
        <v>B2B</v>
      </c>
      <c r="G736">
        <v>246</v>
      </c>
      <c r="H736" s="7">
        <v>69.17</v>
      </c>
      <c r="I73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36" s="9">
        <f>Client_churn3[[#This Row],[Facture_Mensuelle]]*Client_churn3[[#This Row],[Remise Client]]</f>
        <v>6.9170000000000007</v>
      </c>
      <c r="K736">
        <v>0</v>
      </c>
      <c r="L736"/>
    </row>
    <row r="737" spans="1:12" x14ac:dyDescent="0.25">
      <c r="A737">
        <f t="shared" si="11"/>
        <v>736</v>
      </c>
      <c r="B737" t="s">
        <v>1507</v>
      </c>
      <c r="C737" t="s">
        <v>742</v>
      </c>
      <c r="D737">
        <v>10</v>
      </c>
      <c r="E737" t="s">
        <v>749</v>
      </c>
      <c r="F737" t="str">
        <f>IF(Client_churn3[[#This Row],[Type_Forfait]]= "Pro Monde", "B2B", "B2C")</f>
        <v>B2C</v>
      </c>
      <c r="G737">
        <v>418</v>
      </c>
      <c r="H737" s="7">
        <v>27.66</v>
      </c>
      <c r="I73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37" s="9">
        <f>Client_churn3[[#This Row],[Facture_Mensuelle]]*Client_churn3[[#This Row],[Remise Client]]</f>
        <v>12.447000000000001</v>
      </c>
      <c r="K737">
        <v>2</v>
      </c>
      <c r="L737"/>
    </row>
    <row r="738" spans="1:12" x14ac:dyDescent="0.25">
      <c r="A738">
        <f t="shared" si="11"/>
        <v>737</v>
      </c>
      <c r="B738" t="s">
        <v>1508</v>
      </c>
      <c r="C738" t="s">
        <v>748</v>
      </c>
      <c r="D738">
        <v>10</v>
      </c>
      <c r="E738" t="s">
        <v>746</v>
      </c>
      <c r="F738" t="str">
        <f>IF(Client_churn3[[#This Row],[Type_Forfait]]= "Pro Monde", "B2B", "B2C")</f>
        <v>B2B</v>
      </c>
      <c r="G738">
        <v>129</v>
      </c>
      <c r="H738" s="7">
        <v>70.12</v>
      </c>
      <c r="I738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38" s="9">
        <f>Client_churn3[[#This Row],[Facture_Mensuelle]]*Client_churn3[[#This Row],[Remise Client]]</f>
        <v>7.0120000000000005</v>
      </c>
      <c r="K738">
        <v>0</v>
      </c>
      <c r="L738"/>
    </row>
    <row r="739" spans="1:12" x14ac:dyDescent="0.25">
      <c r="A739">
        <f t="shared" si="11"/>
        <v>738</v>
      </c>
      <c r="B739" t="s">
        <v>1509</v>
      </c>
      <c r="C739" t="s">
        <v>796</v>
      </c>
      <c r="D739">
        <v>80</v>
      </c>
      <c r="E739" t="s">
        <v>749</v>
      </c>
      <c r="F739" t="str">
        <f>IF(Client_churn3[[#This Row],[Type_Forfait]]= "Pro Monde", "B2B", "B2C")</f>
        <v>B2C</v>
      </c>
      <c r="G739">
        <v>101</v>
      </c>
      <c r="H739" s="7">
        <v>61.92</v>
      </c>
      <c r="I739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39" s="9">
        <f>Client_churn3[[#This Row],[Facture_Mensuelle]]*Client_churn3[[#This Row],[Remise Client]]</f>
        <v>0</v>
      </c>
      <c r="K739">
        <v>4</v>
      </c>
      <c r="L739"/>
    </row>
    <row r="740" spans="1:12" x14ac:dyDescent="0.25">
      <c r="A740">
        <f t="shared" si="11"/>
        <v>739</v>
      </c>
      <c r="B740" t="s">
        <v>1510</v>
      </c>
      <c r="C740" t="s">
        <v>806</v>
      </c>
      <c r="D740">
        <v>61</v>
      </c>
      <c r="E740" t="s">
        <v>743</v>
      </c>
      <c r="F740" t="str">
        <f>IF(Client_churn3[[#This Row],[Type_Forfait]]= "Pro Monde", "B2B", "B2C")</f>
        <v>B2C</v>
      </c>
      <c r="G740">
        <v>383</v>
      </c>
      <c r="H740" s="7">
        <v>39.72</v>
      </c>
      <c r="I740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40" s="9">
        <f>Client_churn3[[#This Row],[Facture_Mensuelle]]*Client_churn3[[#This Row],[Remise Client]]</f>
        <v>17.873999999999999</v>
      </c>
      <c r="K740">
        <v>4</v>
      </c>
      <c r="L740"/>
    </row>
    <row r="741" spans="1:12" x14ac:dyDescent="0.25">
      <c r="A741">
        <f t="shared" si="11"/>
        <v>740</v>
      </c>
      <c r="B741" t="s">
        <v>1511</v>
      </c>
      <c r="C741" t="s">
        <v>758</v>
      </c>
      <c r="D741">
        <v>1</v>
      </c>
      <c r="E741" t="s">
        <v>743</v>
      </c>
      <c r="F741" t="str">
        <f>IF(Client_churn3[[#This Row],[Type_Forfait]]= "Pro Monde", "B2B", "B2C")</f>
        <v>B2C</v>
      </c>
      <c r="G741">
        <v>237</v>
      </c>
      <c r="H741" s="7">
        <v>58.7</v>
      </c>
      <c r="I741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41" s="9">
        <f>Client_churn3[[#This Row],[Facture_Mensuelle]]*Client_churn3[[#This Row],[Remise Client]]</f>
        <v>0</v>
      </c>
      <c r="K741">
        <v>4</v>
      </c>
      <c r="L741"/>
    </row>
    <row r="742" spans="1:12" x14ac:dyDescent="0.25">
      <c r="A742">
        <f t="shared" si="11"/>
        <v>741</v>
      </c>
      <c r="B742" t="s">
        <v>1512</v>
      </c>
      <c r="C742" t="s">
        <v>806</v>
      </c>
      <c r="D742">
        <v>111</v>
      </c>
      <c r="E742" t="s">
        <v>746</v>
      </c>
      <c r="F742" t="str">
        <f>IF(Client_churn3[[#This Row],[Type_Forfait]]= "Pro Monde", "B2B", "B2C")</f>
        <v>B2B</v>
      </c>
      <c r="G742">
        <v>447</v>
      </c>
      <c r="H742" s="7">
        <v>51.35</v>
      </c>
      <c r="I742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42" s="9">
        <f>Client_churn3[[#This Row],[Facture_Mensuelle]]*Client_churn3[[#This Row],[Remise Client]]</f>
        <v>5.1350000000000007</v>
      </c>
      <c r="K742">
        <v>0</v>
      </c>
      <c r="L742"/>
    </row>
    <row r="743" spans="1:12" x14ac:dyDescent="0.25">
      <c r="A743">
        <f t="shared" si="11"/>
        <v>742</v>
      </c>
      <c r="B743" t="s">
        <v>1513</v>
      </c>
      <c r="C743" t="s">
        <v>745</v>
      </c>
      <c r="D743">
        <v>100</v>
      </c>
      <c r="E743" t="s">
        <v>749</v>
      </c>
      <c r="F743" t="str">
        <f>IF(Client_churn3[[#This Row],[Type_Forfait]]= "Pro Monde", "B2B", "B2C")</f>
        <v>B2C</v>
      </c>
      <c r="G743">
        <v>240</v>
      </c>
      <c r="H743" s="7">
        <v>24.83</v>
      </c>
      <c r="I743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0.45</v>
      </c>
      <c r="J743" s="9">
        <f>Client_churn3[[#This Row],[Facture_Mensuelle]]*Client_churn3[[#This Row],[Remise Client]]</f>
        <v>11.173499999999999</v>
      </c>
      <c r="K743">
        <v>4</v>
      </c>
      <c r="L743"/>
    </row>
    <row r="744" spans="1:12" x14ac:dyDescent="0.25">
      <c r="A744">
        <f t="shared" si="11"/>
        <v>743</v>
      </c>
      <c r="B744" t="s">
        <v>1514</v>
      </c>
      <c r="C744" t="s">
        <v>745</v>
      </c>
      <c r="D744">
        <v>20</v>
      </c>
      <c r="E744" t="s">
        <v>749</v>
      </c>
      <c r="F744" t="str">
        <f>IF(Client_churn3[[#This Row],[Type_Forfait]]= "Pro Monde", "B2B", "B2C")</f>
        <v>B2C</v>
      </c>
      <c r="G744">
        <v>217</v>
      </c>
      <c r="H744" s="7">
        <v>55.3</v>
      </c>
      <c r="I744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44" s="9">
        <f>Client_churn3[[#This Row],[Facture_Mensuelle]]*Client_churn3[[#This Row],[Remise Client]]</f>
        <v>0</v>
      </c>
      <c r="K744">
        <v>4</v>
      </c>
      <c r="L744"/>
    </row>
    <row r="745" spans="1:12" x14ac:dyDescent="0.25">
      <c r="A745">
        <f t="shared" si="11"/>
        <v>744</v>
      </c>
      <c r="B745" t="s">
        <v>1515</v>
      </c>
      <c r="C745" t="s">
        <v>760</v>
      </c>
      <c r="D745">
        <v>5</v>
      </c>
      <c r="E745" t="s">
        <v>755</v>
      </c>
      <c r="F745" t="str">
        <f>IF(Client_churn3[[#This Row],[Type_Forfait]]= "Pro Monde", "B2B", "B2C")</f>
        <v>B2C</v>
      </c>
      <c r="G745">
        <v>71</v>
      </c>
      <c r="H745" s="7">
        <v>93.81</v>
      </c>
      <c r="I745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</v>
      </c>
      <c r="J745" s="9">
        <f>Client_churn3[[#This Row],[Facture_Mensuelle]]*Client_churn3[[#This Row],[Remise Client]]</f>
        <v>0</v>
      </c>
      <c r="K745">
        <v>3</v>
      </c>
      <c r="L745"/>
    </row>
    <row r="746" spans="1:12" x14ac:dyDescent="0.25">
      <c r="A746">
        <f t="shared" si="11"/>
        <v>745</v>
      </c>
      <c r="B746" t="s">
        <v>1516</v>
      </c>
      <c r="C746" t="s">
        <v>802</v>
      </c>
      <c r="D746">
        <v>7</v>
      </c>
      <c r="E746" t="s">
        <v>746</v>
      </c>
      <c r="F746" t="str">
        <f>IF(Client_churn3[[#This Row],[Type_Forfait]]= "Pro Monde", "B2B", "B2C")</f>
        <v>B2B</v>
      </c>
      <c r="G746">
        <v>332</v>
      </c>
      <c r="H746" s="7">
        <v>83.95</v>
      </c>
      <c r="I746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46" s="9">
        <f>Client_churn3[[#This Row],[Facture_Mensuelle]]*Client_churn3[[#This Row],[Remise Client]]</f>
        <v>8.3950000000000014</v>
      </c>
      <c r="K746">
        <v>4</v>
      </c>
      <c r="L746"/>
    </row>
    <row r="747" spans="1:12" x14ac:dyDescent="0.25">
      <c r="A747">
        <f t="shared" si="11"/>
        <v>746</v>
      </c>
      <c r="B747" t="s">
        <v>1517</v>
      </c>
      <c r="C747" t="s">
        <v>785</v>
      </c>
      <c r="D747">
        <v>47</v>
      </c>
      <c r="E747" t="s">
        <v>746</v>
      </c>
      <c r="F747" t="str">
        <f>IF(Client_churn3[[#This Row],[Type_Forfait]]= "Pro Monde", "B2B", "B2C")</f>
        <v>B2B</v>
      </c>
      <c r="G747">
        <v>149</v>
      </c>
      <c r="H747" s="7">
        <v>28.35</v>
      </c>
      <c r="I747" s="5">
        <f>IF(Client_churn3[[#This Row],[Type Client]]="B2B",10%,
IF(AND(Client_churn3[[#This Row],[Duree_Cumulee_Panne_Min]]&gt;720,Client_churn3[[#This Row],[Anciennete_Mois]]&gt;60),70%,
IF(OR(AND(Client_churn3[[#This Row],[Duree_Cumulee_Panne_Min]]&gt;=240,Client_churn3[[#This Row],[Duree_Cumulee_Panne_Min]]&lt;=720),AND(Client_churn3[[#This Row],[Anciennete_Mois]]&lt;60,Client_churn3[[#This Row],[Type_Forfait]]="Premium 5G")),45%,
0%)))</f>
        <v>0.1</v>
      </c>
      <c r="J747" s="9">
        <f>Client_churn3[[#This Row],[Facture_Mensuelle]]*Client_churn3[[#This Row],[Remise Client]]</f>
        <v>2.8350000000000004</v>
      </c>
      <c r="K747">
        <v>1</v>
      </c>
      <c r="L74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AEE7-E21F-4830-82DE-0F54F8BC8382}">
  <sheetPr>
    <tabColor rgb="FFFF0000"/>
  </sheetPr>
  <dimension ref="A1:J1909"/>
  <sheetViews>
    <sheetView topLeftCell="A19" workbookViewId="0">
      <selection activeCell="D1909" sqref="D1909"/>
    </sheetView>
  </sheetViews>
  <sheetFormatPr baseColWidth="10" defaultRowHeight="13.3" x14ac:dyDescent="0.25"/>
  <cols>
    <col min="1" max="1" width="14.921875" customWidth="1"/>
    <col min="2" max="2" width="14.15234375" customWidth="1"/>
    <col min="3" max="3" width="20.07421875" style="3" bestFit="1" customWidth="1"/>
    <col min="4" max="4" width="22.69140625" style="11" customWidth="1"/>
    <col min="5" max="5" width="19.15234375" bestFit="1" customWidth="1"/>
    <col min="6" max="6" width="19.07421875" bestFit="1" customWidth="1"/>
    <col min="7" max="7" width="10.84375" bestFit="1" customWidth="1"/>
    <col min="8" max="8" width="11.921875" bestFit="1" customWidth="1"/>
    <col min="9" max="9" width="13.921875" bestFit="1" customWidth="1"/>
    <col min="10" max="10" width="16.23046875" bestFit="1" customWidth="1"/>
  </cols>
  <sheetData>
    <row r="1" spans="1:10" ht="15.9" x14ac:dyDescent="0.45">
      <c r="A1" s="1" t="s">
        <v>725</v>
      </c>
      <c r="B1" s="1" t="s">
        <v>726</v>
      </c>
      <c r="C1" s="2" t="s">
        <v>727</v>
      </c>
      <c r="D1" s="10" t="s">
        <v>1521</v>
      </c>
      <c r="E1" s="1" t="s">
        <v>728</v>
      </c>
      <c r="F1" s="1" t="s">
        <v>729</v>
      </c>
      <c r="G1" s="1" t="s">
        <v>730</v>
      </c>
      <c r="H1" s="1" t="s">
        <v>731</v>
      </c>
      <c r="I1" s="1" t="s">
        <v>732</v>
      </c>
      <c r="J1" s="1" t="s">
        <v>733</v>
      </c>
    </row>
    <row r="2" spans="1:10" x14ac:dyDescent="0.25">
      <c r="A2" t="str">
        <f>IFERROR(VLOOKUP(Logs_reseau[[#This Row],[Cell_ID]],'[1]Registre_Maintenance_combine '!A:B,2,FALSE),"Non trouvé")</f>
        <v>Nord-Ubangi</v>
      </c>
      <c r="B2" t="s">
        <v>0</v>
      </c>
      <c r="C2" s="3">
        <v>45223.34375</v>
      </c>
      <c r="D2" s="11">
        <f>Logs_reseau[[#This Row],[Duree_Panne_Min]]/1440</f>
        <v>5.1388888888888887E-2</v>
      </c>
      <c r="E2">
        <v>74</v>
      </c>
      <c r="F2" t="s">
        <v>1</v>
      </c>
      <c r="G2">
        <f>IFERROR(VLOOKUP(Logs_reseau[[#This Row],[Cell_ID]],'[1]Registre_Maintenance_combine '!A:C,3,FALSE),"Non trouvé")</f>
        <v>-8.1437910000000002</v>
      </c>
      <c r="H2">
        <f>IFERROR(VLOOKUP(Logs_reseau[[#This Row],[Cell_ID]],'[1]Registre_Maintenance_combine '!A:D,4,FALSE),"Non trouvé")</f>
        <v>28.946161</v>
      </c>
      <c r="I2" t="str">
        <f>IFERROR(VLOOKUP(Logs_reseau[[#This Row],[Cell_ID]],'[1]Registre_Maintenance_combine '!A:E,5,FALSE),"Non trouvé")</f>
        <v>4G</v>
      </c>
      <c r="J2" t="str">
        <f>IFERROR(VLOOKUP(Logs_reseau[[#This Row],[Cell_ID]],'[1]Registre_Maintenance_combine '!A:F,6,FALSE),"Non trouvé")</f>
        <v>ZTE</v>
      </c>
    </row>
    <row r="3" spans="1:10" x14ac:dyDescent="0.25">
      <c r="A3" t="str">
        <f>IFERROR(VLOOKUP(Logs_reseau[[#This Row],[Cell_ID]],'[1]Registre_Maintenance_combine '!A:B,2,FALSE),"Non trouvé")</f>
        <v>Nord-Ubangi</v>
      </c>
      <c r="B3" t="s">
        <v>0</v>
      </c>
      <c r="C3" s="3">
        <v>45220.642361111109</v>
      </c>
      <c r="D3" s="11">
        <f>Logs_reseau[[#This Row],[Duree_Panne_Min]]/1440</f>
        <v>2.9166666666666667E-2</v>
      </c>
      <c r="E3">
        <v>42</v>
      </c>
      <c r="F3" t="s">
        <v>2</v>
      </c>
      <c r="G3">
        <f>IFERROR(VLOOKUP(Logs_reseau[[#This Row],[Cell_ID]],'[1]Registre_Maintenance_combine '!A:C,3,FALSE),"Non trouvé")</f>
        <v>-8.1437910000000002</v>
      </c>
      <c r="H3">
        <f>IFERROR(VLOOKUP(Logs_reseau[[#This Row],[Cell_ID]],'[1]Registre_Maintenance_combine '!A:D,4,FALSE),"Non trouvé")</f>
        <v>28.946161</v>
      </c>
      <c r="I3" t="str">
        <f>IFERROR(VLOOKUP(Logs_reseau[[#This Row],[Cell_ID]],'[1]Registre_Maintenance_combine '!A:E,5,FALSE),"Non trouvé")</f>
        <v>4G</v>
      </c>
      <c r="J3" t="str">
        <f>IFERROR(VLOOKUP(Logs_reseau[[#This Row],[Cell_ID]],'[1]Registre_Maintenance_combine '!A:F,6,FALSE),"Non trouvé")</f>
        <v>ZTE</v>
      </c>
    </row>
    <row r="4" spans="1:10" x14ac:dyDescent="0.25">
      <c r="A4" t="str">
        <f>IFERROR(VLOOKUP(Logs_reseau[[#This Row],[Cell_ID]],'[1]Registre_Maintenance_combine '!A:B,2,FALSE),"Non trouvé")</f>
        <v>Mai-Ndombe</v>
      </c>
      <c r="B4" t="s">
        <v>3</v>
      </c>
      <c r="C4" s="3">
        <v>45200.76666666667</v>
      </c>
      <c r="D4" s="11">
        <f>Logs_reseau[[#This Row],[Duree_Panne_Min]]/1440</f>
        <v>5.4166666666666669E-2</v>
      </c>
      <c r="E4">
        <v>78</v>
      </c>
      <c r="F4" t="s">
        <v>1</v>
      </c>
      <c r="G4">
        <f>IFERROR(VLOOKUP(Logs_reseau[[#This Row],[Cell_ID]],'[1]Registre_Maintenance_combine '!A:C,3,FALSE),"Non trouvé")</f>
        <v>-10.442425</v>
      </c>
      <c r="H4">
        <f>IFERROR(VLOOKUP(Logs_reseau[[#This Row],[Cell_ID]],'[1]Registre_Maintenance_combine '!A:D,4,FALSE),"Non trouvé")</f>
        <v>23.243632000000002</v>
      </c>
      <c r="I4" t="str">
        <f>IFERROR(VLOOKUP(Logs_reseau[[#This Row],[Cell_ID]],'[1]Registre_Maintenance_combine '!A:E,5,FALSE),"Non trouvé")</f>
        <v>4G</v>
      </c>
      <c r="J4" t="str">
        <f>IFERROR(VLOOKUP(Logs_reseau[[#This Row],[Cell_ID]],'[1]Registre_Maintenance_combine '!A:F,6,FALSE),"Non trouvé")</f>
        <v>Nokia</v>
      </c>
    </row>
    <row r="5" spans="1:10" x14ac:dyDescent="0.25">
      <c r="A5" t="str">
        <f>IFERROR(VLOOKUP(Logs_reseau[[#This Row],[Cell_ID]],'[1]Registre_Maintenance_combine '!A:B,2,FALSE),"Non trouvé")</f>
        <v>Mai-Ndombe</v>
      </c>
      <c r="B5" t="s">
        <v>3</v>
      </c>
      <c r="C5" s="3">
        <v>45226.104166666664</v>
      </c>
      <c r="D5" s="11">
        <f>Logs_reseau[[#This Row],[Duree_Panne_Min]]/1440</f>
        <v>3.888888888888889E-2</v>
      </c>
      <c r="E5">
        <v>56</v>
      </c>
      <c r="F5" t="s">
        <v>1</v>
      </c>
      <c r="G5">
        <f>IFERROR(VLOOKUP(Logs_reseau[[#This Row],[Cell_ID]],'[1]Registre_Maintenance_combine '!A:C,3,FALSE),"Non trouvé")</f>
        <v>-10.442425</v>
      </c>
      <c r="H5">
        <f>IFERROR(VLOOKUP(Logs_reseau[[#This Row],[Cell_ID]],'[1]Registre_Maintenance_combine '!A:D,4,FALSE),"Non trouvé")</f>
        <v>23.243632000000002</v>
      </c>
      <c r="I5" t="str">
        <f>IFERROR(VLOOKUP(Logs_reseau[[#This Row],[Cell_ID]],'[1]Registre_Maintenance_combine '!A:E,5,FALSE),"Non trouvé")</f>
        <v>4G</v>
      </c>
      <c r="J5" t="str">
        <f>IFERROR(VLOOKUP(Logs_reseau[[#This Row],[Cell_ID]],'[1]Registre_Maintenance_combine '!A:F,6,FALSE),"Non trouvé")</f>
        <v>Nokia</v>
      </c>
    </row>
    <row r="6" spans="1:10" x14ac:dyDescent="0.25">
      <c r="A6" t="str">
        <f>IFERROR(VLOOKUP(Logs_reseau[[#This Row],[Cell_ID]],'[1]Registre_Maintenance_combine '!A:B,2,FALSE),"Non trouvé")</f>
        <v>Mai-Ndombe</v>
      </c>
      <c r="B6" t="s">
        <v>3</v>
      </c>
      <c r="C6" s="3">
        <v>45230.15347222222</v>
      </c>
      <c r="D6" s="11">
        <f>Logs_reseau[[#This Row],[Duree_Panne_Min]]/1440</f>
        <v>2.9861111111111113E-2</v>
      </c>
      <c r="E6">
        <v>43</v>
      </c>
      <c r="F6" t="s">
        <v>2</v>
      </c>
      <c r="G6">
        <f>IFERROR(VLOOKUP(Logs_reseau[[#This Row],[Cell_ID]],'[1]Registre_Maintenance_combine '!A:C,3,FALSE),"Non trouvé")</f>
        <v>-10.442425</v>
      </c>
      <c r="H6">
        <f>IFERROR(VLOOKUP(Logs_reseau[[#This Row],[Cell_ID]],'[1]Registre_Maintenance_combine '!A:D,4,FALSE),"Non trouvé")</f>
        <v>23.243632000000002</v>
      </c>
      <c r="I6" t="str">
        <f>IFERROR(VLOOKUP(Logs_reseau[[#This Row],[Cell_ID]],'[1]Registre_Maintenance_combine '!A:E,5,FALSE),"Non trouvé")</f>
        <v>4G</v>
      </c>
      <c r="J6" t="str">
        <f>IFERROR(VLOOKUP(Logs_reseau[[#This Row],[Cell_ID]],'[1]Registre_Maintenance_combine '!A:F,6,FALSE),"Non trouvé")</f>
        <v>Nokia</v>
      </c>
    </row>
    <row r="7" spans="1:10" x14ac:dyDescent="0.25">
      <c r="A7" t="str">
        <f>IFERROR(VLOOKUP(Logs_reseau[[#This Row],[Cell_ID]],'[1]Registre_Maintenance_combine '!A:B,2,FALSE),"Non trouvé")</f>
        <v>Mai-Ndombe</v>
      </c>
      <c r="B7" t="s">
        <v>3</v>
      </c>
      <c r="C7" s="3">
        <v>45207.525000000001</v>
      </c>
      <c r="D7" s="11">
        <f>Logs_reseau[[#This Row],[Duree_Panne_Min]]/1440</f>
        <v>7.2222222222222215E-2</v>
      </c>
      <c r="E7">
        <v>104</v>
      </c>
      <c r="F7" t="s">
        <v>1</v>
      </c>
      <c r="G7">
        <f>IFERROR(VLOOKUP(Logs_reseau[[#This Row],[Cell_ID]],'[1]Registre_Maintenance_combine '!A:C,3,FALSE),"Non trouvé")</f>
        <v>-10.442425</v>
      </c>
      <c r="H7">
        <f>IFERROR(VLOOKUP(Logs_reseau[[#This Row],[Cell_ID]],'[1]Registre_Maintenance_combine '!A:D,4,FALSE),"Non trouvé")</f>
        <v>23.243632000000002</v>
      </c>
      <c r="I7" t="str">
        <f>IFERROR(VLOOKUP(Logs_reseau[[#This Row],[Cell_ID]],'[1]Registre_Maintenance_combine '!A:E,5,FALSE),"Non trouvé")</f>
        <v>4G</v>
      </c>
      <c r="J7" t="str">
        <f>IFERROR(VLOOKUP(Logs_reseau[[#This Row],[Cell_ID]],'[1]Registre_Maintenance_combine '!A:F,6,FALSE),"Non trouvé")</f>
        <v>Nokia</v>
      </c>
    </row>
    <row r="8" spans="1:10" x14ac:dyDescent="0.25">
      <c r="A8" t="str">
        <f>IFERROR(VLOOKUP(Logs_reseau[[#This Row],[Cell_ID]],'[1]Registre_Maintenance_combine '!A:B,2,FALSE),"Non trouvé")</f>
        <v>Mai-Ndombe</v>
      </c>
      <c r="B8" t="s">
        <v>3</v>
      </c>
      <c r="C8" s="3">
        <v>45204.29583333333</v>
      </c>
      <c r="D8" s="11">
        <f>Logs_reseau[[#This Row],[Duree_Panne_Min]]/1440</f>
        <v>3.3333333333333333E-2</v>
      </c>
      <c r="E8">
        <v>48</v>
      </c>
      <c r="F8" t="s">
        <v>4</v>
      </c>
      <c r="G8">
        <f>IFERROR(VLOOKUP(Logs_reseau[[#This Row],[Cell_ID]],'[1]Registre_Maintenance_combine '!A:C,3,FALSE),"Non trouvé")</f>
        <v>-10.442425</v>
      </c>
      <c r="H8">
        <f>IFERROR(VLOOKUP(Logs_reseau[[#This Row],[Cell_ID]],'[1]Registre_Maintenance_combine '!A:D,4,FALSE),"Non trouvé")</f>
        <v>23.243632000000002</v>
      </c>
      <c r="I8" t="str">
        <f>IFERROR(VLOOKUP(Logs_reseau[[#This Row],[Cell_ID]],'[1]Registre_Maintenance_combine '!A:E,5,FALSE),"Non trouvé")</f>
        <v>4G</v>
      </c>
      <c r="J8" t="str">
        <f>IFERROR(VLOOKUP(Logs_reseau[[#This Row],[Cell_ID]],'[1]Registre_Maintenance_combine '!A:F,6,FALSE),"Non trouvé")</f>
        <v>Nokia</v>
      </c>
    </row>
    <row r="9" spans="1:10" x14ac:dyDescent="0.25">
      <c r="A9" t="str">
        <f>IFERROR(VLOOKUP(Logs_reseau[[#This Row],[Cell_ID]],'[1]Registre_Maintenance_combine '!A:B,2,FALSE),"Non trouvé")</f>
        <v>Non trouvé</v>
      </c>
      <c r="B9" t="s">
        <v>5</v>
      </c>
      <c r="C9" s="3">
        <v>45200.51458333333</v>
      </c>
      <c r="D9" s="11">
        <f>Logs_reseau[[#This Row],[Duree_Panne_Min]]/1440</f>
        <v>5.9722222222222225E-2</v>
      </c>
      <c r="E9">
        <v>86</v>
      </c>
      <c r="F9" t="s">
        <v>4</v>
      </c>
      <c r="G9" t="str">
        <f>IFERROR(VLOOKUP(Logs_reseau[[#This Row],[Cell_ID]],'[1]Registre_Maintenance_combine '!A:C,3,FALSE),"Non trouvé")</f>
        <v>Non trouvé</v>
      </c>
      <c r="H9" t="str">
        <f>IFERROR(VLOOKUP(Logs_reseau[[#This Row],[Cell_ID]],'[1]Registre_Maintenance_combine '!A:D,4,FALSE),"Non trouvé")</f>
        <v>Non trouvé</v>
      </c>
      <c r="I9" t="str">
        <f>IFERROR(VLOOKUP(Logs_reseau[[#This Row],[Cell_ID]],'[1]Registre_Maintenance_combine '!A:E,5,FALSE),"Non trouvé")</f>
        <v>Non trouvé</v>
      </c>
      <c r="J9" t="str">
        <f>IFERROR(VLOOKUP(Logs_reseau[[#This Row],[Cell_ID]],'[1]Registre_Maintenance_combine '!A:F,6,FALSE),"Non trouvé")</f>
        <v>Non trouvé</v>
      </c>
    </row>
    <row r="10" spans="1:10" x14ac:dyDescent="0.25">
      <c r="A10" t="str">
        <f>IFERROR(VLOOKUP(Logs_reseau[[#This Row],[Cell_ID]],'[1]Registre_Maintenance_combine '!A:B,2,FALSE),"Non trouvé")</f>
        <v>Non trouvé</v>
      </c>
      <c r="B10" t="s">
        <v>5</v>
      </c>
      <c r="C10" s="3">
        <v>45215.864583333336</v>
      </c>
      <c r="D10" s="11">
        <f>Logs_reseau[[#This Row],[Duree_Panne_Min]]/1440</f>
        <v>3.125E-2</v>
      </c>
      <c r="E10">
        <v>45</v>
      </c>
      <c r="F10" t="s">
        <v>4</v>
      </c>
      <c r="G10" t="str">
        <f>IFERROR(VLOOKUP(Logs_reseau[[#This Row],[Cell_ID]],'[1]Registre_Maintenance_combine '!A:C,3,FALSE),"Non trouvé")</f>
        <v>Non trouvé</v>
      </c>
      <c r="H10" t="str">
        <f>IFERROR(VLOOKUP(Logs_reseau[[#This Row],[Cell_ID]],'[1]Registre_Maintenance_combine '!A:D,4,FALSE),"Non trouvé")</f>
        <v>Non trouvé</v>
      </c>
      <c r="I10" t="str">
        <f>IFERROR(VLOOKUP(Logs_reseau[[#This Row],[Cell_ID]],'[1]Registre_Maintenance_combine '!A:E,5,FALSE),"Non trouvé")</f>
        <v>Non trouvé</v>
      </c>
      <c r="J10" t="str">
        <f>IFERROR(VLOOKUP(Logs_reseau[[#This Row],[Cell_ID]],'[1]Registre_Maintenance_combine '!A:F,6,FALSE),"Non trouvé")</f>
        <v>Non trouvé</v>
      </c>
    </row>
    <row r="11" spans="1:10" x14ac:dyDescent="0.25">
      <c r="A11" t="str">
        <f>IFERROR(VLOOKUP(Logs_reseau[[#This Row],[Cell_ID]],'[1]Registre_Maintenance_combine '!A:B,2,FALSE),"Non trouvé")</f>
        <v>Non trouvé</v>
      </c>
      <c r="B11" t="s">
        <v>5</v>
      </c>
      <c r="C11" s="3">
        <v>45220.87222222222</v>
      </c>
      <c r="D11" s="11">
        <f>Logs_reseau[[#This Row],[Duree_Panne_Min]]/1440</f>
        <v>2.361111111111111E-2</v>
      </c>
      <c r="E11">
        <v>34</v>
      </c>
      <c r="F11" t="s">
        <v>1</v>
      </c>
      <c r="G11" t="str">
        <f>IFERROR(VLOOKUP(Logs_reseau[[#This Row],[Cell_ID]],'[1]Registre_Maintenance_combine '!A:C,3,FALSE),"Non trouvé")</f>
        <v>Non trouvé</v>
      </c>
      <c r="H11" t="str">
        <f>IFERROR(VLOOKUP(Logs_reseau[[#This Row],[Cell_ID]],'[1]Registre_Maintenance_combine '!A:D,4,FALSE),"Non trouvé")</f>
        <v>Non trouvé</v>
      </c>
      <c r="I11" t="str">
        <f>IFERROR(VLOOKUP(Logs_reseau[[#This Row],[Cell_ID]],'[1]Registre_Maintenance_combine '!A:E,5,FALSE),"Non trouvé")</f>
        <v>Non trouvé</v>
      </c>
      <c r="J11" t="str">
        <f>IFERROR(VLOOKUP(Logs_reseau[[#This Row],[Cell_ID]],'[1]Registre_Maintenance_combine '!A:F,6,FALSE),"Non trouvé")</f>
        <v>Non trouvé</v>
      </c>
    </row>
    <row r="12" spans="1:10" x14ac:dyDescent="0.25">
      <c r="A12" t="str">
        <f>IFERROR(VLOOKUP(Logs_reseau[[#This Row],[Cell_ID]],'[1]Registre_Maintenance_combine '!A:B,2,FALSE),"Non trouvé")</f>
        <v>Non trouvé</v>
      </c>
      <c r="B12" t="s">
        <v>5</v>
      </c>
      <c r="C12" s="3">
        <v>45212.689583333333</v>
      </c>
      <c r="D12" s="11">
        <f>Logs_reseau[[#This Row],[Duree_Panne_Min]]/1440</f>
        <v>7.013888888888889E-2</v>
      </c>
      <c r="E12">
        <v>101</v>
      </c>
      <c r="F12" t="s">
        <v>1</v>
      </c>
      <c r="G12" t="str">
        <f>IFERROR(VLOOKUP(Logs_reseau[[#This Row],[Cell_ID]],'[1]Registre_Maintenance_combine '!A:C,3,FALSE),"Non trouvé")</f>
        <v>Non trouvé</v>
      </c>
      <c r="H12" t="str">
        <f>IFERROR(VLOOKUP(Logs_reseau[[#This Row],[Cell_ID]],'[1]Registre_Maintenance_combine '!A:D,4,FALSE),"Non trouvé")</f>
        <v>Non trouvé</v>
      </c>
      <c r="I12" t="str">
        <f>IFERROR(VLOOKUP(Logs_reseau[[#This Row],[Cell_ID]],'[1]Registre_Maintenance_combine '!A:E,5,FALSE),"Non trouvé")</f>
        <v>Non trouvé</v>
      </c>
      <c r="J12" t="str">
        <f>IFERROR(VLOOKUP(Logs_reseau[[#This Row],[Cell_ID]],'[1]Registre_Maintenance_combine '!A:F,6,FALSE),"Non trouvé")</f>
        <v>Non trouvé</v>
      </c>
    </row>
    <row r="13" spans="1:10" x14ac:dyDescent="0.25">
      <c r="A13" t="str">
        <f>IFERROR(VLOOKUP(Logs_reseau[[#This Row],[Cell_ID]],'[1]Registre_Maintenance_combine '!A:B,2,FALSE),"Non trouvé")</f>
        <v>Non trouvé</v>
      </c>
      <c r="B13" t="s">
        <v>6</v>
      </c>
      <c r="C13" s="3">
        <v>45205.24722222222</v>
      </c>
      <c r="D13" s="11">
        <f>Logs_reseau[[#This Row],[Duree_Panne_Min]]/1440</f>
        <v>1.4583333333333334E-2</v>
      </c>
      <c r="E13">
        <v>21</v>
      </c>
      <c r="F13" t="s">
        <v>1</v>
      </c>
      <c r="G13" t="str">
        <f>IFERROR(VLOOKUP(Logs_reseau[[#This Row],[Cell_ID]],'[1]Registre_Maintenance_combine '!A:C,3,FALSE),"Non trouvé")</f>
        <v>Non trouvé</v>
      </c>
      <c r="H13" t="str">
        <f>IFERROR(VLOOKUP(Logs_reseau[[#This Row],[Cell_ID]],'[1]Registre_Maintenance_combine '!A:D,4,FALSE),"Non trouvé")</f>
        <v>Non trouvé</v>
      </c>
      <c r="I13" t="str">
        <f>IFERROR(VLOOKUP(Logs_reseau[[#This Row],[Cell_ID]],'[1]Registre_Maintenance_combine '!A:E,5,FALSE),"Non trouvé")</f>
        <v>Non trouvé</v>
      </c>
      <c r="J13" t="str">
        <f>IFERROR(VLOOKUP(Logs_reseau[[#This Row],[Cell_ID]],'[1]Registre_Maintenance_combine '!A:F,6,FALSE),"Non trouvé")</f>
        <v>Non trouvé</v>
      </c>
    </row>
    <row r="14" spans="1:10" x14ac:dyDescent="0.25">
      <c r="A14" t="str">
        <f>IFERROR(VLOOKUP(Logs_reseau[[#This Row],[Cell_ID]],'[1]Registre_Maintenance_combine '!A:B,2,FALSE),"Non trouvé")</f>
        <v>Non trouvé</v>
      </c>
      <c r="B14" t="s">
        <v>6</v>
      </c>
      <c r="C14" s="3">
        <v>45230.834722222222</v>
      </c>
      <c r="D14" s="11">
        <f>Logs_reseau[[#This Row],[Duree_Panne_Min]]/1440</f>
        <v>6.458333333333334E-2</v>
      </c>
      <c r="E14">
        <v>93</v>
      </c>
      <c r="F14" t="s">
        <v>2</v>
      </c>
      <c r="G14" t="str">
        <f>IFERROR(VLOOKUP(Logs_reseau[[#This Row],[Cell_ID]],'[1]Registre_Maintenance_combine '!A:C,3,FALSE),"Non trouvé")</f>
        <v>Non trouvé</v>
      </c>
      <c r="H14" t="str">
        <f>IFERROR(VLOOKUP(Logs_reseau[[#This Row],[Cell_ID]],'[1]Registre_Maintenance_combine '!A:D,4,FALSE),"Non trouvé")</f>
        <v>Non trouvé</v>
      </c>
      <c r="I14" t="str">
        <f>IFERROR(VLOOKUP(Logs_reseau[[#This Row],[Cell_ID]],'[1]Registre_Maintenance_combine '!A:E,5,FALSE),"Non trouvé")</f>
        <v>Non trouvé</v>
      </c>
      <c r="J14" t="str">
        <f>IFERROR(VLOOKUP(Logs_reseau[[#This Row],[Cell_ID]],'[1]Registre_Maintenance_combine '!A:F,6,FALSE),"Non trouvé")</f>
        <v>Non trouvé</v>
      </c>
    </row>
    <row r="15" spans="1:10" x14ac:dyDescent="0.25">
      <c r="A15" t="str">
        <f>IFERROR(VLOOKUP(Logs_reseau[[#This Row],[Cell_ID]],'[1]Registre_Maintenance_combine '!A:B,2,FALSE),"Non trouvé")</f>
        <v>Non trouvé</v>
      </c>
      <c r="B15" t="s">
        <v>6</v>
      </c>
      <c r="C15" s="3">
        <v>45215.047222222223</v>
      </c>
      <c r="D15" s="11">
        <f>Logs_reseau[[#This Row],[Duree_Panne_Min]]/1440</f>
        <v>5.9027777777777776E-2</v>
      </c>
      <c r="E15">
        <v>85</v>
      </c>
      <c r="F15" t="s">
        <v>4</v>
      </c>
      <c r="G15" t="str">
        <f>IFERROR(VLOOKUP(Logs_reseau[[#This Row],[Cell_ID]],'[1]Registre_Maintenance_combine '!A:C,3,FALSE),"Non trouvé")</f>
        <v>Non trouvé</v>
      </c>
      <c r="H15" t="str">
        <f>IFERROR(VLOOKUP(Logs_reseau[[#This Row],[Cell_ID]],'[1]Registre_Maintenance_combine '!A:D,4,FALSE),"Non trouvé")</f>
        <v>Non trouvé</v>
      </c>
      <c r="I15" t="str">
        <f>IFERROR(VLOOKUP(Logs_reseau[[#This Row],[Cell_ID]],'[1]Registre_Maintenance_combine '!A:E,5,FALSE),"Non trouvé")</f>
        <v>Non trouvé</v>
      </c>
      <c r="J15" t="str">
        <f>IFERROR(VLOOKUP(Logs_reseau[[#This Row],[Cell_ID]],'[1]Registre_Maintenance_combine '!A:F,6,FALSE),"Non trouvé")</f>
        <v>Non trouvé</v>
      </c>
    </row>
    <row r="16" spans="1:10" x14ac:dyDescent="0.25">
      <c r="A16" t="str">
        <f>IFERROR(VLOOKUP(Logs_reseau[[#This Row],[Cell_ID]],'[1]Registre_Maintenance_combine '!A:B,2,FALSE),"Non trouvé")</f>
        <v>Equateur</v>
      </c>
      <c r="B16" t="s">
        <v>7</v>
      </c>
      <c r="C16" s="3">
        <v>45220.693055555559</v>
      </c>
      <c r="D16" s="11">
        <f>Logs_reseau[[#This Row],[Duree_Panne_Min]]/1440</f>
        <v>8.3333333333333332E-3</v>
      </c>
      <c r="E16">
        <v>12</v>
      </c>
      <c r="F16" t="s">
        <v>2</v>
      </c>
      <c r="G16">
        <f>IFERROR(VLOOKUP(Logs_reseau[[#This Row],[Cell_ID]],'[1]Registre_Maintenance_combine '!A:C,3,FALSE),"Non trouvé")</f>
        <v>-3.544581</v>
      </c>
      <c r="H16">
        <f>IFERROR(VLOOKUP(Logs_reseau[[#This Row],[Cell_ID]],'[1]Registre_Maintenance_combine '!A:D,4,FALSE),"Non trouvé")</f>
        <v>14.776605</v>
      </c>
      <c r="I16" t="str">
        <f>IFERROR(VLOOKUP(Logs_reseau[[#This Row],[Cell_ID]],'[1]Registre_Maintenance_combine '!A:E,5,FALSE),"Non trouvé")</f>
        <v>4G</v>
      </c>
      <c r="J16" t="str">
        <f>IFERROR(VLOOKUP(Logs_reseau[[#This Row],[Cell_ID]],'[1]Registre_Maintenance_combine '!A:F,6,FALSE),"Non trouvé")</f>
        <v>Nokia</v>
      </c>
    </row>
    <row r="17" spans="1:10" x14ac:dyDescent="0.25">
      <c r="A17" t="str">
        <f>IFERROR(VLOOKUP(Logs_reseau[[#This Row],[Cell_ID]],'[1]Registre_Maintenance_combine '!A:B,2,FALSE),"Non trouvé")</f>
        <v>Equateur</v>
      </c>
      <c r="B17" t="s">
        <v>7</v>
      </c>
      <c r="C17" s="3">
        <v>45225.776388888888</v>
      </c>
      <c r="D17" s="11">
        <f>Logs_reseau[[#This Row],[Duree_Panne_Min]]/1440</f>
        <v>2.9861111111111113E-2</v>
      </c>
      <c r="E17">
        <v>43</v>
      </c>
      <c r="F17" t="s">
        <v>4</v>
      </c>
      <c r="G17">
        <f>IFERROR(VLOOKUP(Logs_reseau[[#This Row],[Cell_ID]],'[1]Registre_Maintenance_combine '!A:C,3,FALSE),"Non trouvé")</f>
        <v>-3.544581</v>
      </c>
      <c r="H17">
        <f>IFERROR(VLOOKUP(Logs_reseau[[#This Row],[Cell_ID]],'[1]Registre_Maintenance_combine '!A:D,4,FALSE),"Non trouvé")</f>
        <v>14.776605</v>
      </c>
      <c r="I17" t="str">
        <f>IFERROR(VLOOKUP(Logs_reseau[[#This Row],[Cell_ID]],'[1]Registre_Maintenance_combine '!A:E,5,FALSE),"Non trouvé")</f>
        <v>4G</v>
      </c>
      <c r="J17" t="str">
        <f>IFERROR(VLOOKUP(Logs_reseau[[#This Row],[Cell_ID]],'[1]Registre_Maintenance_combine '!A:F,6,FALSE),"Non trouvé")</f>
        <v>Nokia</v>
      </c>
    </row>
    <row r="18" spans="1:10" x14ac:dyDescent="0.25">
      <c r="A18" t="str">
        <f>IFERROR(VLOOKUP(Logs_reseau[[#This Row],[Cell_ID]],'[1]Registre_Maintenance_combine '!A:B,2,FALSE),"Non trouvé")</f>
        <v>Equateur</v>
      </c>
      <c r="B18" t="s">
        <v>7</v>
      </c>
      <c r="C18" s="3">
        <v>45224.552777777775</v>
      </c>
      <c r="D18" s="11">
        <f>Logs_reseau[[#This Row],[Duree_Panne_Min]]/1440</f>
        <v>6.3888888888888884E-2</v>
      </c>
      <c r="E18">
        <v>92</v>
      </c>
      <c r="F18" t="s">
        <v>1</v>
      </c>
      <c r="G18">
        <f>IFERROR(VLOOKUP(Logs_reseau[[#This Row],[Cell_ID]],'[1]Registre_Maintenance_combine '!A:C,3,FALSE),"Non trouvé")</f>
        <v>-3.544581</v>
      </c>
      <c r="H18">
        <f>IFERROR(VLOOKUP(Logs_reseau[[#This Row],[Cell_ID]],'[1]Registre_Maintenance_combine '!A:D,4,FALSE),"Non trouvé")</f>
        <v>14.776605</v>
      </c>
      <c r="I18" t="str">
        <f>IFERROR(VLOOKUP(Logs_reseau[[#This Row],[Cell_ID]],'[1]Registre_Maintenance_combine '!A:E,5,FALSE),"Non trouvé")</f>
        <v>4G</v>
      </c>
      <c r="J18" t="str">
        <f>IFERROR(VLOOKUP(Logs_reseau[[#This Row],[Cell_ID]],'[1]Registre_Maintenance_combine '!A:F,6,FALSE),"Non trouvé")</f>
        <v>Nokia</v>
      </c>
    </row>
    <row r="19" spans="1:10" x14ac:dyDescent="0.25">
      <c r="A19" t="str">
        <f>IFERROR(VLOOKUP(Logs_reseau[[#This Row],[Cell_ID]],'[1]Registre_Maintenance_combine '!A:B,2,FALSE),"Non trouvé")</f>
        <v>Equateur</v>
      </c>
      <c r="B19" t="s">
        <v>7</v>
      </c>
      <c r="C19" s="3">
        <v>45224.010416666664</v>
      </c>
      <c r="D19" s="11">
        <f>Logs_reseau[[#This Row],[Duree_Panne_Min]]/1440</f>
        <v>8.3333333333333332E-3</v>
      </c>
      <c r="E19">
        <v>12</v>
      </c>
      <c r="F19" t="s">
        <v>2</v>
      </c>
      <c r="G19">
        <f>IFERROR(VLOOKUP(Logs_reseau[[#This Row],[Cell_ID]],'[1]Registre_Maintenance_combine '!A:C,3,FALSE),"Non trouvé")</f>
        <v>-3.544581</v>
      </c>
      <c r="H19">
        <f>IFERROR(VLOOKUP(Logs_reseau[[#This Row],[Cell_ID]],'[1]Registre_Maintenance_combine '!A:D,4,FALSE),"Non trouvé")</f>
        <v>14.776605</v>
      </c>
      <c r="I19" t="str">
        <f>IFERROR(VLOOKUP(Logs_reseau[[#This Row],[Cell_ID]],'[1]Registre_Maintenance_combine '!A:E,5,FALSE),"Non trouvé")</f>
        <v>4G</v>
      </c>
      <c r="J19" t="str">
        <f>IFERROR(VLOOKUP(Logs_reseau[[#This Row],[Cell_ID]],'[1]Registre_Maintenance_combine '!A:F,6,FALSE),"Non trouvé")</f>
        <v>Nokia</v>
      </c>
    </row>
    <row r="20" spans="1:10" x14ac:dyDescent="0.25">
      <c r="A20" t="str">
        <f>IFERROR(VLOOKUP(Logs_reseau[[#This Row],[Cell_ID]],'[1]Registre_Maintenance_combine '!A:B,2,FALSE),"Non trouvé")</f>
        <v>Equateur</v>
      </c>
      <c r="B20" t="s">
        <v>7</v>
      </c>
      <c r="C20" s="3">
        <v>45211.234722222223</v>
      </c>
      <c r="D20" s="11">
        <f>Logs_reseau[[#This Row],[Duree_Panne_Min]]/1440</f>
        <v>2.1527777777777778E-2</v>
      </c>
      <c r="E20">
        <v>31</v>
      </c>
      <c r="F20" t="s">
        <v>2</v>
      </c>
      <c r="G20">
        <f>IFERROR(VLOOKUP(Logs_reseau[[#This Row],[Cell_ID]],'[1]Registre_Maintenance_combine '!A:C,3,FALSE),"Non trouvé")</f>
        <v>-3.544581</v>
      </c>
      <c r="H20">
        <f>IFERROR(VLOOKUP(Logs_reseau[[#This Row],[Cell_ID]],'[1]Registre_Maintenance_combine '!A:D,4,FALSE),"Non trouvé")</f>
        <v>14.776605</v>
      </c>
      <c r="I20" t="str">
        <f>IFERROR(VLOOKUP(Logs_reseau[[#This Row],[Cell_ID]],'[1]Registre_Maintenance_combine '!A:E,5,FALSE),"Non trouvé")</f>
        <v>4G</v>
      </c>
      <c r="J20" t="str">
        <f>IFERROR(VLOOKUP(Logs_reseau[[#This Row],[Cell_ID]],'[1]Registre_Maintenance_combine '!A:F,6,FALSE),"Non trouvé")</f>
        <v>Nokia</v>
      </c>
    </row>
    <row r="21" spans="1:10" x14ac:dyDescent="0.25">
      <c r="A21" t="str">
        <f>IFERROR(VLOOKUP(Logs_reseau[[#This Row],[Cell_ID]],'[1]Registre_Maintenance_combine '!A:B,2,FALSE),"Non trouvé")</f>
        <v>Equateur</v>
      </c>
      <c r="B21" t="s">
        <v>7</v>
      </c>
      <c r="C21" s="3">
        <v>45230.052777777775</v>
      </c>
      <c r="D21" s="11">
        <f>Logs_reseau[[#This Row],[Duree_Panne_Min]]/1440</f>
        <v>6.3194444444444442E-2</v>
      </c>
      <c r="E21">
        <v>91</v>
      </c>
      <c r="F21" t="s">
        <v>4</v>
      </c>
      <c r="G21">
        <f>IFERROR(VLOOKUP(Logs_reseau[[#This Row],[Cell_ID]],'[1]Registre_Maintenance_combine '!A:C,3,FALSE),"Non trouvé")</f>
        <v>-3.544581</v>
      </c>
      <c r="H21">
        <f>IFERROR(VLOOKUP(Logs_reseau[[#This Row],[Cell_ID]],'[1]Registre_Maintenance_combine '!A:D,4,FALSE),"Non trouvé")</f>
        <v>14.776605</v>
      </c>
      <c r="I21" t="str">
        <f>IFERROR(VLOOKUP(Logs_reseau[[#This Row],[Cell_ID]],'[1]Registre_Maintenance_combine '!A:E,5,FALSE),"Non trouvé")</f>
        <v>4G</v>
      </c>
      <c r="J21" t="str">
        <f>IFERROR(VLOOKUP(Logs_reseau[[#This Row],[Cell_ID]],'[1]Registre_Maintenance_combine '!A:F,6,FALSE),"Non trouvé")</f>
        <v>Nokia</v>
      </c>
    </row>
    <row r="22" spans="1:10" x14ac:dyDescent="0.25">
      <c r="A22" t="str">
        <f>IFERROR(VLOOKUP(Logs_reseau[[#This Row],[Cell_ID]],'[1]Registre_Maintenance_combine '!A:B,2,FALSE),"Non trouvé")</f>
        <v>Bas-Uele</v>
      </c>
      <c r="B22" t="s">
        <v>8</v>
      </c>
      <c r="C22" s="3">
        <v>45204.338888888888</v>
      </c>
      <c r="D22" s="11">
        <f>Logs_reseau[[#This Row],[Duree_Panne_Min]]/1440</f>
        <v>1.2500000000000001E-2</v>
      </c>
      <c r="E22">
        <v>18</v>
      </c>
      <c r="F22" t="s">
        <v>1</v>
      </c>
      <c r="G22">
        <f>IFERROR(VLOOKUP(Logs_reseau[[#This Row],[Cell_ID]],'[1]Registre_Maintenance_combine '!A:C,3,FALSE),"Non trouvé")</f>
        <v>-2.8532869999999999</v>
      </c>
      <c r="H22">
        <f>IFERROR(VLOOKUP(Logs_reseau[[#This Row],[Cell_ID]],'[1]Registre_Maintenance_combine '!A:D,4,FALSE),"Non trouvé")</f>
        <v>22.117896000000002</v>
      </c>
      <c r="I22" t="str">
        <f>IFERROR(VLOOKUP(Logs_reseau[[#This Row],[Cell_ID]],'[1]Registre_Maintenance_combine '!A:E,5,FALSE),"Non trouvé")</f>
        <v>5G</v>
      </c>
      <c r="J22" t="str">
        <f>IFERROR(VLOOKUP(Logs_reseau[[#This Row],[Cell_ID]],'[1]Registre_Maintenance_combine '!A:F,6,FALSE),"Non trouvé")</f>
        <v>Huawei</v>
      </c>
    </row>
    <row r="23" spans="1:10" x14ac:dyDescent="0.25">
      <c r="A23" t="str">
        <f>IFERROR(VLOOKUP(Logs_reseau[[#This Row],[Cell_ID]],'[1]Registre_Maintenance_combine '!A:B,2,FALSE),"Non trouvé")</f>
        <v>Tshopo</v>
      </c>
      <c r="B23" t="s">
        <v>9</v>
      </c>
      <c r="C23" s="3">
        <v>45210.741666666669</v>
      </c>
      <c r="D23" s="11">
        <f>Logs_reseau[[#This Row],[Duree_Panne_Min]]/1440</f>
        <v>1.3194444444444444E-2</v>
      </c>
      <c r="E23">
        <v>19</v>
      </c>
      <c r="F23" t="s">
        <v>1</v>
      </c>
      <c r="G23">
        <f>IFERROR(VLOOKUP(Logs_reseau[[#This Row],[Cell_ID]],'[1]Registre_Maintenance_combine '!A:C,3,FALSE),"Non trouvé")</f>
        <v>4.7777349999999998</v>
      </c>
      <c r="H23">
        <f>IFERROR(VLOOKUP(Logs_reseau[[#This Row],[Cell_ID]],'[1]Registre_Maintenance_combine '!A:D,4,FALSE),"Non trouvé")</f>
        <v>16.392204</v>
      </c>
      <c r="I23" t="str">
        <f>IFERROR(VLOOKUP(Logs_reseau[[#This Row],[Cell_ID]],'[1]Registre_Maintenance_combine '!A:E,5,FALSE),"Non trouvé")</f>
        <v>5G</v>
      </c>
      <c r="J23" t="str">
        <f>IFERROR(VLOOKUP(Logs_reseau[[#This Row],[Cell_ID]],'[1]Registre_Maintenance_combine '!A:F,6,FALSE),"Non trouvé")</f>
        <v>ZTE</v>
      </c>
    </row>
    <row r="24" spans="1:10" x14ac:dyDescent="0.25">
      <c r="A24" t="str">
        <f>IFERROR(VLOOKUP(Logs_reseau[[#This Row],[Cell_ID]],'[1]Registre_Maintenance_combine '!A:B,2,FALSE),"Non trouvé")</f>
        <v>Tshopo</v>
      </c>
      <c r="B24" t="s">
        <v>9</v>
      </c>
      <c r="C24" s="3">
        <v>45226.623611111114</v>
      </c>
      <c r="D24" s="11">
        <f>Logs_reseau[[#This Row],[Duree_Panne_Min]]/1440</f>
        <v>7.1527777777777773E-2</v>
      </c>
      <c r="E24">
        <v>103</v>
      </c>
      <c r="F24" t="s">
        <v>1</v>
      </c>
      <c r="G24">
        <f>IFERROR(VLOOKUP(Logs_reseau[[#This Row],[Cell_ID]],'[1]Registre_Maintenance_combine '!A:C,3,FALSE),"Non trouvé")</f>
        <v>4.7777349999999998</v>
      </c>
      <c r="H24">
        <f>IFERROR(VLOOKUP(Logs_reseau[[#This Row],[Cell_ID]],'[1]Registre_Maintenance_combine '!A:D,4,FALSE),"Non trouvé")</f>
        <v>16.392204</v>
      </c>
      <c r="I24" t="str">
        <f>IFERROR(VLOOKUP(Logs_reseau[[#This Row],[Cell_ID]],'[1]Registre_Maintenance_combine '!A:E,5,FALSE),"Non trouvé")</f>
        <v>5G</v>
      </c>
      <c r="J24" t="str">
        <f>IFERROR(VLOOKUP(Logs_reseau[[#This Row],[Cell_ID]],'[1]Registre_Maintenance_combine '!A:F,6,FALSE),"Non trouvé")</f>
        <v>ZTE</v>
      </c>
    </row>
    <row r="25" spans="1:10" x14ac:dyDescent="0.25">
      <c r="A25" t="str">
        <f>IFERROR(VLOOKUP(Logs_reseau[[#This Row],[Cell_ID]],'[1]Registre_Maintenance_combine '!A:B,2,FALSE),"Non trouvé")</f>
        <v>Tshopo</v>
      </c>
      <c r="B25" t="s">
        <v>9</v>
      </c>
      <c r="C25" s="3">
        <v>45207.140277777777</v>
      </c>
      <c r="D25" s="11">
        <f>Logs_reseau[[#This Row],[Duree_Panne_Min]]/1440</f>
        <v>2.8472222222222222E-2</v>
      </c>
      <c r="E25">
        <v>41</v>
      </c>
      <c r="F25" t="s">
        <v>1</v>
      </c>
      <c r="G25">
        <f>IFERROR(VLOOKUP(Logs_reseau[[#This Row],[Cell_ID]],'[1]Registre_Maintenance_combine '!A:C,3,FALSE),"Non trouvé")</f>
        <v>4.7777349999999998</v>
      </c>
      <c r="H25">
        <f>IFERROR(VLOOKUP(Logs_reseau[[#This Row],[Cell_ID]],'[1]Registre_Maintenance_combine '!A:D,4,FALSE),"Non trouvé")</f>
        <v>16.392204</v>
      </c>
      <c r="I25" t="str">
        <f>IFERROR(VLOOKUP(Logs_reseau[[#This Row],[Cell_ID]],'[1]Registre_Maintenance_combine '!A:E,5,FALSE),"Non trouvé")</f>
        <v>5G</v>
      </c>
      <c r="J25" t="str">
        <f>IFERROR(VLOOKUP(Logs_reseau[[#This Row],[Cell_ID]],'[1]Registre_Maintenance_combine '!A:F,6,FALSE),"Non trouvé")</f>
        <v>ZTE</v>
      </c>
    </row>
    <row r="26" spans="1:10" x14ac:dyDescent="0.25">
      <c r="A26" t="str">
        <f>IFERROR(VLOOKUP(Logs_reseau[[#This Row],[Cell_ID]],'[1]Registre_Maintenance_combine '!A:B,2,FALSE),"Non trouvé")</f>
        <v>Haut-Lomami</v>
      </c>
      <c r="B26" t="s">
        <v>10</v>
      </c>
      <c r="C26" s="3">
        <v>45210.802777777775</v>
      </c>
      <c r="D26" s="11">
        <f>Logs_reseau[[#This Row],[Duree_Panne_Min]]/1440</f>
        <v>3.6111111111111108E-2</v>
      </c>
      <c r="E26">
        <v>52</v>
      </c>
      <c r="F26" t="s">
        <v>2</v>
      </c>
      <c r="G26">
        <f>IFERROR(VLOOKUP(Logs_reseau[[#This Row],[Cell_ID]],'[1]Registre_Maintenance_combine '!A:C,3,FALSE),"Non trouvé")</f>
        <v>-11.89448</v>
      </c>
      <c r="H26">
        <f>IFERROR(VLOOKUP(Logs_reseau[[#This Row],[Cell_ID]],'[1]Registre_Maintenance_combine '!A:D,4,FALSE),"Non trouvé")</f>
        <v>19.216214999999998</v>
      </c>
      <c r="I26" t="str">
        <f>IFERROR(VLOOKUP(Logs_reseau[[#This Row],[Cell_ID]],'[1]Registre_Maintenance_combine '!A:E,5,FALSE),"Non trouvé")</f>
        <v>3G</v>
      </c>
      <c r="J26" t="str">
        <f>IFERROR(VLOOKUP(Logs_reseau[[#This Row],[Cell_ID]],'[1]Registre_Maintenance_combine '!A:F,6,FALSE),"Non trouvé")</f>
        <v>ZTE</v>
      </c>
    </row>
    <row r="27" spans="1:10" x14ac:dyDescent="0.25">
      <c r="A27" t="str">
        <f>IFERROR(VLOOKUP(Logs_reseau[[#This Row],[Cell_ID]],'[1]Registre_Maintenance_combine '!A:B,2,FALSE),"Non trouvé")</f>
        <v>Haut-Lomami</v>
      </c>
      <c r="B27" t="s">
        <v>10</v>
      </c>
      <c r="C27" s="3">
        <v>45216.100694444445</v>
      </c>
      <c r="D27" s="11">
        <f>Logs_reseau[[#This Row],[Duree_Panne_Min]]/1440</f>
        <v>6.805555555555555E-2</v>
      </c>
      <c r="E27">
        <v>98</v>
      </c>
      <c r="F27" t="s">
        <v>2</v>
      </c>
      <c r="G27">
        <f>IFERROR(VLOOKUP(Logs_reseau[[#This Row],[Cell_ID]],'[1]Registre_Maintenance_combine '!A:C,3,FALSE),"Non trouvé")</f>
        <v>-11.89448</v>
      </c>
      <c r="H27">
        <f>IFERROR(VLOOKUP(Logs_reseau[[#This Row],[Cell_ID]],'[1]Registre_Maintenance_combine '!A:D,4,FALSE),"Non trouvé")</f>
        <v>19.216214999999998</v>
      </c>
      <c r="I27" t="str">
        <f>IFERROR(VLOOKUP(Logs_reseau[[#This Row],[Cell_ID]],'[1]Registre_Maintenance_combine '!A:E,5,FALSE),"Non trouvé")</f>
        <v>3G</v>
      </c>
      <c r="J27" t="str">
        <f>IFERROR(VLOOKUP(Logs_reseau[[#This Row],[Cell_ID]],'[1]Registre_Maintenance_combine '!A:F,6,FALSE),"Non trouvé")</f>
        <v>ZTE</v>
      </c>
    </row>
    <row r="28" spans="1:10" x14ac:dyDescent="0.25">
      <c r="A28" t="str">
        <f>IFERROR(VLOOKUP(Logs_reseau[[#This Row],[Cell_ID]],'[1]Registre_Maintenance_combine '!A:B,2,FALSE),"Non trouvé")</f>
        <v>Haut-Lomami</v>
      </c>
      <c r="B28" t="s">
        <v>10</v>
      </c>
      <c r="C28" s="3">
        <v>45225.172222222223</v>
      </c>
      <c r="D28" s="11">
        <f>Logs_reseau[[#This Row],[Duree_Panne_Min]]/1440</f>
        <v>9.7222222222222224E-3</v>
      </c>
      <c r="E28">
        <v>14</v>
      </c>
      <c r="F28" t="s">
        <v>1</v>
      </c>
      <c r="G28">
        <f>IFERROR(VLOOKUP(Logs_reseau[[#This Row],[Cell_ID]],'[1]Registre_Maintenance_combine '!A:C,3,FALSE),"Non trouvé")</f>
        <v>-11.89448</v>
      </c>
      <c r="H28">
        <f>IFERROR(VLOOKUP(Logs_reseau[[#This Row],[Cell_ID]],'[1]Registre_Maintenance_combine '!A:D,4,FALSE),"Non trouvé")</f>
        <v>19.216214999999998</v>
      </c>
      <c r="I28" t="str">
        <f>IFERROR(VLOOKUP(Logs_reseau[[#This Row],[Cell_ID]],'[1]Registre_Maintenance_combine '!A:E,5,FALSE),"Non trouvé")</f>
        <v>3G</v>
      </c>
      <c r="J28" t="str">
        <f>IFERROR(VLOOKUP(Logs_reseau[[#This Row],[Cell_ID]],'[1]Registre_Maintenance_combine '!A:F,6,FALSE),"Non trouvé")</f>
        <v>ZTE</v>
      </c>
    </row>
    <row r="29" spans="1:10" x14ac:dyDescent="0.25">
      <c r="A29" t="str">
        <f>IFERROR(VLOOKUP(Logs_reseau[[#This Row],[Cell_ID]],'[1]Registre_Maintenance_combine '!A:B,2,FALSE),"Non trouvé")</f>
        <v>Non trouvé</v>
      </c>
      <c r="B29" t="s">
        <v>11</v>
      </c>
      <c r="C29" s="3">
        <v>45204.283333333333</v>
      </c>
      <c r="D29" s="11">
        <f>Logs_reseau[[#This Row],[Duree_Panne_Min]]/1440</f>
        <v>3.2638888888888891E-2</v>
      </c>
      <c r="E29">
        <v>47</v>
      </c>
      <c r="F29" t="s">
        <v>2</v>
      </c>
      <c r="G29" t="str">
        <f>IFERROR(VLOOKUP(Logs_reseau[[#This Row],[Cell_ID]],'[1]Registre_Maintenance_combine '!A:C,3,FALSE),"Non trouvé")</f>
        <v>Non trouvé</v>
      </c>
      <c r="H29" t="str">
        <f>IFERROR(VLOOKUP(Logs_reseau[[#This Row],[Cell_ID]],'[1]Registre_Maintenance_combine '!A:D,4,FALSE),"Non trouvé")</f>
        <v>Non trouvé</v>
      </c>
      <c r="I29" t="str">
        <f>IFERROR(VLOOKUP(Logs_reseau[[#This Row],[Cell_ID]],'[1]Registre_Maintenance_combine '!A:E,5,FALSE),"Non trouvé")</f>
        <v>Non trouvé</v>
      </c>
      <c r="J29" t="str">
        <f>IFERROR(VLOOKUP(Logs_reseau[[#This Row],[Cell_ID]],'[1]Registre_Maintenance_combine '!A:F,6,FALSE),"Non trouvé")</f>
        <v>Non trouvé</v>
      </c>
    </row>
    <row r="30" spans="1:10" x14ac:dyDescent="0.25">
      <c r="A30" t="str">
        <f>IFERROR(VLOOKUP(Logs_reseau[[#This Row],[Cell_ID]],'[1]Registre_Maintenance_combine '!A:B,2,FALSE),"Non trouvé")</f>
        <v>Non trouvé</v>
      </c>
      <c r="B30" t="s">
        <v>11</v>
      </c>
      <c r="C30" s="3">
        <v>45230.99722222222</v>
      </c>
      <c r="D30" s="11">
        <f>Logs_reseau[[#This Row],[Duree_Panne_Min]]/1440</f>
        <v>5.7638888888888892E-2</v>
      </c>
      <c r="E30">
        <v>83</v>
      </c>
      <c r="F30" t="s">
        <v>2</v>
      </c>
      <c r="G30" t="str">
        <f>IFERROR(VLOOKUP(Logs_reseau[[#This Row],[Cell_ID]],'[1]Registre_Maintenance_combine '!A:C,3,FALSE),"Non trouvé")</f>
        <v>Non trouvé</v>
      </c>
      <c r="H30" t="str">
        <f>IFERROR(VLOOKUP(Logs_reseau[[#This Row],[Cell_ID]],'[1]Registre_Maintenance_combine '!A:D,4,FALSE),"Non trouvé")</f>
        <v>Non trouvé</v>
      </c>
      <c r="I30" t="str">
        <f>IFERROR(VLOOKUP(Logs_reseau[[#This Row],[Cell_ID]],'[1]Registre_Maintenance_combine '!A:E,5,FALSE),"Non trouvé")</f>
        <v>Non trouvé</v>
      </c>
      <c r="J30" t="str">
        <f>IFERROR(VLOOKUP(Logs_reseau[[#This Row],[Cell_ID]],'[1]Registre_Maintenance_combine '!A:F,6,FALSE),"Non trouvé")</f>
        <v>Non trouvé</v>
      </c>
    </row>
    <row r="31" spans="1:10" x14ac:dyDescent="0.25">
      <c r="A31" t="str">
        <f>IFERROR(VLOOKUP(Logs_reseau[[#This Row],[Cell_ID]],'[1]Registre_Maintenance_combine '!A:B,2,FALSE),"Non trouvé")</f>
        <v>Non trouvé</v>
      </c>
      <c r="B31" t="s">
        <v>11</v>
      </c>
      <c r="C31" s="3">
        <v>45229.49722222222</v>
      </c>
      <c r="D31" s="11">
        <f>Logs_reseau[[#This Row],[Duree_Panne_Min]]/1440</f>
        <v>4.8611111111111112E-2</v>
      </c>
      <c r="E31">
        <v>70</v>
      </c>
      <c r="F31" t="s">
        <v>2</v>
      </c>
      <c r="G31" t="str">
        <f>IFERROR(VLOOKUP(Logs_reseau[[#This Row],[Cell_ID]],'[1]Registre_Maintenance_combine '!A:C,3,FALSE),"Non trouvé")</f>
        <v>Non trouvé</v>
      </c>
      <c r="H31" t="str">
        <f>IFERROR(VLOOKUP(Logs_reseau[[#This Row],[Cell_ID]],'[1]Registre_Maintenance_combine '!A:D,4,FALSE),"Non trouvé")</f>
        <v>Non trouvé</v>
      </c>
      <c r="I31" t="str">
        <f>IFERROR(VLOOKUP(Logs_reseau[[#This Row],[Cell_ID]],'[1]Registre_Maintenance_combine '!A:E,5,FALSE),"Non trouvé")</f>
        <v>Non trouvé</v>
      </c>
      <c r="J31" t="str">
        <f>IFERROR(VLOOKUP(Logs_reseau[[#This Row],[Cell_ID]],'[1]Registre_Maintenance_combine '!A:F,6,FALSE),"Non trouvé")</f>
        <v>Non trouvé</v>
      </c>
    </row>
    <row r="32" spans="1:10" x14ac:dyDescent="0.25">
      <c r="A32" t="str">
        <f>IFERROR(VLOOKUP(Logs_reseau[[#This Row],[Cell_ID]],'[1]Registre_Maintenance_combine '!A:B,2,FALSE),"Non trouvé")</f>
        <v>Non trouvé</v>
      </c>
      <c r="B32" t="s">
        <v>11</v>
      </c>
      <c r="C32" s="3">
        <v>45206.101388888892</v>
      </c>
      <c r="D32" s="11">
        <f>Logs_reseau[[#This Row],[Duree_Panne_Min]]/1440</f>
        <v>5.5555555555555558E-3</v>
      </c>
      <c r="E32">
        <v>8</v>
      </c>
      <c r="F32" t="s">
        <v>2</v>
      </c>
      <c r="G32" t="str">
        <f>IFERROR(VLOOKUP(Logs_reseau[[#This Row],[Cell_ID]],'[1]Registre_Maintenance_combine '!A:C,3,FALSE),"Non trouvé")</f>
        <v>Non trouvé</v>
      </c>
      <c r="H32" t="str">
        <f>IFERROR(VLOOKUP(Logs_reseau[[#This Row],[Cell_ID]],'[1]Registre_Maintenance_combine '!A:D,4,FALSE),"Non trouvé")</f>
        <v>Non trouvé</v>
      </c>
      <c r="I32" t="str">
        <f>IFERROR(VLOOKUP(Logs_reseau[[#This Row],[Cell_ID]],'[1]Registre_Maintenance_combine '!A:E,5,FALSE),"Non trouvé")</f>
        <v>Non trouvé</v>
      </c>
      <c r="J32" t="str">
        <f>IFERROR(VLOOKUP(Logs_reseau[[#This Row],[Cell_ID]],'[1]Registre_Maintenance_combine '!A:F,6,FALSE),"Non trouvé")</f>
        <v>Non trouvé</v>
      </c>
    </row>
    <row r="33" spans="1:10" x14ac:dyDescent="0.25">
      <c r="A33" t="str">
        <f>IFERROR(VLOOKUP(Logs_reseau[[#This Row],[Cell_ID]],'[1]Registre_Maintenance_combine '!A:B,2,FALSE),"Non trouvé")</f>
        <v>Non trouvé</v>
      </c>
      <c r="B33" t="s">
        <v>11</v>
      </c>
      <c r="C33" s="3">
        <v>45227.424305555556</v>
      </c>
      <c r="D33" s="11">
        <f>Logs_reseau[[#This Row],[Duree_Panne_Min]]/1440</f>
        <v>4.027777777777778E-2</v>
      </c>
      <c r="E33">
        <v>58</v>
      </c>
      <c r="F33" t="s">
        <v>1</v>
      </c>
      <c r="G33" t="str">
        <f>IFERROR(VLOOKUP(Logs_reseau[[#This Row],[Cell_ID]],'[1]Registre_Maintenance_combine '!A:C,3,FALSE),"Non trouvé")</f>
        <v>Non trouvé</v>
      </c>
      <c r="H33" t="str">
        <f>IFERROR(VLOOKUP(Logs_reseau[[#This Row],[Cell_ID]],'[1]Registre_Maintenance_combine '!A:D,4,FALSE),"Non trouvé")</f>
        <v>Non trouvé</v>
      </c>
      <c r="I33" t="str">
        <f>IFERROR(VLOOKUP(Logs_reseau[[#This Row],[Cell_ID]],'[1]Registre_Maintenance_combine '!A:E,5,FALSE),"Non trouvé")</f>
        <v>Non trouvé</v>
      </c>
      <c r="J33" t="str">
        <f>IFERROR(VLOOKUP(Logs_reseau[[#This Row],[Cell_ID]],'[1]Registre_Maintenance_combine '!A:F,6,FALSE),"Non trouvé")</f>
        <v>Non trouvé</v>
      </c>
    </row>
    <row r="34" spans="1:10" x14ac:dyDescent="0.25">
      <c r="A34" t="str">
        <f>IFERROR(VLOOKUP(Logs_reseau[[#This Row],[Cell_ID]],'[1]Registre_Maintenance_combine '!A:B,2,FALSE),"Non trouvé")</f>
        <v>Non trouvé</v>
      </c>
      <c r="B34" t="s">
        <v>11</v>
      </c>
      <c r="C34" s="3">
        <v>45227.025000000001</v>
      </c>
      <c r="D34" s="11">
        <f>Logs_reseau[[#This Row],[Duree_Panne_Min]]/1440</f>
        <v>8.1250000000000003E-2</v>
      </c>
      <c r="E34">
        <v>117</v>
      </c>
      <c r="F34" t="s">
        <v>2</v>
      </c>
      <c r="G34" t="str">
        <f>IFERROR(VLOOKUP(Logs_reseau[[#This Row],[Cell_ID]],'[1]Registre_Maintenance_combine '!A:C,3,FALSE),"Non trouvé")</f>
        <v>Non trouvé</v>
      </c>
      <c r="H34" t="str">
        <f>IFERROR(VLOOKUP(Logs_reseau[[#This Row],[Cell_ID]],'[1]Registre_Maintenance_combine '!A:D,4,FALSE),"Non trouvé")</f>
        <v>Non trouvé</v>
      </c>
      <c r="I34" t="str">
        <f>IFERROR(VLOOKUP(Logs_reseau[[#This Row],[Cell_ID]],'[1]Registre_Maintenance_combine '!A:E,5,FALSE),"Non trouvé")</f>
        <v>Non trouvé</v>
      </c>
      <c r="J34" t="str">
        <f>IFERROR(VLOOKUP(Logs_reseau[[#This Row],[Cell_ID]],'[1]Registre_Maintenance_combine '!A:F,6,FALSE),"Non trouvé")</f>
        <v>Non trouvé</v>
      </c>
    </row>
    <row r="35" spans="1:10" x14ac:dyDescent="0.25">
      <c r="A35" t="str">
        <f>IFERROR(VLOOKUP(Logs_reseau[[#This Row],[Cell_ID]],'[1]Registre_Maintenance_combine '!A:B,2,FALSE),"Non trouvé")</f>
        <v>Non trouvé</v>
      </c>
      <c r="B35" t="s">
        <v>11</v>
      </c>
      <c r="C35" s="3">
        <v>45222.644444444442</v>
      </c>
      <c r="D35" s="11">
        <f>Logs_reseau[[#This Row],[Duree_Panne_Min]]/1440</f>
        <v>7.7083333333333337E-2</v>
      </c>
      <c r="E35">
        <v>111</v>
      </c>
      <c r="F35" t="s">
        <v>1</v>
      </c>
      <c r="G35" t="str">
        <f>IFERROR(VLOOKUP(Logs_reseau[[#This Row],[Cell_ID]],'[1]Registre_Maintenance_combine '!A:C,3,FALSE),"Non trouvé")</f>
        <v>Non trouvé</v>
      </c>
      <c r="H35" t="str">
        <f>IFERROR(VLOOKUP(Logs_reseau[[#This Row],[Cell_ID]],'[1]Registre_Maintenance_combine '!A:D,4,FALSE),"Non trouvé")</f>
        <v>Non trouvé</v>
      </c>
      <c r="I35" t="str">
        <f>IFERROR(VLOOKUP(Logs_reseau[[#This Row],[Cell_ID]],'[1]Registre_Maintenance_combine '!A:E,5,FALSE),"Non trouvé")</f>
        <v>Non trouvé</v>
      </c>
      <c r="J35" t="str">
        <f>IFERROR(VLOOKUP(Logs_reseau[[#This Row],[Cell_ID]],'[1]Registre_Maintenance_combine '!A:F,6,FALSE),"Non trouvé")</f>
        <v>Non trouvé</v>
      </c>
    </row>
    <row r="36" spans="1:10" x14ac:dyDescent="0.25">
      <c r="A36" t="str">
        <f>IFERROR(VLOOKUP(Logs_reseau[[#This Row],[Cell_ID]],'[1]Registre_Maintenance_combine '!A:B,2,FALSE),"Non trouvé")</f>
        <v>Non trouvé</v>
      </c>
      <c r="B36" t="s">
        <v>11</v>
      </c>
      <c r="C36" s="3">
        <v>45225.288888888892</v>
      </c>
      <c r="D36" s="11">
        <f>Logs_reseau[[#This Row],[Duree_Panne_Min]]/1440</f>
        <v>6.7361111111111108E-2</v>
      </c>
      <c r="E36">
        <v>97</v>
      </c>
      <c r="F36" t="s">
        <v>4</v>
      </c>
      <c r="G36" t="str">
        <f>IFERROR(VLOOKUP(Logs_reseau[[#This Row],[Cell_ID]],'[1]Registre_Maintenance_combine '!A:C,3,FALSE),"Non trouvé")</f>
        <v>Non trouvé</v>
      </c>
      <c r="H36" t="str">
        <f>IFERROR(VLOOKUP(Logs_reseau[[#This Row],[Cell_ID]],'[1]Registre_Maintenance_combine '!A:D,4,FALSE),"Non trouvé")</f>
        <v>Non trouvé</v>
      </c>
      <c r="I36" t="str">
        <f>IFERROR(VLOOKUP(Logs_reseau[[#This Row],[Cell_ID]],'[1]Registre_Maintenance_combine '!A:E,5,FALSE),"Non trouvé")</f>
        <v>Non trouvé</v>
      </c>
      <c r="J36" t="str">
        <f>IFERROR(VLOOKUP(Logs_reseau[[#This Row],[Cell_ID]],'[1]Registre_Maintenance_combine '!A:F,6,FALSE),"Non trouvé")</f>
        <v>Non trouvé</v>
      </c>
    </row>
    <row r="37" spans="1:10" x14ac:dyDescent="0.25">
      <c r="A37" t="str">
        <f>IFERROR(VLOOKUP(Logs_reseau[[#This Row],[Cell_ID]],'[1]Registre_Maintenance_combine '!A:B,2,FALSE),"Non trouvé")</f>
        <v>Haut-Katanga</v>
      </c>
      <c r="B37" t="s">
        <v>12</v>
      </c>
      <c r="C37" s="3">
        <v>45227.005555555559</v>
      </c>
      <c r="D37" s="11">
        <f>Logs_reseau[[#This Row],[Duree_Panne_Min]]/1440</f>
        <v>4.2361111111111113E-2</v>
      </c>
      <c r="E37">
        <v>61</v>
      </c>
      <c r="F37" t="s">
        <v>4</v>
      </c>
      <c r="G37">
        <f>IFERROR(VLOOKUP(Logs_reseau[[#This Row],[Cell_ID]],'[1]Registre_Maintenance_combine '!A:C,3,FALSE),"Non trouvé")</f>
        <v>4.4712560000000003</v>
      </c>
      <c r="H37">
        <f>IFERROR(VLOOKUP(Logs_reseau[[#This Row],[Cell_ID]],'[1]Registre_Maintenance_combine '!A:D,4,FALSE),"Non trouvé")</f>
        <v>27.107028</v>
      </c>
      <c r="I37" t="str">
        <f>IFERROR(VLOOKUP(Logs_reseau[[#This Row],[Cell_ID]],'[1]Registre_Maintenance_combine '!A:E,5,FALSE),"Non trouvé")</f>
        <v>3G</v>
      </c>
      <c r="J37" t="str">
        <f>IFERROR(VLOOKUP(Logs_reseau[[#This Row],[Cell_ID]],'[1]Registre_Maintenance_combine '!A:F,6,FALSE),"Non trouvé")</f>
        <v>Ericsson</v>
      </c>
    </row>
    <row r="38" spans="1:10" x14ac:dyDescent="0.25">
      <c r="A38" t="str">
        <f>IFERROR(VLOOKUP(Logs_reseau[[#This Row],[Cell_ID]],'[1]Registre_Maintenance_combine '!A:B,2,FALSE),"Non trouvé")</f>
        <v>Mai-Ndombe</v>
      </c>
      <c r="B38" t="s">
        <v>13</v>
      </c>
      <c r="C38" s="3">
        <v>45213.708333333336</v>
      </c>
      <c r="D38" s="11">
        <f>Logs_reseau[[#This Row],[Duree_Panne_Min]]/1440</f>
        <v>7.3611111111111113E-2</v>
      </c>
      <c r="E38">
        <v>106</v>
      </c>
      <c r="F38" t="s">
        <v>1</v>
      </c>
      <c r="G38">
        <f>IFERROR(VLOOKUP(Logs_reseau[[#This Row],[Cell_ID]],'[1]Registre_Maintenance_combine '!A:C,3,FALSE),"Non trouvé")</f>
        <v>-1.607639</v>
      </c>
      <c r="H38">
        <f>IFERROR(VLOOKUP(Logs_reseau[[#This Row],[Cell_ID]],'[1]Registre_Maintenance_combine '!A:D,4,FALSE),"Non trouvé")</f>
        <v>17.003636</v>
      </c>
      <c r="I38" t="str">
        <f>IFERROR(VLOOKUP(Logs_reseau[[#This Row],[Cell_ID]],'[1]Registre_Maintenance_combine '!A:E,5,FALSE),"Non trouvé")</f>
        <v>4G</v>
      </c>
      <c r="J38" t="str">
        <f>IFERROR(VLOOKUP(Logs_reseau[[#This Row],[Cell_ID]],'[1]Registre_Maintenance_combine '!A:F,6,FALSE),"Non trouvé")</f>
        <v>Ericsson</v>
      </c>
    </row>
    <row r="39" spans="1:10" x14ac:dyDescent="0.25">
      <c r="A39" t="str">
        <f>IFERROR(VLOOKUP(Logs_reseau[[#This Row],[Cell_ID]],'[1]Registre_Maintenance_combine '!A:B,2,FALSE),"Non trouvé")</f>
        <v>Mai-Ndombe</v>
      </c>
      <c r="B39" t="s">
        <v>13</v>
      </c>
      <c r="C39" s="3">
        <v>45223.263888888891</v>
      </c>
      <c r="D39" s="11">
        <f>Logs_reseau[[#This Row],[Duree_Panne_Min]]/1440</f>
        <v>4.8611111111111112E-3</v>
      </c>
      <c r="E39">
        <v>7</v>
      </c>
      <c r="F39" t="s">
        <v>1</v>
      </c>
      <c r="G39">
        <f>IFERROR(VLOOKUP(Logs_reseau[[#This Row],[Cell_ID]],'[1]Registre_Maintenance_combine '!A:C,3,FALSE),"Non trouvé")</f>
        <v>-1.607639</v>
      </c>
      <c r="H39">
        <f>IFERROR(VLOOKUP(Logs_reseau[[#This Row],[Cell_ID]],'[1]Registre_Maintenance_combine '!A:D,4,FALSE),"Non trouvé")</f>
        <v>17.003636</v>
      </c>
      <c r="I39" t="str">
        <f>IFERROR(VLOOKUP(Logs_reseau[[#This Row],[Cell_ID]],'[1]Registre_Maintenance_combine '!A:E,5,FALSE),"Non trouvé")</f>
        <v>4G</v>
      </c>
      <c r="J39" t="str">
        <f>IFERROR(VLOOKUP(Logs_reseau[[#This Row],[Cell_ID]],'[1]Registre_Maintenance_combine '!A:F,6,FALSE),"Non trouvé")</f>
        <v>Ericsson</v>
      </c>
    </row>
    <row r="40" spans="1:10" x14ac:dyDescent="0.25">
      <c r="A40" t="str">
        <f>IFERROR(VLOOKUP(Logs_reseau[[#This Row],[Cell_ID]],'[1]Registre_Maintenance_combine '!A:B,2,FALSE),"Non trouvé")</f>
        <v>Mai-Ndombe</v>
      </c>
      <c r="B40" t="s">
        <v>13</v>
      </c>
      <c r="C40" s="3">
        <v>45208.959027777775</v>
      </c>
      <c r="D40" s="11">
        <f>Logs_reseau[[#This Row],[Duree_Panne_Min]]/1440</f>
        <v>8.3333333333333332E-3</v>
      </c>
      <c r="E40">
        <v>12</v>
      </c>
      <c r="F40" t="s">
        <v>4</v>
      </c>
      <c r="G40">
        <f>IFERROR(VLOOKUP(Logs_reseau[[#This Row],[Cell_ID]],'[1]Registre_Maintenance_combine '!A:C,3,FALSE),"Non trouvé")</f>
        <v>-1.607639</v>
      </c>
      <c r="H40">
        <f>IFERROR(VLOOKUP(Logs_reseau[[#This Row],[Cell_ID]],'[1]Registre_Maintenance_combine '!A:D,4,FALSE),"Non trouvé")</f>
        <v>17.003636</v>
      </c>
      <c r="I40" t="str">
        <f>IFERROR(VLOOKUP(Logs_reseau[[#This Row],[Cell_ID]],'[1]Registre_Maintenance_combine '!A:E,5,FALSE),"Non trouvé")</f>
        <v>4G</v>
      </c>
      <c r="J40" t="str">
        <f>IFERROR(VLOOKUP(Logs_reseau[[#This Row],[Cell_ID]],'[1]Registre_Maintenance_combine '!A:F,6,FALSE),"Non trouvé")</f>
        <v>Ericsson</v>
      </c>
    </row>
    <row r="41" spans="1:10" x14ac:dyDescent="0.25">
      <c r="A41" t="str">
        <f>IFERROR(VLOOKUP(Logs_reseau[[#This Row],[Cell_ID]],'[1]Registre_Maintenance_combine '!A:B,2,FALSE),"Non trouvé")</f>
        <v>Non trouvé</v>
      </c>
      <c r="B41" t="s">
        <v>14</v>
      </c>
      <c r="C41" s="3">
        <v>45200.092361111114</v>
      </c>
      <c r="D41" s="11">
        <f>Logs_reseau[[#This Row],[Duree_Panne_Min]]/1440</f>
        <v>6.0416666666666667E-2</v>
      </c>
      <c r="E41">
        <v>87</v>
      </c>
      <c r="F41" t="s">
        <v>2</v>
      </c>
      <c r="G41" t="str">
        <f>IFERROR(VLOOKUP(Logs_reseau[[#This Row],[Cell_ID]],'[1]Registre_Maintenance_combine '!A:C,3,FALSE),"Non trouvé")</f>
        <v>Non trouvé</v>
      </c>
      <c r="H41" t="str">
        <f>IFERROR(VLOOKUP(Logs_reseau[[#This Row],[Cell_ID]],'[1]Registre_Maintenance_combine '!A:D,4,FALSE),"Non trouvé")</f>
        <v>Non trouvé</v>
      </c>
      <c r="I41" t="str">
        <f>IFERROR(VLOOKUP(Logs_reseau[[#This Row],[Cell_ID]],'[1]Registre_Maintenance_combine '!A:E,5,FALSE),"Non trouvé")</f>
        <v>Non trouvé</v>
      </c>
      <c r="J41" t="str">
        <f>IFERROR(VLOOKUP(Logs_reseau[[#This Row],[Cell_ID]],'[1]Registre_Maintenance_combine '!A:F,6,FALSE),"Non trouvé")</f>
        <v>Non trouvé</v>
      </c>
    </row>
    <row r="42" spans="1:10" x14ac:dyDescent="0.25">
      <c r="A42" t="str">
        <f>IFERROR(VLOOKUP(Logs_reseau[[#This Row],[Cell_ID]],'[1]Registre_Maintenance_combine '!A:B,2,FALSE),"Non trouvé")</f>
        <v>Non trouvé</v>
      </c>
      <c r="B42" t="s">
        <v>14</v>
      </c>
      <c r="C42" s="3">
        <v>45208.704861111109</v>
      </c>
      <c r="D42" s="11">
        <f>Logs_reseau[[#This Row],[Duree_Panne_Min]]/1440</f>
        <v>5.6944444444444443E-2</v>
      </c>
      <c r="E42">
        <v>82</v>
      </c>
      <c r="F42" t="s">
        <v>4</v>
      </c>
      <c r="G42" t="str">
        <f>IFERROR(VLOOKUP(Logs_reseau[[#This Row],[Cell_ID]],'[1]Registre_Maintenance_combine '!A:C,3,FALSE),"Non trouvé")</f>
        <v>Non trouvé</v>
      </c>
      <c r="H42" t="str">
        <f>IFERROR(VLOOKUP(Logs_reseau[[#This Row],[Cell_ID]],'[1]Registre_Maintenance_combine '!A:D,4,FALSE),"Non trouvé")</f>
        <v>Non trouvé</v>
      </c>
      <c r="I42" t="str">
        <f>IFERROR(VLOOKUP(Logs_reseau[[#This Row],[Cell_ID]],'[1]Registre_Maintenance_combine '!A:E,5,FALSE),"Non trouvé")</f>
        <v>Non trouvé</v>
      </c>
      <c r="J42" t="str">
        <f>IFERROR(VLOOKUP(Logs_reseau[[#This Row],[Cell_ID]],'[1]Registre_Maintenance_combine '!A:F,6,FALSE),"Non trouvé")</f>
        <v>Non trouvé</v>
      </c>
    </row>
    <row r="43" spans="1:10" x14ac:dyDescent="0.25">
      <c r="A43" t="str">
        <f>IFERROR(VLOOKUP(Logs_reseau[[#This Row],[Cell_ID]],'[1]Registre_Maintenance_combine '!A:B,2,FALSE),"Non trouvé")</f>
        <v>Non trouvé</v>
      </c>
      <c r="B43" t="s">
        <v>14</v>
      </c>
      <c r="C43" s="3">
        <v>45221.997916666667</v>
      </c>
      <c r="D43" s="11">
        <f>Logs_reseau[[#This Row],[Duree_Panne_Min]]/1440</f>
        <v>8.3333333333333332E-3</v>
      </c>
      <c r="E43">
        <v>12</v>
      </c>
      <c r="F43" t="s">
        <v>4</v>
      </c>
      <c r="G43" t="str">
        <f>IFERROR(VLOOKUP(Logs_reseau[[#This Row],[Cell_ID]],'[1]Registre_Maintenance_combine '!A:C,3,FALSE),"Non trouvé")</f>
        <v>Non trouvé</v>
      </c>
      <c r="H43" t="str">
        <f>IFERROR(VLOOKUP(Logs_reseau[[#This Row],[Cell_ID]],'[1]Registre_Maintenance_combine '!A:D,4,FALSE),"Non trouvé")</f>
        <v>Non trouvé</v>
      </c>
      <c r="I43" t="str">
        <f>IFERROR(VLOOKUP(Logs_reseau[[#This Row],[Cell_ID]],'[1]Registre_Maintenance_combine '!A:E,5,FALSE),"Non trouvé")</f>
        <v>Non trouvé</v>
      </c>
      <c r="J43" t="str">
        <f>IFERROR(VLOOKUP(Logs_reseau[[#This Row],[Cell_ID]],'[1]Registre_Maintenance_combine '!A:F,6,FALSE),"Non trouvé")</f>
        <v>Non trouvé</v>
      </c>
    </row>
    <row r="44" spans="1:10" x14ac:dyDescent="0.25">
      <c r="A44" t="str">
        <f>IFERROR(VLOOKUP(Logs_reseau[[#This Row],[Cell_ID]],'[1]Registre_Maintenance_combine '!A:B,2,FALSE),"Non trouvé")</f>
        <v>Non trouvé</v>
      </c>
      <c r="B44" t="s">
        <v>14</v>
      </c>
      <c r="C44" s="3">
        <v>45206.384722222225</v>
      </c>
      <c r="D44" s="11">
        <f>Logs_reseau[[#This Row],[Duree_Panne_Min]]/1440</f>
        <v>5.486111111111111E-2</v>
      </c>
      <c r="E44">
        <v>79</v>
      </c>
      <c r="F44" t="s">
        <v>4</v>
      </c>
      <c r="G44" t="str">
        <f>IFERROR(VLOOKUP(Logs_reseau[[#This Row],[Cell_ID]],'[1]Registre_Maintenance_combine '!A:C,3,FALSE),"Non trouvé")</f>
        <v>Non trouvé</v>
      </c>
      <c r="H44" t="str">
        <f>IFERROR(VLOOKUP(Logs_reseau[[#This Row],[Cell_ID]],'[1]Registre_Maintenance_combine '!A:D,4,FALSE),"Non trouvé")</f>
        <v>Non trouvé</v>
      </c>
      <c r="I44" t="str">
        <f>IFERROR(VLOOKUP(Logs_reseau[[#This Row],[Cell_ID]],'[1]Registre_Maintenance_combine '!A:E,5,FALSE),"Non trouvé")</f>
        <v>Non trouvé</v>
      </c>
      <c r="J44" t="str">
        <f>IFERROR(VLOOKUP(Logs_reseau[[#This Row],[Cell_ID]],'[1]Registre_Maintenance_combine '!A:F,6,FALSE),"Non trouvé")</f>
        <v>Non trouvé</v>
      </c>
    </row>
    <row r="45" spans="1:10" x14ac:dyDescent="0.25">
      <c r="A45" t="str">
        <f>IFERROR(VLOOKUP(Logs_reseau[[#This Row],[Cell_ID]],'[1]Registre_Maintenance_combine '!A:B,2,FALSE),"Non trouvé")</f>
        <v>Non trouvé</v>
      </c>
      <c r="B45" t="s">
        <v>14</v>
      </c>
      <c r="C45" s="3">
        <v>45222.586111111108</v>
      </c>
      <c r="D45" s="11">
        <f>Logs_reseau[[#This Row],[Duree_Panne_Min]]/1440</f>
        <v>6.8750000000000006E-2</v>
      </c>
      <c r="E45">
        <v>99</v>
      </c>
      <c r="F45" t="s">
        <v>4</v>
      </c>
      <c r="G45" t="str">
        <f>IFERROR(VLOOKUP(Logs_reseau[[#This Row],[Cell_ID]],'[1]Registre_Maintenance_combine '!A:C,3,FALSE),"Non trouvé")</f>
        <v>Non trouvé</v>
      </c>
      <c r="H45" t="str">
        <f>IFERROR(VLOOKUP(Logs_reseau[[#This Row],[Cell_ID]],'[1]Registre_Maintenance_combine '!A:D,4,FALSE),"Non trouvé")</f>
        <v>Non trouvé</v>
      </c>
      <c r="I45" t="str">
        <f>IFERROR(VLOOKUP(Logs_reseau[[#This Row],[Cell_ID]],'[1]Registre_Maintenance_combine '!A:E,5,FALSE),"Non trouvé")</f>
        <v>Non trouvé</v>
      </c>
      <c r="J45" t="str">
        <f>IFERROR(VLOOKUP(Logs_reseau[[#This Row],[Cell_ID]],'[1]Registre_Maintenance_combine '!A:F,6,FALSE),"Non trouvé")</f>
        <v>Non trouvé</v>
      </c>
    </row>
    <row r="46" spans="1:10" x14ac:dyDescent="0.25">
      <c r="A46" t="str">
        <f>IFERROR(VLOOKUP(Logs_reseau[[#This Row],[Cell_ID]],'[1]Registre_Maintenance_combine '!A:B,2,FALSE),"Non trouvé")</f>
        <v>Non trouvé</v>
      </c>
      <c r="B46" t="s">
        <v>14</v>
      </c>
      <c r="C46" s="3">
        <v>45224.671527777777</v>
      </c>
      <c r="D46" s="11">
        <f>Logs_reseau[[#This Row],[Duree_Panne_Min]]/1440</f>
        <v>6.9444444444444448E-2</v>
      </c>
      <c r="E46">
        <v>100</v>
      </c>
      <c r="F46" t="s">
        <v>2</v>
      </c>
      <c r="G46" t="str">
        <f>IFERROR(VLOOKUP(Logs_reseau[[#This Row],[Cell_ID]],'[1]Registre_Maintenance_combine '!A:C,3,FALSE),"Non trouvé")</f>
        <v>Non trouvé</v>
      </c>
      <c r="H46" t="str">
        <f>IFERROR(VLOOKUP(Logs_reseau[[#This Row],[Cell_ID]],'[1]Registre_Maintenance_combine '!A:D,4,FALSE),"Non trouvé")</f>
        <v>Non trouvé</v>
      </c>
      <c r="I46" t="str">
        <f>IFERROR(VLOOKUP(Logs_reseau[[#This Row],[Cell_ID]],'[1]Registre_Maintenance_combine '!A:E,5,FALSE),"Non trouvé")</f>
        <v>Non trouvé</v>
      </c>
      <c r="J46" t="str">
        <f>IFERROR(VLOOKUP(Logs_reseau[[#This Row],[Cell_ID]],'[1]Registre_Maintenance_combine '!A:F,6,FALSE),"Non trouvé")</f>
        <v>Non trouvé</v>
      </c>
    </row>
    <row r="47" spans="1:10" x14ac:dyDescent="0.25">
      <c r="A47" t="str">
        <f>IFERROR(VLOOKUP(Logs_reseau[[#This Row],[Cell_ID]],'[1]Registre_Maintenance_combine '!A:B,2,FALSE),"Non trouvé")</f>
        <v>Non trouvé</v>
      </c>
      <c r="B47" t="s">
        <v>15</v>
      </c>
      <c r="C47" s="3">
        <v>45202.742361111108</v>
      </c>
      <c r="D47" s="11">
        <f>Logs_reseau[[#This Row],[Duree_Panne_Min]]/1440</f>
        <v>5.5555555555555558E-3</v>
      </c>
      <c r="E47">
        <v>8</v>
      </c>
      <c r="F47" t="s">
        <v>2</v>
      </c>
      <c r="G47" t="str">
        <f>IFERROR(VLOOKUP(Logs_reseau[[#This Row],[Cell_ID]],'[1]Registre_Maintenance_combine '!A:C,3,FALSE),"Non trouvé")</f>
        <v>Non trouvé</v>
      </c>
      <c r="H47" t="str">
        <f>IFERROR(VLOOKUP(Logs_reseau[[#This Row],[Cell_ID]],'[1]Registre_Maintenance_combine '!A:D,4,FALSE),"Non trouvé")</f>
        <v>Non trouvé</v>
      </c>
      <c r="I47" t="str">
        <f>IFERROR(VLOOKUP(Logs_reseau[[#This Row],[Cell_ID]],'[1]Registre_Maintenance_combine '!A:E,5,FALSE),"Non trouvé")</f>
        <v>Non trouvé</v>
      </c>
      <c r="J47" t="str">
        <f>IFERROR(VLOOKUP(Logs_reseau[[#This Row],[Cell_ID]],'[1]Registre_Maintenance_combine '!A:F,6,FALSE),"Non trouvé")</f>
        <v>Non trouvé</v>
      </c>
    </row>
    <row r="48" spans="1:10" x14ac:dyDescent="0.25">
      <c r="A48" t="str">
        <f>IFERROR(VLOOKUP(Logs_reseau[[#This Row],[Cell_ID]],'[1]Registre_Maintenance_combine '!A:B,2,FALSE),"Non trouvé")</f>
        <v>Non trouvé</v>
      </c>
      <c r="B48" t="s">
        <v>15</v>
      </c>
      <c r="C48" s="3">
        <v>45229.595833333333</v>
      </c>
      <c r="D48" s="11">
        <f>Logs_reseau[[#This Row],[Duree_Panne_Min]]/1440</f>
        <v>5.2777777777777778E-2</v>
      </c>
      <c r="E48">
        <v>76</v>
      </c>
      <c r="F48" t="s">
        <v>2</v>
      </c>
      <c r="G48" t="str">
        <f>IFERROR(VLOOKUP(Logs_reseau[[#This Row],[Cell_ID]],'[1]Registre_Maintenance_combine '!A:C,3,FALSE),"Non trouvé")</f>
        <v>Non trouvé</v>
      </c>
      <c r="H48" t="str">
        <f>IFERROR(VLOOKUP(Logs_reseau[[#This Row],[Cell_ID]],'[1]Registre_Maintenance_combine '!A:D,4,FALSE),"Non trouvé")</f>
        <v>Non trouvé</v>
      </c>
      <c r="I48" t="str">
        <f>IFERROR(VLOOKUP(Logs_reseau[[#This Row],[Cell_ID]],'[1]Registre_Maintenance_combine '!A:E,5,FALSE),"Non trouvé")</f>
        <v>Non trouvé</v>
      </c>
      <c r="J48" t="str">
        <f>IFERROR(VLOOKUP(Logs_reseau[[#This Row],[Cell_ID]],'[1]Registre_Maintenance_combine '!A:F,6,FALSE),"Non trouvé")</f>
        <v>Non trouvé</v>
      </c>
    </row>
    <row r="49" spans="1:10" x14ac:dyDescent="0.25">
      <c r="A49" t="str">
        <f>IFERROR(VLOOKUP(Logs_reseau[[#This Row],[Cell_ID]],'[1]Registre_Maintenance_combine '!A:B,2,FALSE),"Non trouvé")</f>
        <v>Non trouvé</v>
      </c>
      <c r="B49" t="s">
        <v>15</v>
      </c>
      <c r="C49" s="3">
        <v>45206.558333333334</v>
      </c>
      <c r="D49" s="11">
        <f>Logs_reseau[[#This Row],[Duree_Panne_Min]]/1440</f>
        <v>6.0416666666666667E-2</v>
      </c>
      <c r="E49">
        <v>87</v>
      </c>
      <c r="F49" t="s">
        <v>1</v>
      </c>
      <c r="G49" t="str">
        <f>IFERROR(VLOOKUP(Logs_reseau[[#This Row],[Cell_ID]],'[1]Registre_Maintenance_combine '!A:C,3,FALSE),"Non trouvé")</f>
        <v>Non trouvé</v>
      </c>
      <c r="H49" t="str">
        <f>IFERROR(VLOOKUP(Logs_reseau[[#This Row],[Cell_ID]],'[1]Registre_Maintenance_combine '!A:D,4,FALSE),"Non trouvé")</f>
        <v>Non trouvé</v>
      </c>
      <c r="I49" t="str">
        <f>IFERROR(VLOOKUP(Logs_reseau[[#This Row],[Cell_ID]],'[1]Registre_Maintenance_combine '!A:E,5,FALSE),"Non trouvé")</f>
        <v>Non trouvé</v>
      </c>
      <c r="J49" t="str">
        <f>IFERROR(VLOOKUP(Logs_reseau[[#This Row],[Cell_ID]],'[1]Registre_Maintenance_combine '!A:F,6,FALSE),"Non trouvé")</f>
        <v>Non trouvé</v>
      </c>
    </row>
    <row r="50" spans="1:10" x14ac:dyDescent="0.25">
      <c r="A50" t="str">
        <f>IFERROR(VLOOKUP(Logs_reseau[[#This Row],[Cell_ID]],'[1]Registre_Maintenance_combine '!A:B,2,FALSE),"Non trouvé")</f>
        <v>Non trouvé</v>
      </c>
      <c r="B50" t="s">
        <v>16</v>
      </c>
      <c r="C50" s="3">
        <v>45208.045138888891</v>
      </c>
      <c r="D50" s="11">
        <f>Logs_reseau[[#This Row],[Duree_Panne_Min]]/1440</f>
        <v>7.3611111111111113E-2</v>
      </c>
      <c r="E50">
        <v>106</v>
      </c>
      <c r="F50" t="s">
        <v>1</v>
      </c>
      <c r="G50" t="str">
        <f>IFERROR(VLOOKUP(Logs_reseau[[#This Row],[Cell_ID]],'[1]Registre_Maintenance_combine '!A:C,3,FALSE),"Non trouvé")</f>
        <v>Non trouvé</v>
      </c>
      <c r="H50" t="str">
        <f>IFERROR(VLOOKUP(Logs_reseau[[#This Row],[Cell_ID]],'[1]Registre_Maintenance_combine '!A:D,4,FALSE),"Non trouvé")</f>
        <v>Non trouvé</v>
      </c>
      <c r="I50" t="str">
        <f>IFERROR(VLOOKUP(Logs_reseau[[#This Row],[Cell_ID]],'[1]Registre_Maintenance_combine '!A:E,5,FALSE),"Non trouvé")</f>
        <v>Non trouvé</v>
      </c>
      <c r="J50" t="str">
        <f>IFERROR(VLOOKUP(Logs_reseau[[#This Row],[Cell_ID]],'[1]Registre_Maintenance_combine '!A:F,6,FALSE),"Non trouvé")</f>
        <v>Non trouvé</v>
      </c>
    </row>
    <row r="51" spans="1:10" x14ac:dyDescent="0.25">
      <c r="A51" t="str">
        <f>IFERROR(VLOOKUP(Logs_reseau[[#This Row],[Cell_ID]],'[1]Registre_Maintenance_combine '!A:B,2,FALSE),"Non trouvé")</f>
        <v>Non trouvé</v>
      </c>
      <c r="B51" t="s">
        <v>16</v>
      </c>
      <c r="C51" s="3">
        <v>45221.268750000003</v>
      </c>
      <c r="D51" s="11">
        <f>Logs_reseau[[#This Row],[Duree_Panne_Min]]/1440</f>
        <v>4.791666666666667E-2</v>
      </c>
      <c r="E51">
        <v>69</v>
      </c>
      <c r="F51" t="s">
        <v>4</v>
      </c>
      <c r="G51" t="str">
        <f>IFERROR(VLOOKUP(Logs_reseau[[#This Row],[Cell_ID]],'[1]Registre_Maintenance_combine '!A:C,3,FALSE),"Non trouvé")</f>
        <v>Non trouvé</v>
      </c>
      <c r="H51" t="str">
        <f>IFERROR(VLOOKUP(Logs_reseau[[#This Row],[Cell_ID]],'[1]Registre_Maintenance_combine '!A:D,4,FALSE),"Non trouvé")</f>
        <v>Non trouvé</v>
      </c>
      <c r="I51" t="str">
        <f>IFERROR(VLOOKUP(Logs_reseau[[#This Row],[Cell_ID]],'[1]Registre_Maintenance_combine '!A:E,5,FALSE),"Non trouvé")</f>
        <v>Non trouvé</v>
      </c>
      <c r="J51" t="str">
        <f>IFERROR(VLOOKUP(Logs_reseau[[#This Row],[Cell_ID]],'[1]Registre_Maintenance_combine '!A:F,6,FALSE),"Non trouvé")</f>
        <v>Non trouvé</v>
      </c>
    </row>
    <row r="52" spans="1:10" x14ac:dyDescent="0.25">
      <c r="A52" t="str">
        <f>IFERROR(VLOOKUP(Logs_reseau[[#This Row],[Cell_ID]],'[1]Registre_Maintenance_combine '!A:B,2,FALSE),"Non trouvé")</f>
        <v>Non trouvé</v>
      </c>
      <c r="B52" t="s">
        <v>16</v>
      </c>
      <c r="C52" s="3">
        <v>45221.769444444442</v>
      </c>
      <c r="D52" s="11">
        <f>Logs_reseau[[#This Row],[Duree_Panne_Min]]/1440</f>
        <v>5.2083333333333336E-2</v>
      </c>
      <c r="E52">
        <v>75</v>
      </c>
      <c r="F52" t="s">
        <v>2</v>
      </c>
      <c r="G52" t="str">
        <f>IFERROR(VLOOKUP(Logs_reseau[[#This Row],[Cell_ID]],'[1]Registre_Maintenance_combine '!A:C,3,FALSE),"Non trouvé")</f>
        <v>Non trouvé</v>
      </c>
      <c r="H52" t="str">
        <f>IFERROR(VLOOKUP(Logs_reseau[[#This Row],[Cell_ID]],'[1]Registre_Maintenance_combine '!A:D,4,FALSE),"Non trouvé")</f>
        <v>Non trouvé</v>
      </c>
      <c r="I52" t="str">
        <f>IFERROR(VLOOKUP(Logs_reseau[[#This Row],[Cell_ID]],'[1]Registre_Maintenance_combine '!A:E,5,FALSE),"Non trouvé")</f>
        <v>Non trouvé</v>
      </c>
      <c r="J52" t="str">
        <f>IFERROR(VLOOKUP(Logs_reseau[[#This Row],[Cell_ID]],'[1]Registre_Maintenance_combine '!A:F,6,FALSE),"Non trouvé")</f>
        <v>Non trouvé</v>
      </c>
    </row>
    <row r="53" spans="1:10" x14ac:dyDescent="0.25">
      <c r="A53" t="str">
        <f>IFERROR(VLOOKUP(Logs_reseau[[#This Row],[Cell_ID]],'[1]Registre_Maintenance_combine '!A:B,2,FALSE),"Non trouvé")</f>
        <v>Non trouvé</v>
      </c>
      <c r="B53" t="s">
        <v>17</v>
      </c>
      <c r="C53" s="3">
        <v>45202.417361111111</v>
      </c>
      <c r="D53" s="11">
        <f>Logs_reseau[[#This Row],[Duree_Panne_Min]]/1440</f>
        <v>7.2222222222222215E-2</v>
      </c>
      <c r="E53">
        <v>104</v>
      </c>
      <c r="F53" t="s">
        <v>2</v>
      </c>
      <c r="G53" t="str">
        <f>IFERROR(VLOOKUP(Logs_reseau[[#This Row],[Cell_ID]],'[1]Registre_Maintenance_combine '!A:C,3,FALSE),"Non trouvé")</f>
        <v>Non trouvé</v>
      </c>
      <c r="H53" t="str">
        <f>IFERROR(VLOOKUP(Logs_reseau[[#This Row],[Cell_ID]],'[1]Registre_Maintenance_combine '!A:D,4,FALSE),"Non trouvé")</f>
        <v>Non trouvé</v>
      </c>
      <c r="I53" t="str">
        <f>IFERROR(VLOOKUP(Logs_reseau[[#This Row],[Cell_ID]],'[1]Registre_Maintenance_combine '!A:E,5,FALSE),"Non trouvé")</f>
        <v>Non trouvé</v>
      </c>
      <c r="J53" t="str">
        <f>IFERROR(VLOOKUP(Logs_reseau[[#This Row],[Cell_ID]],'[1]Registre_Maintenance_combine '!A:F,6,FALSE),"Non trouvé")</f>
        <v>Non trouvé</v>
      </c>
    </row>
    <row r="54" spans="1:10" x14ac:dyDescent="0.25">
      <c r="A54" t="str">
        <f>IFERROR(VLOOKUP(Logs_reseau[[#This Row],[Cell_ID]],'[1]Registre_Maintenance_combine '!A:B,2,FALSE),"Non trouvé")</f>
        <v>Non trouvé</v>
      </c>
      <c r="B54" t="s">
        <v>17</v>
      </c>
      <c r="C54" s="3">
        <v>45214.457638888889</v>
      </c>
      <c r="D54" s="11">
        <f>Logs_reseau[[#This Row],[Duree_Panne_Min]]/1440</f>
        <v>7.4999999999999997E-2</v>
      </c>
      <c r="E54">
        <v>108</v>
      </c>
      <c r="F54" t="s">
        <v>4</v>
      </c>
      <c r="G54" t="str">
        <f>IFERROR(VLOOKUP(Logs_reseau[[#This Row],[Cell_ID]],'[1]Registre_Maintenance_combine '!A:C,3,FALSE),"Non trouvé")</f>
        <v>Non trouvé</v>
      </c>
      <c r="H54" t="str">
        <f>IFERROR(VLOOKUP(Logs_reseau[[#This Row],[Cell_ID]],'[1]Registre_Maintenance_combine '!A:D,4,FALSE),"Non trouvé")</f>
        <v>Non trouvé</v>
      </c>
      <c r="I54" t="str">
        <f>IFERROR(VLOOKUP(Logs_reseau[[#This Row],[Cell_ID]],'[1]Registre_Maintenance_combine '!A:E,5,FALSE),"Non trouvé")</f>
        <v>Non trouvé</v>
      </c>
      <c r="J54" t="str">
        <f>IFERROR(VLOOKUP(Logs_reseau[[#This Row],[Cell_ID]],'[1]Registre_Maintenance_combine '!A:F,6,FALSE),"Non trouvé")</f>
        <v>Non trouvé</v>
      </c>
    </row>
    <row r="55" spans="1:10" x14ac:dyDescent="0.25">
      <c r="A55" t="str">
        <f>IFERROR(VLOOKUP(Logs_reseau[[#This Row],[Cell_ID]],'[1]Registre_Maintenance_combine '!A:B,2,FALSE),"Non trouvé")</f>
        <v>Non trouvé</v>
      </c>
      <c r="B55" t="s">
        <v>17</v>
      </c>
      <c r="C55" s="3">
        <v>45213.649305555555</v>
      </c>
      <c r="D55" s="11">
        <f>Logs_reseau[[#This Row],[Duree_Panne_Min]]/1440</f>
        <v>5.4166666666666669E-2</v>
      </c>
      <c r="E55">
        <v>78</v>
      </c>
      <c r="F55" t="s">
        <v>2</v>
      </c>
      <c r="G55" t="str">
        <f>IFERROR(VLOOKUP(Logs_reseau[[#This Row],[Cell_ID]],'[1]Registre_Maintenance_combine '!A:C,3,FALSE),"Non trouvé")</f>
        <v>Non trouvé</v>
      </c>
      <c r="H55" t="str">
        <f>IFERROR(VLOOKUP(Logs_reseau[[#This Row],[Cell_ID]],'[1]Registre_Maintenance_combine '!A:D,4,FALSE),"Non trouvé")</f>
        <v>Non trouvé</v>
      </c>
      <c r="I55" t="str">
        <f>IFERROR(VLOOKUP(Logs_reseau[[#This Row],[Cell_ID]],'[1]Registre_Maintenance_combine '!A:E,5,FALSE),"Non trouvé")</f>
        <v>Non trouvé</v>
      </c>
      <c r="J55" t="str">
        <f>IFERROR(VLOOKUP(Logs_reseau[[#This Row],[Cell_ID]],'[1]Registre_Maintenance_combine '!A:F,6,FALSE),"Non trouvé")</f>
        <v>Non trouvé</v>
      </c>
    </row>
    <row r="56" spans="1:10" x14ac:dyDescent="0.25">
      <c r="A56" t="str">
        <f>IFERROR(VLOOKUP(Logs_reseau[[#This Row],[Cell_ID]],'[1]Registre_Maintenance_combine '!A:B,2,FALSE),"Non trouvé")</f>
        <v>Kongo-Central</v>
      </c>
      <c r="B56" t="s">
        <v>18</v>
      </c>
      <c r="C56" s="3">
        <v>45225.033333333333</v>
      </c>
      <c r="D56" s="11">
        <f>Logs_reseau[[#This Row],[Duree_Panne_Min]]/1440</f>
        <v>7.6388888888888886E-3</v>
      </c>
      <c r="E56">
        <v>11</v>
      </c>
      <c r="F56" t="s">
        <v>2</v>
      </c>
      <c r="G56">
        <f>IFERROR(VLOOKUP(Logs_reseau[[#This Row],[Cell_ID]],'[1]Registre_Maintenance_combine '!A:C,3,FALSE),"Non trouvé")</f>
        <v>2.9836019999999999</v>
      </c>
      <c r="H56">
        <f>IFERROR(VLOOKUP(Logs_reseau[[#This Row],[Cell_ID]],'[1]Registre_Maintenance_combine '!A:D,4,FALSE),"Non trouvé")</f>
        <v>21.893065</v>
      </c>
      <c r="I56" t="str">
        <f>IFERROR(VLOOKUP(Logs_reseau[[#This Row],[Cell_ID]],'[1]Registre_Maintenance_combine '!A:E,5,FALSE),"Non trouvé")</f>
        <v>5G</v>
      </c>
      <c r="J56" t="str">
        <f>IFERROR(VLOOKUP(Logs_reseau[[#This Row],[Cell_ID]],'[1]Registre_Maintenance_combine '!A:F,6,FALSE),"Non trouvé")</f>
        <v>Nokia</v>
      </c>
    </row>
    <row r="57" spans="1:10" x14ac:dyDescent="0.25">
      <c r="A57" t="str">
        <f>IFERROR(VLOOKUP(Logs_reseau[[#This Row],[Cell_ID]],'[1]Registre_Maintenance_combine '!A:B,2,FALSE),"Non trouvé")</f>
        <v>Kongo-Central</v>
      </c>
      <c r="B57" t="s">
        <v>18</v>
      </c>
      <c r="C57" s="3">
        <v>45205.353472222225</v>
      </c>
      <c r="D57" s="11">
        <f>Logs_reseau[[#This Row],[Duree_Panne_Min]]/1440</f>
        <v>6.1111111111111109E-2</v>
      </c>
      <c r="E57">
        <v>88</v>
      </c>
      <c r="F57" t="s">
        <v>4</v>
      </c>
      <c r="G57">
        <f>IFERROR(VLOOKUP(Logs_reseau[[#This Row],[Cell_ID]],'[1]Registre_Maintenance_combine '!A:C,3,FALSE),"Non trouvé")</f>
        <v>2.9836019999999999</v>
      </c>
      <c r="H57">
        <f>IFERROR(VLOOKUP(Logs_reseau[[#This Row],[Cell_ID]],'[1]Registre_Maintenance_combine '!A:D,4,FALSE),"Non trouvé")</f>
        <v>21.893065</v>
      </c>
      <c r="I57" t="str">
        <f>IFERROR(VLOOKUP(Logs_reseau[[#This Row],[Cell_ID]],'[1]Registre_Maintenance_combine '!A:E,5,FALSE),"Non trouvé")</f>
        <v>5G</v>
      </c>
      <c r="J57" t="str">
        <f>IFERROR(VLOOKUP(Logs_reseau[[#This Row],[Cell_ID]],'[1]Registre_Maintenance_combine '!A:F,6,FALSE),"Non trouvé")</f>
        <v>Nokia</v>
      </c>
    </row>
    <row r="58" spans="1:10" x14ac:dyDescent="0.25">
      <c r="A58" t="str">
        <f>IFERROR(VLOOKUP(Logs_reseau[[#This Row],[Cell_ID]],'[1]Registre_Maintenance_combine '!A:B,2,FALSE),"Non trouvé")</f>
        <v>Kongo-Central</v>
      </c>
      <c r="B58" t="s">
        <v>18</v>
      </c>
      <c r="C58" s="3">
        <v>45204.308333333334</v>
      </c>
      <c r="D58" s="11">
        <f>Logs_reseau[[#This Row],[Duree_Panne_Min]]/1440</f>
        <v>7.6388888888888895E-2</v>
      </c>
      <c r="E58">
        <v>110</v>
      </c>
      <c r="F58" t="s">
        <v>1</v>
      </c>
      <c r="G58">
        <f>IFERROR(VLOOKUP(Logs_reseau[[#This Row],[Cell_ID]],'[1]Registre_Maintenance_combine '!A:C,3,FALSE),"Non trouvé")</f>
        <v>2.9836019999999999</v>
      </c>
      <c r="H58">
        <f>IFERROR(VLOOKUP(Logs_reseau[[#This Row],[Cell_ID]],'[1]Registre_Maintenance_combine '!A:D,4,FALSE),"Non trouvé")</f>
        <v>21.893065</v>
      </c>
      <c r="I58" t="str">
        <f>IFERROR(VLOOKUP(Logs_reseau[[#This Row],[Cell_ID]],'[1]Registre_Maintenance_combine '!A:E,5,FALSE),"Non trouvé")</f>
        <v>5G</v>
      </c>
      <c r="J58" t="str">
        <f>IFERROR(VLOOKUP(Logs_reseau[[#This Row],[Cell_ID]],'[1]Registre_Maintenance_combine '!A:F,6,FALSE),"Non trouvé")</f>
        <v>Nokia</v>
      </c>
    </row>
    <row r="59" spans="1:10" x14ac:dyDescent="0.25">
      <c r="A59" t="str">
        <f>IFERROR(VLOOKUP(Logs_reseau[[#This Row],[Cell_ID]],'[1]Registre_Maintenance_combine '!A:B,2,FALSE),"Non trouvé")</f>
        <v>Kongo-Central</v>
      </c>
      <c r="B59" t="s">
        <v>18</v>
      </c>
      <c r="C59" s="3">
        <v>45200.525694444441</v>
      </c>
      <c r="D59" s="11">
        <f>Logs_reseau[[#This Row],[Duree_Panne_Min]]/1440</f>
        <v>5.1388888888888887E-2</v>
      </c>
      <c r="E59">
        <v>74</v>
      </c>
      <c r="F59" t="s">
        <v>2</v>
      </c>
      <c r="G59">
        <f>IFERROR(VLOOKUP(Logs_reseau[[#This Row],[Cell_ID]],'[1]Registre_Maintenance_combine '!A:C,3,FALSE),"Non trouvé")</f>
        <v>2.9836019999999999</v>
      </c>
      <c r="H59">
        <f>IFERROR(VLOOKUP(Logs_reseau[[#This Row],[Cell_ID]],'[1]Registre_Maintenance_combine '!A:D,4,FALSE),"Non trouvé")</f>
        <v>21.893065</v>
      </c>
      <c r="I59" t="str">
        <f>IFERROR(VLOOKUP(Logs_reseau[[#This Row],[Cell_ID]],'[1]Registre_Maintenance_combine '!A:E,5,FALSE),"Non trouvé")</f>
        <v>5G</v>
      </c>
      <c r="J59" t="str">
        <f>IFERROR(VLOOKUP(Logs_reseau[[#This Row],[Cell_ID]],'[1]Registre_Maintenance_combine '!A:F,6,FALSE),"Non trouvé")</f>
        <v>Nokia</v>
      </c>
    </row>
    <row r="60" spans="1:10" x14ac:dyDescent="0.25">
      <c r="A60" t="str">
        <f>IFERROR(VLOOKUP(Logs_reseau[[#This Row],[Cell_ID]],'[1]Registre_Maintenance_combine '!A:B,2,FALSE),"Non trouvé")</f>
        <v>Sankuru</v>
      </c>
      <c r="B60" t="s">
        <v>19</v>
      </c>
      <c r="C60" s="3">
        <v>45217.551388888889</v>
      </c>
      <c r="D60" s="11">
        <f>Logs_reseau[[#This Row],[Duree_Panne_Min]]/1440</f>
        <v>7.9861111111111105E-2</v>
      </c>
      <c r="E60">
        <v>115</v>
      </c>
      <c r="F60" t="s">
        <v>2</v>
      </c>
      <c r="G60">
        <f>IFERROR(VLOOKUP(Logs_reseau[[#This Row],[Cell_ID]],'[1]Registre_Maintenance_combine '!A:C,3,FALSE),"Non trouvé")</f>
        <v>-3.419035</v>
      </c>
      <c r="H60">
        <f>IFERROR(VLOOKUP(Logs_reseau[[#This Row],[Cell_ID]],'[1]Registre_Maintenance_combine '!A:D,4,FALSE),"Non trouvé")</f>
        <v>29.018315999999999</v>
      </c>
      <c r="I60" t="str">
        <f>IFERROR(VLOOKUP(Logs_reseau[[#This Row],[Cell_ID]],'[1]Registre_Maintenance_combine '!A:E,5,FALSE),"Non trouvé")</f>
        <v>5G</v>
      </c>
      <c r="J60" t="str">
        <f>IFERROR(VLOOKUP(Logs_reseau[[#This Row],[Cell_ID]],'[1]Registre_Maintenance_combine '!A:F,6,FALSE),"Non trouvé")</f>
        <v>Ericsson</v>
      </c>
    </row>
    <row r="61" spans="1:10" x14ac:dyDescent="0.25">
      <c r="A61" t="str">
        <f>IFERROR(VLOOKUP(Logs_reseau[[#This Row],[Cell_ID]],'[1]Registre_Maintenance_combine '!A:B,2,FALSE),"Non trouvé")</f>
        <v>Sankuru</v>
      </c>
      <c r="B61" t="s">
        <v>19</v>
      </c>
      <c r="C61" s="3">
        <v>45228.001388888886</v>
      </c>
      <c r="D61" s="11">
        <f>Logs_reseau[[#This Row],[Duree_Panne_Min]]/1440</f>
        <v>7.7777777777777779E-2</v>
      </c>
      <c r="E61">
        <v>112</v>
      </c>
      <c r="F61" t="s">
        <v>4</v>
      </c>
      <c r="G61">
        <f>IFERROR(VLOOKUP(Logs_reseau[[#This Row],[Cell_ID]],'[1]Registre_Maintenance_combine '!A:C,3,FALSE),"Non trouvé")</f>
        <v>-3.419035</v>
      </c>
      <c r="H61">
        <f>IFERROR(VLOOKUP(Logs_reseau[[#This Row],[Cell_ID]],'[1]Registre_Maintenance_combine '!A:D,4,FALSE),"Non trouvé")</f>
        <v>29.018315999999999</v>
      </c>
      <c r="I61" t="str">
        <f>IFERROR(VLOOKUP(Logs_reseau[[#This Row],[Cell_ID]],'[1]Registre_Maintenance_combine '!A:E,5,FALSE),"Non trouvé")</f>
        <v>5G</v>
      </c>
      <c r="J61" t="str">
        <f>IFERROR(VLOOKUP(Logs_reseau[[#This Row],[Cell_ID]],'[1]Registre_Maintenance_combine '!A:F,6,FALSE),"Non trouvé")</f>
        <v>Ericsson</v>
      </c>
    </row>
    <row r="62" spans="1:10" x14ac:dyDescent="0.25">
      <c r="A62" t="str">
        <f>IFERROR(VLOOKUP(Logs_reseau[[#This Row],[Cell_ID]],'[1]Registre_Maintenance_combine '!A:B,2,FALSE),"Non trouvé")</f>
        <v>Sankuru</v>
      </c>
      <c r="B62" t="s">
        <v>19</v>
      </c>
      <c r="C62" s="3">
        <v>45229.77847222222</v>
      </c>
      <c r="D62" s="11">
        <f>Logs_reseau[[#This Row],[Duree_Panne_Min]]/1440</f>
        <v>1.8749999999999999E-2</v>
      </c>
      <c r="E62">
        <v>27</v>
      </c>
      <c r="F62" t="s">
        <v>2</v>
      </c>
      <c r="G62">
        <f>IFERROR(VLOOKUP(Logs_reseau[[#This Row],[Cell_ID]],'[1]Registre_Maintenance_combine '!A:C,3,FALSE),"Non trouvé")</f>
        <v>-3.419035</v>
      </c>
      <c r="H62">
        <f>IFERROR(VLOOKUP(Logs_reseau[[#This Row],[Cell_ID]],'[1]Registre_Maintenance_combine '!A:D,4,FALSE),"Non trouvé")</f>
        <v>29.018315999999999</v>
      </c>
      <c r="I62" t="str">
        <f>IFERROR(VLOOKUP(Logs_reseau[[#This Row],[Cell_ID]],'[1]Registre_Maintenance_combine '!A:E,5,FALSE),"Non trouvé")</f>
        <v>5G</v>
      </c>
      <c r="J62" t="str">
        <f>IFERROR(VLOOKUP(Logs_reseau[[#This Row],[Cell_ID]],'[1]Registre_Maintenance_combine '!A:F,6,FALSE),"Non trouvé")</f>
        <v>Ericsson</v>
      </c>
    </row>
    <row r="63" spans="1:10" x14ac:dyDescent="0.25">
      <c r="A63" t="str">
        <f>IFERROR(VLOOKUP(Logs_reseau[[#This Row],[Cell_ID]],'[1]Registre_Maintenance_combine '!A:B,2,FALSE),"Non trouvé")</f>
        <v>Non trouvé</v>
      </c>
      <c r="B63" t="s">
        <v>20</v>
      </c>
      <c r="C63" s="3">
        <v>45225.238888888889</v>
      </c>
      <c r="D63" s="11">
        <f>Logs_reseau[[#This Row],[Duree_Panne_Min]]/1440</f>
        <v>7.9861111111111105E-2</v>
      </c>
      <c r="E63">
        <v>115</v>
      </c>
      <c r="F63" t="s">
        <v>4</v>
      </c>
      <c r="G63" t="str">
        <f>IFERROR(VLOOKUP(Logs_reseau[[#This Row],[Cell_ID]],'[1]Registre_Maintenance_combine '!A:C,3,FALSE),"Non trouvé")</f>
        <v>Non trouvé</v>
      </c>
      <c r="H63" t="str">
        <f>IFERROR(VLOOKUP(Logs_reseau[[#This Row],[Cell_ID]],'[1]Registre_Maintenance_combine '!A:D,4,FALSE),"Non trouvé")</f>
        <v>Non trouvé</v>
      </c>
      <c r="I63" t="str">
        <f>IFERROR(VLOOKUP(Logs_reseau[[#This Row],[Cell_ID]],'[1]Registre_Maintenance_combine '!A:E,5,FALSE),"Non trouvé")</f>
        <v>Non trouvé</v>
      </c>
      <c r="J63" t="str">
        <f>IFERROR(VLOOKUP(Logs_reseau[[#This Row],[Cell_ID]],'[1]Registre_Maintenance_combine '!A:F,6,FALSE),"Non trouvé")</f>
        <v>Non trouvé</v>
      </c>
    </row>
    <row r="64" spans="1:10" x14ac:dyDescent="0.25">
      <c r="A64" t="str">
        <f>IFERROR(VLOOKUP(Logs_reseau[[#This Row],[Cell_ID]],'[1]Registre_Maintenance_combine '!A:B,2,FALSE),"Non trouvé")</f>
        <v>Non trouvé</v>
      </c>
      <c r="B64" t="s">
        <v>20</v>
      </c>
      <c r="C64" s="3">
        <v>45230.706944444442</v>
      </c>
      <c r="D64" s="11">
        <f>Logs_reseau[[#This Row],[Duree_Panne_Min]]/1440</f>
        <v>5.9722222222222225E-2</v>
      </c>
      <c r="E64">
        <v>86</v>
      </c>
      <c r="F64" t="s">
        <v>1</v>
      </c>
      <c r="G64" t="str">
        <f>IFERROR(VLOOKUP(Logs_reseau[[#This Row],[Cell_ID]],'[1]Registre_Maintenance_combine '!A:C,3,FALSE),"Non trouvé")</f>
        <v>Non trouvé</v>
      </c>
      <c r="H64" t="str">
        <f>IFERROR(VLOOKUP(Logs_reseau[[#This Row],[Cell_ID]],'[1]Registre_Maintenance_combine '!A:D,4,FALSE),"Non trouvé")</f>
        <v>Non trouvé</v>
      </c>
      <c r="I64" t="str">
        <f>IFERROR(VLOOKUP(Logs_reseau[[#This Row],[Cell_ID]],'[1]Registre_Maintenance_combine '!A:E,5,FALSE),"Non trouvé")</f>
        <v>Non trouvé</v>
      </c>
      <c r="J64" t="str">
        <f>IFERROR(VLOOKUP(Logs_reseau[[#This Row],[Cell_ID]],'[1]Registre_Maintenance_combine '!A:F,6,FALSE),"Non trouvé")</f>
        <v>Non trouvé</v>
      </c>
    </row>
    <row r="65" spans="1:10" x14ac:dyDescent="0.25">
      <c r="A65" t="str">
        <f>IFERROR(VLOOKUP(Logs_reseau[[#This Row],[Cell_ID]],'[1]Registre_Maintenance_combine '!A:B,2,FALSE),"Non trouvé")</f>
        <v>Non trouvé</v>
      </c>
      <c r="B65" t="s">
        <v>20</v>
      </c>
      <c r="C65" s="3">
        <v>45225.831250000003</v>
      </c>
      <c r="D65" s="11">
        <f>Logs_reseau[[#This Row],[Duree_Panne_Min]]/1440</f>
        <v>5.4166666666666669E-2</v>
      </c>
      <c r="E65">
        <v>78</v>
      </c>
      <c r="F65" t="s">
        <v>1</v>
      </c>
      <c r="G65" t="str">
        <f>IFERROR(VLOOKUP(Logs_reseau[[#This Row],[Cell_ID]],'[1]Registre_Maintenance_combine '!A:C,3,FALSE),"Non trouvé")</f>
        <v>Non trouvé</v>
      </c>
      <c r="H65" t="str">
        <f>IFERROR(VLOOKUP(Logs_reseau[[#This Row],[Cell_ID]],'[1]Registre_Maintenance_combine '!A:D,4,FALSE),"Non trouvé")</f>
        <v>Non trouvé</v>
      </c>
      <c r="I65" t="str">
        <f>IFERROR(VLOOKUP(Logs_reseau[[#This Row],[Cell_ID]],'[1]Registre_Maintenance_combine '!A:E,5,FALSE),"Non trouvé")</f>
        <v>Non trouvé</v>
      </c>
      <c r="J65" t="str">
        <f>IFERROR(VLOOKUP(Logs_reseau[[#This Row],[Cell_ID]],'[1]Registre_Maintenance_combine '!A:F,6,FALSE),"Non trouvé")</f>
        <v>Non trouvé</v>
      </c>
    </row>
    <row r="66" spans="1:10" x14ac:dyDescent="0.25">
      <c r="A66" t="str">
        <f>IFERROR(VLOOKUP(Logs_reseau[[#This Row],[Cell_ID]],'[1]Registre_Maintenance_combine '!A:B,2,FALSE),"Non trouvé")</f>
        <v>Non trouvé</v>
      </c>
      <c r="B66" t="s">
        <v>20</v>
      </c>
      <c r="C66" s="3">
        <v>45230.726388888892</v>
      </c>
      <c r="D66" s="11">
        <f>Logs_reseau[[#This Row],[Duree_Panne_Min]]/1440</f>
        <v>4.583333333333333E-2</v>
      </c>
      <c r="E66">
        <v>66</v>
      </c>
      <c r="F66" t="s">
        <v>4</v>
      </c>
      <c r="G66" t="str">
        <f>IFERROR(VLOOKUP(Logs_reseau[[#This Row],[Cell_ID]],'[1]Registre_Maintenance_combine '!A:C,3,FALSE),"Non trouvé")</f>
        <v>Non trouvé</v>
      </c>
      <c r="H66" t="str">
        <f>IFERROR(VLOOKUP(Logs_reseau[[#This Row],[Cell_ID]],'[1]Registre_Maintenance_combine '!A:D,4,FALSE),"Non trouvé")</f>
        <v>Non trouvé</v>
      </c>
      <c r="I66" t="str">
        <f>IFERROR(VLOOKUP(Logs_reseau[[#This Row],[Cell_ID]],'[1]Registre_Maintenance_combine '!A:E,5,FALSE),"Non trouvé")</f>
        <v>Non trouvé</v>
      </c>
      <c r="J66" t="str">
        <f>IFERROR(VLOOKUP(Logs_reseau[[#This Row],[Cell_ID]],'[1]Registre_Maintenance_combine '!A:F,6,FALSE),"Non trouvé")</f>
        <v>Non trouvé</v>
      </c>
    </row>
    <row r="67" spans="1:10" x14ac:dyDescent="0.25">
      <c r="A67" t="str">
        <f>IFERROR(VLOOKUP(Logs_reseau[[#This Row],[Cell_ID]],'[1]Registre_Maintenance_combine '!A:B,2,FALSE),"Non trouvé")</f>
        <v>Non trouvé</v>
      </c>
      <c r="B67" t="s">
        <v>20</v>
      </c>
      <c r="C67" s="3">
        <v>45215.811111111114</v>
      </c>
      <c r="D67" s="11">
        <f>Logs_reseau[[#This Row],[Duree_Panne_Min]]/1440</f>
        <v>4.7222222222222221E-2</v>
      </c>
      <c r="E67">
        <v>68</v>
      </c>
      <c r="F67" t="s">
        <v>1</v>
      </c>
      <c r="G67" t="str">
        <f>IFERROR(VLOOKUP(Logs_reseau[[#This Row],[Cell_ID]],'[1]Registre_Maintenance_combine '!A:C,3,FALSE),"Non trouvé")</f>
        <v>Non trouvé</v>
      </c>
      <c r="H67" t="str">
        <f>IFERROR(VLOOKUP(Logs_reseau[[#This Row],[Cell_ID]],'[1]Registre_Maintenance_combine '!A:D,4,FALSE),"Non trouvé")</f>
        <v>Non trouvé</v>
      </c>
      <c r="I67" t="str">
        <f>IFERROR(VLOOKUP(Logs_reseau[[#This Row],[Cell_ID]],'[1]Registre_Maintenance_combine '!A:E,5,FALSE),"Non trouvé")</f>
        <v>Non trouvé</v>
      </c>
      <c r="J67" t="str">
        <f>IFERROR(VLOOKUP(Logs_reseau[[#This Row],[Cell_ID]],'[1]Registre_Maintenance_combine '!A:F,6,FALSE),"Non trouvé")</f>
        <v>Non trouvé</v>
      </c>
    </row>
    <row r="68" spans="1:10" x14ac:dyDescent="0.25">
      <c r="A68" t="str">
        <f>IFERROR(VLOOKUP(Logs_reseau[[#This Row],[Cell_ID]],'[1]Registre_Maintenance_combine '!A:B,2,FALSE),"Non trouvé")</f>
        <v>Non trouvé</v>
      </c>
      <c r="B68" t="s">
        <v>21</v>
      </c>
      <c r="C68" s="3">
        <v>45218.543055555558</v>
      </c>
      <c r="D68" s="11">
        <f>Logs_reseau[[#This Row],[Duree_Panne_Min]]/1440</f>
        <v>7.013888888888889E-2</v>
      </c>
      <c r="E68">
        <v>101</v>
      </c>
      <c r="F68" t="s">
        <v>1</v>
      </c>
      <c r="G68" t="str">
        <f>IFERROR(VLOOKUP(Logs_reseau[[#This Row],[Cell_ID]],'[1]Registre_Maintenance_combine '!A:C,3,FALSE),"Non trouvé")</f>
        <v>Non trouvé</v>
      </c>
      <c r="H68" t="str">
        <f>IFERROR(VLOOKUP(Logs_reseau[[#This Row],[Cell_ID]],'[1]Registre_Maintenance_combine '!A:D,4,FALSE),"Non trouvé")</f>
        <v>Non trouvé</v>
      </c>
      <c r="I68" t="str">
        <f>IFERROR(VLOOKUP(Logs_reseau[[#This Row],[Cell_ID]],'[1]Registre_Maintenance_combine '!A:E,5,FALSE),"Non trouvé")</f>
        <v>Non trouvé</v>
      </c>
      <c r="J68" t="str">
        <f>IFERROR(VLOOKUP(Logs_reseau[[#This Row],[Cell_ID]],'[1]Registre_Maintenance_combine '!A:F,6,FALSE),"Non trouvé")</f>
        <v>Non trouvé</v>
      </c>
    </row>
    <row r="69" spans="1:10" x14ac:dyDescent="0.25">
      <c r="A69" t="str">
        <f>IFERROR(VLOOKUP(Logs_reseau[[#This Row],[Cell_ID]],'[1]Registre_Maintenance_combine '!A:B,2,FALSE),"Non trouvé")</f>
        <v>Non trouvé</v>
      </c>
      <c r="B69" t="s">
        <v>21</v>
      </c>
      <c r="C69" s="3">
        <v>45203.12222222222</v>
      </c>
      <c r="D69" s="11">
        <f>Logs_reseau[[#This Row],[Duree_Panne_Min]]/1440</f>
        <v>1.5277777777777777E-2</v>
      </c>
      <c r="E69">
        <v>22</v>
      </c>
      <c r="F69" t="s">
        <v>2</v>
      </c>
      <c r="G69" t="str">
        <f>IFERROR(VLOOKUP(Logs_reseau[[#This Row],[Cell_ID]],'[1]Registre_Maintenance_combine '!A:C,3,FALSE),"Non trouvé")</f>
        <v>Non trouvé</v>
      </c>
      <c r="H69" t="str">
        <f>IFERROR(VLOOKUP(Logs_reseau[[#This Row],[Cell_ID]],'[1]Registre_Maintenance_combine '!A:D,4,FALSE),"Non trouvé")</f>
        <v>Non trouvé</v>
      </c>
      <c r="I69" t="str">
        <f>IFERROR(VLOOKUP(Logs_reseau[[#This Row],[Cell_ID]],'[1]Registre_Maintenance_combine '!A:E,5,FALSE),"Non trouvé")</f>
        <v>Non trouvé</v>
      </c>
      <c r="J69" t="str">
        <f>IFERROR(VLOOKUP(Logs_reseau[[#This Row],[Cell_ID]],'[1]Registre_Maintenance_combine '!A:F,6,FALSE),"Non trouvé")</f>
        <v>Non trouvé</v>
      </c>
    </row>
    <row r="70" spans="1:10" x14ac:dyDescent="0.25">
      <c r="A70" t="str">
        <f>IFERROR(VLOOKUP(Logs_reseau[[#This Row],[Cell_ID]],'[1]Registre_Maintenance_combine '!A:B,2,FALSE),"Non trouvé")</f>
        <v>Non trouvé</v>
      </c>
      <c r="B70" t="s">
        <v>21</v>
      </c>
      <c r="C70" s="3">
        <v>45227.728472222225</v>
      </c>
      <c r="D70" s="11">
        <f>Logs_reseau[[#This Row],[Duree_Panne_Min]]/1440</f>
        <v>4.3749999999999997E-2</v>
      </c>
      <c r="E70">
        <v>63</v>
      </c>
      <c r="F70" t="s">
        <v>1</v>
      </c>
      <c r="G70" t="str">
        <f>IFERROR(VLOOKUP(Logs_reseau[[#This Row],[Cell_ID]],'[1]Registre_Maintenance_combine '!A:C,3,FALSE),"Non trouvé")</f>
        <v>Non trouvé</v>
      </c>
      <c r="H70" t="str">
        <f>IFERROR(VLOOKUP(Logs_reseau[[#This Row],[Cell_ID]],'[1]Registre_Maintenance_combine '!A:D,4,FALSE),"Non trouvé")</f>
        <v>Non trouvé</v>
      </c>
      <c r="I70" t="str">
        <f>IFERROR(VLOOKUP(Logs_reseau[[#This Row],[Cell_ID]],'[1]Registre_Maintenance_combine '!A:E,5,FALSE),"Non trouvé")</f>
        <v>Non trouvé</v>
      </c>
      <c r="J70" t="str">
        <f>IFERROR(VLOOKUP(Logs_reseau[[#This Row],[Cell_ID]],'[1]Registre_Maintenance_combine '!A:F,6,FALSE),"Non trouvé")</f>
        <v>Non trouvé</v>
      </c>
    </row>
    <row r="71" spans="1:10" x14ac:dyDescent="0.25">
      <c r="A71" t="str">
        <f>IFERROR(VLOOKUP(Logs_reseau[[#This Row],[Cell_ID]],'[1]Registre_Maintenance_combine '!A:B,2,FALSE),"Non trouvé")</f>
        <v>Non trouvé</v>
      </c>
      <c r="B71" t="s">
        <v>21</v>
      </c>
      <c r="C71" s="3">
        <v>45220.792361111111</v>
      </c>
      <c r="D71" s="11">
        <f>Logs_reseau[[#This Row],[Duree_Panne_Min]]/1440</f>
        <v>7.5694444444444439E-2</v>
      </c>
      <c r="E71">
        <v>109</v>
      </c>
      <c r="F71" t="s">
        <v>2</v>
      </c>
      <c r="G71" t="str">
        <f>IFERROR(VLOOKUP(Logs_reseau[[#This Row],[Cell_ID]],'[1]Registre_Maintenance_combine '!A:C,3,FALSE),"Non trouvé")</f>
        <v>Non trouvé</v>
      </c>
      <c r="H71" t="str">
        <f>IFERROR(VLOOKUP(Logs_reseau[[#This Row],[Cell_ID]],'[1]Registre_Maintenance_combine '!A:D,4,FALSE),"Non trouvé")</f>
        <v>Non trouvé</v>
      </c>
      <c r="I71" t="str">
        <f>IFERROR(VLOOKUP(Logs_reseau[[#This Row],[Cell_ID]],'[1]Registre_Maintenance_combine '!A:E,5,FALSE),"Non trouvé")</f>
        <v>Non trouvé</v>
      </c>
      <c r="J71" t="str">
        <f>IFERROR(VLOOKUP(Logs_reseau[[#This Row],[Cell_ID]],'[1]Registre_Maintenance_combine '!A:F,6,FALSE),"Non trouvé")</f>
        <v>Non trouvé</v>
      </c>
    </row>
    <row r="72" spans="1:10" x14ac:dyDescent="0.25">
      <c r="A72" t="str">
        <f>IFERROR(VLOOKUP(Logs_reseau[[#This Row],[Cell_ID]],'[1]Registre_Maintenance_combine '!A:B,2,FALSE),"Non trouvé")</f>
        <v>Kasai</v>
      </c>
      <c r="B72" t="s">
        <v>22</v>
      </c>
      <c r="C72" s="3">
        <v>45213.44027777778</v>
      </c>
      <c r="D72" s="11">
        <f>Logs_reseau[[#This Row],[Duree_Panne_Min]]/1440</f>
        <v>1.0416666666666666E-2</v>
      </c>
      <c r="E72">
        <v>15</v>
      </c>
      <c r="F72" t="s">
        <v>2</v>
      </c>
      <c r="G72">
        <f>IFERROR(VLOOKUP(Logs_reseau[[#This Row],[Cell_ID]],'[1]Registre_Maintenance_combine '!A:C,3,FALSE),"Non trouvé")</f>
        <v>-10.059846</v>
      </c>
      <c r="H72">
        <f>IFERROR(VLOOKUP(Logs_reseau[[#This Row],[Cell_ID]],'[1]Registre_Maintenance_combine '!A:D,4,FALSE),"Non trouvé")</f>
        <v>14.375757999999999</v>
      </c>
      <c r="I72" t="str">
        <f>IFERROR(VLOOKUP(Logs_reseau[[#This Row],[Cell_ID]],'[1]Registre_Maintenance_combine '!A:E,5,FALSE),"Non trouvé")</f>
        <v>4G</v>
      </c>
      <c r="J72" t="str">
        <f>IFERROR(VLOOKUP(Logs_reseau[[#This Row],[Cell_ID]],'[1]Registre_Maintenance_combine '!A:F,6,FALSE),"Non trouvé")</f>
        <v>Huawei</v>
      </c>
    </row>
    <row r="73" spans="1:10" x14ac:dyDescent="0.25">
      <c r="A73" t="str">
        <f>IFERROR(VLOOKUP(Logs_reseau[[#This Row],[Cell_ID]],'[1]Registre_Maintenance_combine '!A:B,2,FALSE),"Non trouvé")</f>
        <v>Kasai</v>
      </c>
      <c r="B73" t="s">
        <v>22</v>
      </c>
      <c r="C73" s="3">
        <v>45211.22152777778</v>
      </c>
      <c r="D73" s="11">
        <f>Logs_reseau[[#This Row],[Duree_Panne_Min]]/1440</f>
        <v>3.4722222222222224E-2</v>
      </c>
      <c r="E73">
        <v>50</v>
      </c>
      <c r="F73" t="s">
        <v>1</v>
      </c>
      <c r="G73">
        <f>IFERROR(VLOOKUP(Logs_reseau[[#This Row],[Cell_ID]],'[1]Registre_Maintenance_combine '!A:C,3,FALSE),"Non trouvé")</f>
        <v>-10.059846</v>
      </c>
      <c r="H73">
        <f>IFERROR(VLOOKUP(Logs_reseau[[#This Row],[Cell_ID]],'[1]Registre_Maintenance_combine '!A:D,4,FALSE),"Non trouvé")</f>
        <v>14.375757999999999</v>
      </c>
      <c r="I73" t="str">
        <f>IFERROR(VLOOKUP(Logs_reseau[[#This Row],[Cell_ID]],'[1]Registre_Maintenance_combine '!A:E,5,FALSE),"Non trouvé")</f>
        <v>4G</v>
      </c>
      <c r="J73" t="str">
        <f>IFERROR(VLOOKUP(Logs_reseau[[#This Row],[Cell_ID]],'[1]Registre_Maintenance_combine '!A:F,6,FALSE),"Non trouvé")</f>
        <v>Huawei</v>
      </c>
    </row>
    <row r="74" spans="1:10" x14ac:dyDescent="0.25">
      <c r="A74" t="str">
        <f>IFERROR(VLOOKUP(Logs_reseau[[#This Row],[Cell_ID]],'[1]Registre_Maintenance_combine '!A:B,2,FALSE),"Non trouvé")</f>
        <v>Kasai</v>
      </c>
      <c r="B74" t="s">
        <v>22</v>
      </c>
      <c r="C74" s="3">
        <v>45207.149305555555</v>
      </c>
      <c r="D74" s="11">
        <f>Logs_reseau[[#This Row],[Duree_Panne_Min]]/1440</f>
        <v>4.1666666666666664E-2</v>
      </c>
      <c r="E74">
        <v>60</v>
      </c>
      <c r="F74" t="s">
        <v>2</v>
      </c>
      <c r="G74">
        <f>IFERROR(VLOOKUP(Logs_reseau[[#This Row],[Cell_ID]],'[1]Registre_Maintenance_combine '!A:C,3,FALSE),"Non trouvé")</f>
        <v>-10.059846</v>
      </c>
      <c r="H74">
        <f>IFERROR(VLOOKUP(Logs_reseau[[#This Row],[Cell_ID]],'[1]Registre_Maintenance_combine '!A:D,4,FALSE),"Non trouvé")</f>
        <v>14.375757999999999</v>
      </c>
      <c r="I74" t="str">
        <f>IFERROR(VLOOKUP(Logs_reseau[[#This Row],[Cell_ID]],'[1]Registre_Maintenance_combine '!A:E,5,FALSE),"Non trouvé")</f>
        <v>4G</v>
      </c>
      <c r="J74" t="str">
        <f>IFERROR(VLOOKUP(Logs_reseau[[#This Row],[Cell_ID]],'[1]Registre_Maintenance_combine '!A:F,6,FALSE),"Non trouvé")</f>
        <v>Huawei</v>
      </c>
    </row>
    <row r="75" spans="1:10" x14ac:dyDescent="0.25">
      <c r="A75" t="str">
        <f>IFERROR(VLOOKUP(Logs_reseau[[#This Row],[Cell_ID]],'[1]Registre_Maintenance_combine '!A:B,2,FALSE),"Non trouvé")</f>
        <v>Kasai</v>
      </c>
      <c r="B75" t="s">
        <v>22</v>
      </c>
      <c r="C75" s="3">
        <v>45201.243055555555</v>
      </c>
      <c r="D75" s="11">
        <f>Logs_reseau[[#This Row],[Duree_Panne_Min]]/1440</f>
        <v>2.7777777777777776E-2</v>
      </c>
      <c r="E75">
        <v>40</v>
      </c>
      <c r="F75" t="s">
        <v>4</v>
      </c>
      <c r="G75">
        <f>IFERROR(VLOOKUP(Logs_reseau[[#This Row],[Cell_ID]],'[1]Registre_Maintenance_combine '!A:C,3,FALSE),"Non trouvé")</f>
        <v>-10.059846</v>
      </c>
      <c r="H75">
        <f>IFERROR(VLOOKUP(Logs_reseau[[#This Row],[Cell_ID]],'[1]Registre_Maintenance_combine '!A:D,4,FALSE),"Non trouvé")</f>
        <v>14.375757999999999</v>
      </c>
      <c r="I75" t="str">
        <f>IFERROR(VLOOKUP(Logs_reseau[[#This Row],[Cell_ID]],'[1]Registre_Maintenance_combine '!A:E,5,FALSE),"Non trouvé")</f>
        <v>4G</v>
      </c>
      <c r="J75" t="str">
        <f>IFERROR(VLOOKUP(Logs_reseau[[#This Row],[Cell_ID]],'[1]Registre_Maintenance_combine '!A:F,6,FALSE),"Non trouvé")</f>
        <v>Huawei</v>
      </c>
    </row>
    <row r="76" spans="1:10" x14ac:dyDescent="0.25">
      <c r="A76" t="str">
        <f>IFERROR(VLOOKUP(Logs_reseau[[#This Row],[Cell_ID]],'[1]Registre_Maintenance_combine '!A:B,2,FALSE),"Non trouvé")</f>
        <v>Kasai</v>
      </c>
      <c r="B76" t="s">
        <v>22</v>
      </c>
      <c r="C76" s="3">
        <v>45227.527083333334</v>
      </c>
      <c r="D76" s="11">
        <f>Logs_reseau[[#This Row],[Duree_Panne_Min]]/1440</f>
        <v>5.4166666666666669E-2</v>
      </c>
      <c r="E76">
        <v>78</v>
      </c>
      <c r="F76" t="s">
        <v>4</v>
      </c>
      <c r="G76">
        <f>IFERROR(VLOOKUP(Logs_reseau[[#This Row],[Cell_ID]],'[1]Registre_Maintenance_combine '!A:C,3,FALSE),"Non trouvé")</f>
        <v>-10.059846</v>
      </c>
      <c r="H76">
        <f>IFERROR(VLOOKUP(Logs_reseau[[#This Row],[Cell_ID]],'[1]Registre_Maintenance_combine '!A:D,4,FALSE),"Non trouvé")</f>
        <v>14.375757999999999</v>
      </c>
      <c r="I76" t="str">
        <f>IFERROR(VLOOKUP(Logs_reseau[[#This Row],[Cell_ID]],'[1]Registre_Maintenance_combine '!A:E,5,FALSE),"Non trouvé")</f>
        <v>4G</v>
      </c>
      <c r="J76" t="str">
        <f>IFERROR(VLOOKUP(Logs_reseau[[#This Row],[Cell_ID]],'[1]Registre_Maintenance_combine '!A:F,6,FALSE),"Non trouvé")</f>
        <v>Huawei</v>
      </c>
    </row>
    <row r="77" spans="1:10" x14ac:dyDescent="0.25">
      <c r="A77" t="str">
        <f>IFERROR(VLOOKUP(Logs_reseau[[#This Row],[Cell_ID]],'[1]Registre_Maintenance_combine '!A:B,2,FALSE),"Non trouvé")</f>
        <v>Non trouvé</v>
      </c>
      <c r="B77" t="s">
        <v>23</v>
      </c>
      <c r="C77" s="3">
        <v>45211.224305555559</v>
      </c>
      <c r="D77" s="11">
        <f>Logs_reseau[[#This Row],[Duree_Panne_Min]]/1440</f>
        <v>4.7222222222222221E-2</v>
      </c>
      <c r="E77">
        <v>68</v>
      </c>
      <c r="F77" t="s">
        <v>2</v>
      </c>
      <c r="G77" t="str">
        <f>IFERROR(VLOOKUP(Logs_reseau[[#This Row],[Cell_ID]],'[1]Registre_Maintenance_combine '!A:C,3,FALSE),"Non trouvé")</f>
        <v>Non trouvé</v>
      </c>
      <c r="H77" t="str">
        <f>IFERROR(VLOOKUP(Logs_reseau[[#This Row],[Cell_ID]],'[1]Registre_Maintenance_combine '!A:D,4,FALSE),"Non trouvé")</f>
        <v>Non trouvé</v>
      </c>
      <c r="I77" t="str">
        <f>IFERROR(VLOOKUP(Logs_reseau[[#This Row],[Cell_ID]],'[1]Registre_Maintenance_combine '!A:E,5,FALSE),"Non trouvé")</f>
        <v>Non trouvé</v>
      </c>
      <c r="J77" t="str">
        <f>IFERROR(VLOOKUP(Logs_reseau[[#This Row],[Cell_ID]],'[1]Registre_Maintenance_combine '!A:F,6,FALSE),"Non trouvé")</f>
        <v>Non trouvé</v>
      </c>
    </row>
    <row r="78" spans="1:10" x14ac:dyDescent="0.25">
      <c r="A78" t="str">
        <f>IFERROR(VLOOKUP(Logs_reseau[[#This Row],[Cell_ID]],'[1]Registre_Maintenance_combine '!A:B,2,FALSE),"Non trouvé")</f>
        <v>Non trouvé</v>
      </c>
      <c r="B78" t="s">
        <v>23</v>
      </c>
      <c r="C78" s="3">
        <v>45230.177777777775</v>
      </c>
      <c r="D78" s="11">
        <f>Logs_reseau[[#This Row],[Duree_Panne_Min]]/1440</f>
        <v>7.8472222222222221E-2</v>
      </c>
      <c r="E78">
        <v>113</v>
      </c>
      <c r="F78" t="s">
        <v>1</v>
      </c>
      <c r="G78" t="str">
        <f>IFERROR(VLOOKUP(Logs_reseau[[#This Row],[Cell_ID]],'[1]Registre_Maintenance_combine '!A:C,3,FALSE),"Non trouvé")</f>
        <v>Non trouvé</v>
      </c>
      <c r="H78" t="str">
        <f>IFERROR(VLOOKUP(Logs_reseau[[#This Row],[Cell_ID]],'[1]Registre_Maintenance_combine '!A:D,4,FALSE),"Non trouvé")</f>
        <v>Non trouvé</v>
      </c>
      <c r="I78" t="str">
        <f>IFERROR(VLOOKUP(Logs_reseau[[#This Row],[Cell_ID]],'[1]Registre_Maintenance_combine '!A:E,5,FALSE),"Non trouvé")</f>
        <v>Non trouvé</v>
      </c>
      <c r="J78" t="str">
        <f>IFERROR(VLOOKUP(Logs_reseau[[#This Row],[Cell_ID]],'[1]Registre_Maintenance_combine '!A:F,6,FALSE),"Non trouvé")</f>
        <v>Non trouvé</v>
      </c>
    </row>
    <row r="79" spans="1:10" x14ac:dyDescent="0.25">
      <c r="A79" t="str">
        <f>IFERROR(VLOOKUP(Logs_reseau[[#This Row],[Cell_ID]],'[1]Registre_Maintenance_combine '!A:B,2,FALSE),"Non trouvé")</f>
        <v>Non trouvé</v>
      </c>
      <c r="B79" t="s">
        <v>23</v>
      </c>
      <c r="C79" s="3">
        <v>45230.486111111109</v>
      </c>
      <c r="D79" s="11">
        <f>Logs_reseau[[#This Row],[Duree_Panne_Min]]/1440</f>
        <v>3.125E-2</v>
      </c>
      <c r="E79">
        <v>45</v>
      </c>
      <c r="F79" t="s">
        <v>2</v>
      </c>
      <c r="G79" t="str">
        <f>IFERROR(VLOOKUP(Logs_reseau[[#This Row],[Cell_ID]],'[1]Registre_Maintenance_combine '!A:C,3,FALSE),"Non trouvé")</f>
        <v>Non trouvé</v>
      </c>
      <c r="H79" t="str">
        <f>IFERROR(VLOOKUP(Logs_reseau[[#This Row],[Cell_ID]],'[1]Registre_Maintenance_combine '!A:D,4,FALSE),"Non trouvé")</f>
        <v>Non trouvé</v>
      </c>
      <c r="I79" t="str">
        <f>IFERROR(VLOOKUP(Logs_reseau[[#This Row],[Cell_ID]],'[1]Registre_Maintenance_combine '!A:E,5,FALSE),"Non trouvé")</f>
        <v>Non trouvé</v>
      </c>
      <c r="J79" t="str">
        <f>IFERROR(VLOOKUP(Logs_reseau[[#This Row],[Cell_ID]],'[1]Registre_Maintenance_combine '!A:F,6,FALSE),"Non trouvé")</f>
        <v>Non trouvé</v>
      </c>
    </row>
    <row r="80" spans="1:10" x14ac:dyDescent="0.25">
      <c r="A80" t="str">
        <f>IFERROR(VLOOKUP(Logs_reseau[[#This Row],[Cell_ID]],'[1]Registre_Maintenance_combine '!A:B,2,FALSE),"Non trouvé")</f>
        <v>Non trouvé</v>
      </c>
      <c r="B80" t="s">
        <v>23</v>
      </c>
      <c r="C80" s="3">
        <v>45228.59375</v>
      </c>
      <c r="D80" s="11">
        <f>Logs_reseau[[#This Row],[Duree_Panne_Min]]/1440</f>
        <v>2.9166666666666667E-2</v>
      </c>
      <c r="E80">
        <v>42</v>
      </c>
      <c r="F80" t="s">
        <v>4</v>
      </c>
      <c r="G80" t="str">
        <f>IFERROR(VLOOKUP(Logs_reseau[[#This Row],[Cell_ID]],'[1]Registre_Maintenance_combine '!A:C,3,FALSE),"Non trouvé")</f>
        <v>Non trouvé</v>
      </c>
      <c r="H80" t="str">
        <f>IFERROR(VLOOKUP(Logs_reseau[[#This Row],[Cell_ID]],'[1]Registre_Maintenance_combine '!A:D,4,FALSE),"Non trouvé")</f>
        <v>Non trouvé</v>
      </c>
      <c r="I80" t="str">
        <f>IFERROR(VLOOKUP(Logs_reseau[[#This Row],[Cell_ID]],'[1]Registre_Maintenance_combine '!A:E,5,FALSE),"Non trouvé")</f>
        <v>Non trouvé</v>
      </c>
      <c r="J80" t="str">
        <f>IFERROR(VLOOKUP(Logs_reseau[[#This Row],[Cell_ID]],'[1]Registre_Maintenance_combine '!A:F,6,FALSE),"Non trouvé")</f>
        <v>Non trouvé</v>
      </c>
    </row>
    <row r="81" spans="1:10" x14ac:dyDescent="0.25">
      <c r="A81" t="str">
        <f>IFERROR(VLOOKUP(Logs_reseau[[#This Row],[Cell_ID]],'[1]Registre_Maintenance_combine '!A:B,2,FALSE),"Non trouvé")</f>
        <v>Non trouvé</v>
      </c>
      <c r="B81" t="s">
        <v>23</v>
      </c>
      <c r="C81" s="3">
        <v>45209.954861111109</v>
      </c>
      <c r="D81" s="11">
        <f>Logs_reseau[[#This Row],[Duree_Panne_Min]]/1440</f>
        <v>5.2083333333333336E-2</v>
      </c>
      <c r="E81">
        <v>75</v>
      </c>
      <c r="F81" t="s">
        <v>1</v>
      </c>
      <c r="G81" t="str">
        <f>IFERROR(VLOOKUP(Logs_reseau[[#This Row],[Cell_ID]],'[1]Registre_Maintenance_combine '!A:C,3,FALSE),"Non trouvé")</f>
        <v>Non trouvé</v>
      </c>
      <c r="H81" t="str">
        <f>IFERROR(VLOOKUP(Logs_reseau[[#This Row],[Cell_ID]],'[1]Registre_Maintenance_combine '!A:D,4,FALSE),"Non trouvé")</f>
        <v>Non trouvé</v>
      </c>
      <c r="I81" t="str">
        <f>IFERROR(VLOOKUP(Logs_reseau[[#This Row],[Cell_ID]],'[1]Registre_Maintenance_combine '!A:E,5,FALSE),"Non trouvé")</f>
        <v>Non trouvé</v>
      </c>
      <c r="J81" t="str">
        <f>IFERROR(VLOOKUP(Logs_reseau[[#This Row],[Cell_ID]],'[1]Registre_Maintenance_combine '!A:F,6,FALSE),"Non trouvé")</f>
        <v>Non trouvé</v>
      </c>
    </row>
    <row r="82" spans="1:10" x14ac:dyDescent="0.25">
      <c r="A82" t="str">
        <f>IFERROR(VLOOKUP(Logs_reseau[[#This Row],[Cell_ID]],'[1]Registre_Maintenance_combine '!A:B,2,FALSE),"Non trouvé")</f>
        <v>Non trouvé</v>
      </c>
      <c r="B82" t="s">
        <v>24</v>
      </c>
      <c r="C82" s="3">
        <v>45207.530555555553</v>
      </c>
      <c r="D82" s="11">
        <f>Logs_reseau[[#This Row],[Duree_Panne_Min]]/1440</f>
        <v>1.7361111111111112E-2</v>
      </c>
      <c r="E82">
        <v>25</v>
      </c>
      <c r="F82" t="s">
        <v>1</v>
      </c>
      <c r="G82" t="str">
        <f>IFERROR(VLOOKUP(Logs_reseau[[#This Row],[Cell_ID]],'[1]Registre_Maintenance_combine '!A:C,3,FALSE),"Non trouvé")</f>
        <v>Non trouvé</v>
      </c>
      <c r="H82" t="str">
        <f>IFERROR(VLOOKUP(Logs_reseau[[#This Row],[Cell_ID]],'[1]Registre_Maintenance_combine '!A:D,4,FALSE),"Non trouvé")</f>
        <v>Non trouvé</v>
      </c>
      <c r="I82" t="str">
        <f>IFERROR(VLOOKUP(Logs_reseau[[#This Row],[Cell_ID]],'[1]Registre_Maintenance_combine '!A:E,5,FALSE),"Non trouvé")</f>
        <v>Non trouvé</v>
      </c>
      <c r="J82" t="str">
        <f>IFERROR(VLOOKUP(Logs_reseau[[#This Row],[Cell_ID]],'[1]Registre_Maintenance_combine '!A:F,6,FALSE),"Non trouvé")</f>
        <v>Non trouvé</v>
      </c>
    </row>
    <row r="83" spans="1:10" x14ac:dyDescent="0.25">
      <c r="A83" t="str">
        <f>IFERROR(VLOOKUP(Logs_reseau[[#This Row],[Cell_ID]],'[1]Registre_Maintenance_combine '!A:B,2,FALSE),"Non trouvé")</f>
        <v>Non trouvé</v>
      </c>
      <c r="B83" t="s">
        <v>24</v>
      </c>
      <c r="C83" s="3">
        <v>45209.892361111109</v>
      </c>
      <c r="D83" s="11">
        <f>Logs_reseau[[#This Row],[Duree_Panne_Min]]/1440</f>
        <v>1.5277777777777777E-2</v>
      </c>
      <c r="E83">
        <v>22</v>
      </c>
      <c r="F83" t="s">
        <v>2</v>
      </c>
      <c r="G83" t="str">
        <f>IFERROR(VLOOKUP(Logs_reseau[[#This Row],[Cell_ID]],'[1]Registre_Maintenance_combine '!A:C,3,FALSE),"Non trouvé")</f>
        <v>Non trouvé</v>
      </c>
      <c r="H83" t="str">
        <f>IFERROR(VLOOKUP(Logs_reseau[[#This Row],[Cell_ID]],'[1]Registre_Maintenance_combine '!A:D,4,FALSE),"Non trouvé")</f>
        <v>Non trouvé</v>
      </c>
      <c r="I83" t="str">
        <f>IFERROR(VLOOKUP(Logs_reseau[[#This Row],[Cell_ID]],'[1]Registre_Maintenance_combine '!A:E,5,FALSE),"Non trouvé")</f>
        <v>Non trouvé</v>
      </c>
      <c r="J83" t="str">
        <f>IFERROR(VLOOKUP(Logs_reseau[[#This Row],[Cell_ID]],'[1]Registre_Maintenance_combine '!A:F,6,FALSE),"Non trouvé")</f>
        <v>Non trouvé</v>
      </c>
    </row>
    <row r="84" spans="1:10" x14ac:dyDescent="0.25">
      <c r="A84" t="str">
        <f>IFERROR(VLOOKUP(Logs_reseau[[#This Row],[Cell_ID]],'[1]Registre_Maintenance_combine '!A:B,2,FALSE),"Non trouvé")</f>
        <v>Non trouvé</v>
      </c>
      <c r="B84" t="s">
        <v>24</v>
      </c>
      <c r="C84" s="3">
        <v>45213.05</v>
      </c>
      <c r="D84" s="11">
        <f>Logs_reseau[[#This Row],[Duree_Panne_Min]]/1440</f>
        <v>1.6666666666666666E-2</v>
      </c>
      <c r="E84">
        <v>24</v>
      </c>
      <c r="F84" t="s">
        <v>2</v>
      </c>
      <c r="G84" t="str">
        <f>IFERROR(VLOOKUP(Logs_reseau[[#This Row],[Cell_ID]],'[1]Registre_Maintenance_combine '!A:C,3,FALSE),"Non trouvé")</f>
        <v>Non trouvé</v>
      </c>
      <c r="H84" t="str">
        <f>IFERROR(VLOOKUP(Logs_reseau[[#This Row],[Cell_ID]],'[1]Registre_Maintenance_combine '!A:D,4,FALSE),"Non trouvé")</f>
        <v>Non trouvé</v>
      </c>
      <c r="I84" t="str">
        <f>IFERROR(VLOOKUP(Logs_reseau[[#This Row],[Cell_ID]],'[1]Registre_Maintenance_combine '!A:E,5,FALSE),"Non trouvé")</f>
        <v>Non trouvé</v>
      </c>
      <c r="J84" t="str">
        <f>IFERROR(VLOOKUP(Logs_reseau[[#This Row],[Cell_ID]],'[1]Registre_Maintenance_combine '!A:F,6,FALSE),"Non trouvé")</f>
        <v>Non trouvé</v>
      </c>
    </row>
    <row r="85" spans="1:10" x14ac:dyDescent="0.25">
      <c r="A85" t="str">
        <f>IFERROR(VLOOKUP(Logs_reseau[[#This Row],[Cell_ID]],'[1]Registre_Maintenance_combine '!A:B,2,FALSE),"Non trouvé")</f>
        <v>Non trouvé</v>
      </c>
      <c r="B85" t="s">
        <v>24</v>
      </c>
      <c r="C85" s="3">
        <v>45223.18472222222</v>
      </c>
      <c r="D85" s="11">
        <f>Logs_reseau[[#This Row],[Duree_Panne_Min]]/1440</f>
        <v>6.1111111111111109E-2</v>
      </c>
      <c r="E85">
        <v>88</v>
      </c>
      <c r="F85" t="s">
        <v>1</v>
      </c>
      <c r="G85" t="str">
        <f>IFERROR(VLOOKUP(Logs_reseau[[#This Row],[Cell_ID]],'[1]Registre_Maintenance_combine '!A:C,3,FALSE),"Non trouvé")</f>
        <v>Non trouvé</v>
      </c>
      <c r="H85" t="str">
        <f>IFERROR(VLOOKUP(Logs_reseau[[#This Row],[Cell_ID]],'[1]Registre_Maintenance_combine '!A:D,4,FALSE),"Non trouvé")</f>
        <v>Non trouvé</v>
      </c>
      <c r="I85" t="str">
        <f>IFERROR(VLOOKUP(Logs_reseau[[#This Row],[Cell_ID]],'[1]Registre_Maintenance_combine '!A:E,5,FALSE),"Non trouvé")</f>
        <v>Non trouvé</v>
      </c>
      <c r="J85" t="str">
        <f>IFERROR(VLOOKUP(Logs_reseau[[#This Row],[Cell_ID]],'[1]Registre_Maintenance_combine '!A:F,6,FALSE),"Non trouvé")</f>
        <v>Non trouvé</v>
      </c>
    </row>
    <row r="86" spans="1:10" x14ac:dyDescent="0.25">
      <c r="A86" t="str">
        <f>IFERROR(VLOOKUP(Logs_reseau[[#This Row],[Cell_ID]],'[1]Registre_Maintenance_combine '!A:B,2,FALSE),"Non trouvé")</f>
        <v>Non trouvé</v>
      </c>
      <c r="B86" t="s">
        <v>24</v>
      </c>
      <c r="C86" s="3">
        <v>45203.961111111108</v>
      </c>
      <c r="D86" s="11">
        <f>Logs_reseau[[#This Row],[Duree_Panne_Min]]/1440</f>
        <v>2.0833333333333332E-2</v>
      </c>
      <c r="E86">
        <v>30</v>
      </c>
      <c r="F86" t="s">
        <v>1</v>
      </c>
      <c r="G86" t="str">
        <f>IFERROR(VLOOKUP(Logs_reseau[[#This Row],[Cell_ID]],'[1]Registre_Maintenance_combine '!A:C,3,FALSE),"Non trouvé")</f>
        <v>Non trouvé</v>
      </c>
      <c r="H86" t="str">
        <f>IFERROR(VLOOKUP(Logs_reseau[[#This Row],[Cell_ID]],'[1]Registre_Maintenance_combine '!A:D,4,FALSE),"Non trouvé")</f>
        <v>Non trouvé</v>
      </c>
      <c r="I86" t="str">
        <f>IFERROR(VLOOKUP(Logs_reseau[[#This Row],[Cell_ID]],'[1]Registre_Maintenance_combine '!A:E,5,FALSE),"Non trouvé")</f>
        <v>Non trouvé</v>
      </c>
      <c r="J86" t="str">
        <f>IFERROR(VLOOKUP(Logs_reseau[[#This Row],[Cell_ID]],'[1]Registre_Maintenance_combine '!A:F,6,FALSE),"Non trouvé")</f>
        <v>Non trouvé</v>
      </c>
    </row>
    <row r="87" spans="1:10" x14ac:dyDescent="0.25">
      <c r="A87" t="str">
        <f>IFERROR(VLOOKUP(Logs_reseau[[#This Row],[Cell_ID]],'[1]Registre_Maintenance_combine '!A:B,2,FALSE),"Non trouvé")</f>
        <v>Non trouvé</v>
      </c>
      <c r="B87" t="s">
        <v>24</v>
      </c>
      <c r="C87" s="3">
        <v>45221.857638888891</v>
      </c>
      <c r="D87" s="11">
        <f>Logs_reseau[[#This Row],[Duree_Panne_Min]]/1440</f>
        <v>7.1527777777777773E-2</v>
      </c>
      <c r="E87">
        <v>103</v>
      </c>
      <c r="F87" t="s">
        <v>2</v>
      </c>
      <c r="G87" t="str">
        <f>IFERROR(VLOOKUP(Logs_reseau[[#This Row],[Cell_ID]],'[1]Registre_Maintenance_combine '!A:C,3,FALSE),"Non trouvé")</f>
        <v>Non trouvé</v>
      </c>
      <c r="H87" t="str">
        <f>IFERROR(VLOOKUP(Logs_reseau[[#This Row],[Cell_ID]],'[1]Registre_Maintenance_combine '!A:D,4,FALSE),"Non trouvé")</f>
        <v>Non trouvé</v>
      </c>
      <c r="I87" t="str">
        <f>IFERROR(VLOOKUP(Logs_reseau[[#This Row],[Cell_ID]],'[1]Registre_Maintenance_combine '!A:E,5,FALSE),"Non trouvé")</f>
        <v>Non trouvé</v>
      </c>
      <c r="J87" t="str">
        <f>IFERROR(VLOOKUP(Logs_reseau[[#This Row],[Cell_ID]],'[1]Registre_Maintenance_combine '!A:F,6,FALSE),"Non trouvé")</f>
        <v>Non trouvé</v>
      </c>
    </row>
    <row r="88" spans="1:10" x14ac:dyDescent="0.25">
      <c r="A88" t="str">
        <f>IFERROR(VLOOKUP(Logs_reseau[[#This Row],[Cell_ID]],'[1]Registre_Maintenance_combine '!A:B,2,FALSE),"Non trouvé")</f>
        <v>Non trouvé</v>
      </c>
      <c r="B88" t="s">
        <v>24</v>
      </c>
      <c r="C88" s="3">
        <v>45227.915277777778</v>
      </c>
      <c r="D88" s="11">
        <f>Logs_reseau[[#This Row],[Duree_Panne_Min]]/1440</f>
        <v>2.6388888888888889E-2</v>
      </c>
      <c r="E88">
        <v>38</v>
      </c>
      <c r="F88" t="s">
        <v>4</v>
      </c>
      <c r="G88" t="str">
        <f>IFERROR(VLOOKUP(Logs_reseau[[#This Row],[Cell_ID]],'[1]Registre_Maintenance_combine '!A:C,3,FALSE),"Non trouvé")</f>
        <v>Non trouvé</v>
      </c>
      <c r="H88" t="str">
        <f>IFERROR(VLOOKUP(Logs_reseau[[#This Row],[Cell_ID]],'[1]Registre_Maintenance_combine '!A:D,4,FALSE),"Non trouvé")</f>
        <v>Non trouvé</v>
      </c>
      <c r="I88" t="str">
        <f>IFERROR(VLOOKUP(Logs_reseau[[#This Row],[Cell_ID]],'[1]Registre_Maintenance_combine '!A:E,5,FALSE),"Non trouvé")</f>
        <v>Non trouvé</v>
      </c>
      <c r="J88" t="str">
        <f>IFERROR(VLOOKUP(Logs_reseau[[#This Row],[Cell_ID]],'[1]Registre_Maintenance_combine '!A:F,6,FALSE),"Non trouvé")</f>
        <v>Non trouvé</v>
      </c>
    </row>
    <row r="89" spans="1:10" x14ac:dyDescent="0.25">
      <c r="A89" t="str">
        <f>IFERROR(VLOOKUP(Logs_reseau[[#This Row],[Cell_ID]],'[1]Registre_Maintenance_combine '!A:B,2,FALSE),"Non trouvé")</f>
        <v>Non trouvé</v>
      </c>
      <c r="B89" t="s">
        <v>24</v>
      </c>
      <c r="C89" s="3">
        <v>45210.161805555559</v>
      </c>
      <c r="D89" s="11">
        <f>Logs_reseau[[#This Row],[Duree_Panne_Min]]/1440</f>
        <v>6.5972222222222224E-2</v>
      </c>
      <c r="E89">
        <v>95</v>
      </c>
      <c r="F89" t="s">
        <v>1</v>
      </c>
      <c r="G89" t="str">
        <f>IFERROR(VLOOKUP(Logs_reseau[[#This Row],[Cell_ID]],'[1]Registre_Maintenance_combine '!A:C,3,FALSE),"Non trouvé")</f>
        <v>Non trouvé</v>
      </c>
      <c r="H89" t="str">
        <f>IFERROR(VLOOKUP(Logs_reseau[[#This Row],[Cell_ID]],'[1]Registre_Maintenance_combine '!A:D,4,FALSE),"Non trouvé")</f>
        <v>Non trouvé</v>
      </c>
      <c r="I89" t="str">
        <f>IFERROR(VLOOKUP(Logs_reseau[[#This Row],[Cell_ID]],'[1]Registre_Maintenance_combine '!A:E,5,FALSE),"Non trouvé")</f>
        <v>Non trouvé</v>
      </c>
      <c r="J89" t="str">
        <f>IFERROR(VLOOKUP(Logs_reseau[[#This Row],[Cell_ID]],'[1]Registre_Maintenance_combine '!A:F,6,FALSE),"Non trouvé")</f>
        <v>Non trouvé</v>
      </c>
    </row>
    <row r="90" spans="1:10" x14ac:dyDescent="0.25">
      <c r="A90" t="str">
        <f>IFERROR(VLOOKUP(Logs_reseau[[#This Row],[Cell_ID]],'[1]Registre_Maintenance_combine '!A:B,2,FALSE),"Non trouvé")</f>
        <v>Haut-Lomami</v>
      </c>
      <c r="B90" t="s">
        <v>25</v>
      </c>
      <c r="C90" s="3">
        <v>45223.204861111109</v>
      </c>
      <c r="D90" s="11">
        <f>Logs_reseau[[#This Row],[Duree_Panne_Min]]/1440</f>
        <v>6.5972222222222224E-2</v>
      </c>
      <c r="E90">
        <v>95</v>
      </c>
      <c r="F90" t="s">
        <v>1</v>
      </c>
      <c r="G90">
        <f>IFERROR(VLOOKUP(Logs_reseau[[#This Row],[Cell_ID]],'[1]Registre_Maintenance_combine '!A:C,3,FALSE),"Non trouvé")</f>
        <v>-9.7801860000000005</v>
      </c>
      <c r="H90">
        <f>IFERROR(VLOOKUP(Logs_reseau[[#This Row],[Cell_ID]],'[1]Registre_Maintenance_combine '!A:D,4,FALSE),"Non trouvé")</f>
        <v>16.649550000000001</v>
      </c>
      <c r="I90" t="str">
        <f>IFERROR(VLOOKUP(Logs_reseau[[#This Row],[Cell_ID]],'[1]Registre_Maintenance_combine '!A:E,5,FALSE),"Non trouvé")</f>
        <v>5G</v>
      </c>
      <c r="J90" t="str">
        <f>IFERROR(VLOOKUP(Logs_reseau[[#This Row],[Cell_ID]],'[1]Registre_Maintenance_combine '!A:F,6,FALSE),"Non trouvé")</f>
        <v>Ericsson</v>
      </c>
    </row>
    <row r="91" spans="1:10" x14ac:dyDescent="0.25">
      <c r="A91" t="str">
        <f>IFERROR(VLOOKUP(Logs_reseau[[#This Row],[Cell_ID]],'[1]Registre_Maintenance_combine '!A:B,2,FALSE),"Non trouvé")</f>
        <v>Haut-Lomami</v>
      </c>
      <c r="B91" t="s">
        <v>25</v>
      </c>
      <c r="C91" s="3">
        <v>45217.520138888889</v>
      </c>
      <c r="D91" s="11">
        <f>Logs_reseau[[#This Row],[Duree_Panne_Min]]/1440</f>
        <v>4.027777777777778E-2</v>
      </c>
      <c r="E91">
        <v>58</v>
      </c>
      <c r="F91" t="s">
        <v>1</v>
      </c>
      <c r="G91">
        <f>IFERROR(VLOOKUP(Logs_reseau[[#This Row],[Cell_ID]],'[1]Registre_Maintenance_combine '!A:C,3,FALSE),"Non trouvé")</f>
        <v>-9.7801860000000005</v>
      </c>
      <c r="H91">
        <f>IFERROR(VLOOKUP(Logs_reseau[[#This Row],[Cell_ID]],'[1]Registre_Maintenance_combine '!A:D,4,FALSE),"Non trouvé")</f>
        <v>16.649550000000001</v>
      </c>
      <c r="I91" t="str">
        <f>IFERROR(VLOOKUP(Logs_reseau[[#This Row],[Cell_ID]],'[1]Registre_Maintenance_combine '!A:E,5,FALSE),"Non trouvé")</f>
        <v>5G</v>
      </c>
      <c r="J91" t="str">
        <f>IFERROR(VLOOKUP(Logs_reseau[[#This Row],[Cell_ID]],'[1]Registre_Maintenance_combine '!A:F,6,FALSE),"Non trouvé")</f>
        <v>Ericsson</v>
      </c>
    </row>
    <row r="92" spans="1:10" x14ac:dyDescent="0.25">
      <c r="A92" t="str">
        <f>IFERROR(VLOOKUP(Logs_reseau[[#This Row],[Cell_ID]],'[1]Registre_Maintenance_combine '!A:B,2,FALSE),"Non trouvé")</f>
        <v>Non trouvé</v>
      </c>
      <c r="B92" t="s">
        <v>26</v>
      </c>
      <c r="C92" s="3">
        <v>45209.800694444442</v>
      </c>
      <c r="D92" s="11">
        <f>Logs_reseau[[#This Row],[Duree_Panne_Min]]/1440</f>
        <v>6.5972222222222224E-2</v>
      </c>
      <c r="E92">
        <v>95</v>
      </c>
      <c r="F92" t="s">
        <v>1</v>
      </c>
      <c r="G92" t="str">
        <f>IFERROR(VLOOKUP(Logs_reseau[[#This Row],[Cell_ID]],'[1]Registre_Maintenance_combine '!A:C,3,FALSE),"Non trouvé")</f>
        <v>Non trouvé</v>
      </c>
      <c r="H92" t="str">
        <f>IFERROR(VLOOKUP(Logs_reseau[[#This Row],[Cell_ID]],'[1]Registre_Maintenance_combine '!A:D,4,FALSE),"Non trouvé")</f>
        <v>Non trouvé</v>
      </c>
      <c r="I92" t="str">
        <f>IFERROR(VLOOKUP(Logs_reseau[[#This Row],[Cell_ID]],'[1]Registre_Maintenance_combine '!A:E,5,FALSE),"Non trouvé")</f>
        <v>Non trouvé</v>
      </c>
      <c r="J92" t="str">
        <f>IFERROR(VLOOKUP(Logs_reseau[[#This Row],[Cell_ID]],'[1]Registre_Maintenance_combine '!A:F,6,FALSE),"Non trouvé")</f>
        <v>Non trouvé</v>
      </c>
    </row>
    <row r="93" spans="1:10" x14ac:dyDescent="0.25">
      <c r="A93" t="str">
        <f>IFERROR(VLOOKUP(Logs_reseau[[#This Row],[Cell_ID]],'[1]Registre_Maintenance_combine '!A:B,2,FALSE),"Non trouvé")</f>
        <v>Non trouvé</v>
      </c>
      <c r="B93" t="s">
        <v>26</v>
      </c>
      <c r="C93" s="3">
        <v>45215.265277777777</v>
      </c>
      <c r="D93" s="11">
        <f>Logs_reseau[[#This Row],[Duree_Panne_Min]]/1440</f>
        <v>2.5000000000000001E-2</v>
      </c>
      <c r="E93">
        <v>36</v>
      </c>
      <c r="F93" t="s">
        <v>4</v>
      </c>
      <c r="G93" t="str">
        <f>IFERROR(VLOOKUP(Logs_reseau[[#This Row],[Cell_ID]],'[1]Registre_Maintenance_combine '!A:C,3,FALSE),"Non trouvé")</f>
        <v>Non trouvé</v>
      </c>
      <c r="H93" t="str">
        <f>IFERROR(VLOOKUP(Logs_reseau[[#This Row],[Cell_ID]],'[1]Registre_Maintenance_combine '!A:D,4,FALSE),"Non trouvé")</f>
        <v>Non trouvé</v>
      </c>
      <c r="I93" t="str">
        <f>IFERROR(VLOOKUP(Logs_reseau[[#This Row],[Cell_ID]],'[1]Registre_Maintenance_combine '!A:E,5,FALSE),"Non trouvé")</f>
        <v>Non trouvé</v>
      </c>
      <c r="J93" t="str">
        <f>IFERROR(VLOOKUP(Logs_reseau[[#This Row],[Cell_ID]],'[1]Registre_Maintenance_combine '!A:F,6,FALSE),"Non trouvé")</f>
        <v>Non trouvé</v>
      </c>
    </row>
    <row r="94" spans="1:10" x14ac:dyDescent="0.25">
      <c r="A94" t="str">
        <f>IFERROR(VLOOKUP(Logs_reseau[[#This Row],[Cell_ID]],'[1]Registre_Maintenance_combine '!A:B,2,FALSE),"Non trouvé")</f>
        <v>Non trouvé</v>
      </c>
      <c r="B94" t="s">
        <v>26</v>
      </c>
      <c r="C94" s="3">
        <v>45229.145138888889</v>
      </c>
      <c r="D94" s="11">
        <f>Logs_reseau[[#This Row],[Duree_Panne_Min]]/1440</f>
        <v>7.7777777777777779E-2</v>
      </c>
      <c r="E94">
        <v>112</v>
      </c>
      <c r="F94" t="s">
        <v>4</v>
      </c>
      <c r="G94" t="str">
        <f>IFERROR(VLOOKUP(Logs_reseau[[#This Row],[Cell_ID]],'[1]Registre_Maintenance_combine '!A:C,3,FALSE),"Non trouvé")</f>
        <v>Non trouvé</v>
      </c>
      <c r="H94" t="str">
        <f>IFERROR(VLOOKUP(Logs_reseau[[#This Row],[Cell_ID]],'[1]Registre_Maintenance_combine '!A:D,4,FALSE),"Non trouvé")</f>
        <v>Non trouvé</v>
      </c>
      <c r="I94" t="str">
        <f>IFERROR(VLOOKUP(Logs_reseau[[#This Row],[Cell_ID]],'[1]Registre_Maintenance_combine '!A:E,5,FALSE),"Non trouvé")</f>
        <v>Non trouvé</v>
      </c>
      <c r="J94" t="str">
        <f>IFERROR(VLOOKUP(Logs_reseau[[#This Row],[Cell_ID]],'[1]Registre_Maintenance_combine '!A:F,6,FALSE),"Non trouvé")</f>
        <v>Non trouvé</v>
      </c>
    </row>
    <row r="95" spans="1:10" x14ac:dyDescent="0.25">
      <c r="A95" t="str">
        <f>IFERROR(VLOOKUP(Logs_reseau[[#This Row],[Cell_ID]],'[1]Registre_Maintenance_combine '!A:B,2,FALSE),"Non trouvé")</f>
        <v>Non trouvé</v>
      </c>
      <c r="B95" t="s">
        <v>26</v>
      </c>
      <c r="C95" s="3">
        <v>45218.509722222225</v>
      </c>
      <c r="D95" s="11">
        <f>Logs_reseau[[#This Row],[Duree_Panne_Min]]/1440</f>
        <v>7.3611111111111113E-2</v>
      </c>
      <c r="E95">
        <v>106</v>
      </c>
      <c r="F95" t="s">
        <v>4</v>
      </c>
      <c r="G95" t="str">
        <f>IFERROR(VLOOKUP(Logs_reseau[[#This Row],[Cell_ID]],'[1]Registre_Maintenance_combine '!A:C,3,FALSE),"Non trouvé")</f>
        <v>Non trouvé</v>
      </c>
      <c r="H95" t="str">
        <f>IFERROR(VLOOKUP(Logs_reseau[[#This Row],[Cell_ID]],'[1]Registre_Maintenance_combine '!A:D,4,FALSE),"Non trouvé")</f>
        <v>Non trouvé</v>
      </c>
      <c r="I95" t="str">
        <f>IFERROR(VLOOKUP(Logs_reseau[[#This Row],[Cell_ID]],'[1]Registre_Maintenance_combine '!A:E,5,FALSE),"Non trouvé")</f>
        <v>Non trouvé</v>
      </c>
      <c r="J95" t="str">
        <f>IFERROR(VLOOKUP(Logs_reseau[[#This Row],[Cell_ID]],'[1]Registre_Maintenance_combine '!A:F,6,FALSE),"Non trouvé")</f>
        <v>Non trouvé</v>
      </c>
    </row>
    <row r="96" spans="1:10" x14ac:dyDescent="0.25">
      <c r="A96" t="str">
        <f>IFERROR(VLOOKUP(Logs_reseau[[#This Row],[Cell_ID]],'[1]Registre_Maintenance_combine '!A:B,2,FALSE),"Non trouvé")</f>
        <v>Non trouvé</v>
      </c>
      <c r="B96" t="s">
        <v>27</v>
      </c>
      <c r="C96" s="3">
        <v>45202.780555555553</v>
      </c>
      <c r="D96" s="11">
        <f>Logs_reseau[[#This Row],[Duree_Panne_Min]]/1440</f>
        <v>3.125E-2</v>
      </c>
      <c r="E96">
        <v>45</v>
      </c>
      <c r="F96" t="s">
        <v>1</v>
      </c>
      <c r="G96" t="str">
        <f>IFERROR(VLOOKUP(Logs_reseau[[#This Row],[Cell_ID]],'[1]Registre_Maintenance_combine '!A:C,3,FALSE),"Non trouvé")</f>
        <v>Non trouvé</v>
      </c>
      <c r="H96" t="str">
        <f>IFERROR(VLOOKUP(Logs_reseau[[#This Row],[Cell_ID]],'[1]Registre_Maintenance_combine '!A:D,4,FALSE),"Non trouvé")</f>
        <v>Non trouvé</v>
      </c>
      <c r="I96" t="str">
        <f>IFERROR(VLOOKUP(Logs_reseau[[#This Row],[Cell_ID]],'[1]Registre_Maintenance_combine '!A:E,5,FALSE),"Non trouvé")</f>
        <v>Non trouvé</v>
      </c>
      <c r="J96" t="str">
        <f>IFERROR(VLOOKUP(Logs_reseau[[#This Row],[Cell_ID]],'[1]Registre_Maintenance_combine '!A:F,6,FALSE),"Non trouvé")</f>
        <v>Non trouvé</v>
      </c>
    </row>
    <row r="97" spans="1:10" x14ac:dyDescent="0.25">
      <c r="A97" t="str">
        <f>IFERROR(VLOOKUP(Logs_reseau[[#This Row],[Cell_ID]],'[1]Registre_Maintenance_combine '!A:B,2,FALSE),"Non trouvé")</f>
        <v>Non trouvé</v>
      </c>
      <c r="B97" t="s">
        <v>27</v>
      </c>
      <c r="C97" s="3">
        <v>45214.34652777778</v>
      </c>
      <c r="D97" s="11">
        <f>Logs_reseau[[#This Row],[Duree_Panne_Min]]/1440</f>
        <v>3.0555555555555555E-2</v>
      </c>
      <c r="E97">
        <v>44</v>
      </c>
      <c r="F97" t="s">
        <v>2</v>
      </c>
      <c r="G97" t="str">
        <f>IFERROR(VLOOKUP(Logs_reseau[[#This Row],[Cell_ID]],'[1]Registre_Maintenance_combine '!A:C,3,FALSE),"Non trouvé")</f>
        <v>Non trouvé</v>
      </c>
      <c r="H97" t="str">
        <f>IFERROR(VLOOKUP(Logs_reseau[[#This Row],[Cell_ID]],'[1]Registre_Maintenance_combine '!A:D,4,FALSE),"Non trouvé")</f>
        <v>Non trouvé</v>
      </c>
      <c r="I97" t="str">
        <f>IFERROR(VLOOKUP(Logs_reseau[[#This Row],[Cell_ID]],'[1]Registre_Maintenance_combine '!A:E,5,FALSE),"Non trouvé")</f>
        <v>Non trouvé</v>
      </c>
      <c r="J97" t="str">
        <f>IFERROR(VLOOKUP(Logs_reseau[[#This Row],[Cell_ID]],'[1]Registre_Maintenance_combine '!A:F,6,FALSE),"Non trouvé")</f>
        <v>Non trouvé</v>
      </c>
    </row>
    <row r="98" spans="1:10" x14ac:dyDescent="0.25">
      <c r="A98" t="str">
        <f>IFERROR(VLOOKUP(Logs_reseau[[#This Row],[Cell_ID]],'[1]Registre_Maintenance_combine '!A:B,2,FALSE),"Non trouvé")</f>
        <v>Non trouvé</v>
      </c>
      <c r="B98" t="s">
        <v>27</v>
      </c>
      <c r="C98" s="3">
        <v>45223.450694444444</v>
      </c>
      <c r="D98" s="11">
        <f>Logs_reseau[[#This Row],[Duree_Panne_Min]]/1440</f>
        <v>7.7777777777777779E-2</v>
      </c>
      <c r="E98">
        <v>112</v>
      </c>
      <c r="F98" t="s">
        <v>2</v>
      </c>
      <c r="G98" t="str">
        <f>IFERROR(VLOOKUP(Logs_reseau[[#This Row],[Cell_ID]],'[1]Registre_Maintenance_combine '!A:C,3,FALSE),"Non trouvé")</f>
        <v>Non trouvé</v>
      </c>
      <c r="H98" t="str">
        <f>IFERROR(VLOOKUP(Logs_reseau[[#This Row],[Cell_ID]],'[1]Registre_Maintenance_combine '!A:D,4,FALSE),"Non trouvé")</f>
        <v>Non trouvé</v>
      </c>
      <c r="I98" t="str">
        <f>IFERROR(VLOOKUP(Logs_reseau[[#This Row],[Cell_ID]],'[1]Registre_Maintenance_combine '!A:E,5,FALSE),"Non trouvé")</f>
        <v>Non trouvé</v>
      </c>
      <c r="J98" t="str">
        <f>IFERROR(VLOOKUP(Logs_reseau[[#This Row],[Cell_ID]],'[1]Registre_Maintenance_combine '!A:F,6,FALSE),"Non trouvé")</f>
        <v>Non trouvé</v>
      </c>
    </row>
    <row r="99" spans="1:10" x14ac:dyDescent="0.25">
      <c r="A99" t="str">
        <f>IFERROR(VLOOKUP(Logs_reseau[[#This Row],[Cell_ID]],'[1]Registre_Maintenance_combine '!A:B,2,FALSE),"Non trouvé")</f>
        <v>Non trouvé</v>
      </c>
      <c r="B99" t="s">
        <v>28</v>
      </c>
      <c r="C99" s="3">
        <v>45200.805555555555</v>
      </c>
      <c r="D99" s="11">
        <f>Logs_reseau[[#This Row],[Duree_Panne_Min]]/1440</f>
        <v>3.888888888888889E-2</v>
      </c>
      <c r="E99">
        <v>56</v>
      </c>
      <c r="F99" t="s">
        <v>2</v>
      </c>
      <c r="G99" t="str">
        <f>IFERROR(VLOOKUP(Logs_reseau[[#This Row],[Cell_ID]],'[1]Registre_Maintenance_combine '!A:C,3,FALSE),"Non trouvé")</f>
        <v>Non trouvé</v>
      </c>
      <c r="H99" t="str">
        <f>IFERROR(VLOOKUP(Logs_reseau[[#This Row],[Cell_ID]],'[1]Registre_Maintenance_combine '!A:D,4,FALSE),"Non trouvé")</f>
        <v>Non trouvé</v>
      </c>
      <c r="I99" t="str">
        <f>IFERROR(VLOOKUP(Logs_reseau[[#This Row],[Cell_ID]],'[1]Registre_Maintenance_combine '!A:E,5,FALSE),"Non trouvé")</f>
        <v>Non trouvé</v>
      </c>
      <c r="J99" t="str">
        <f>IFERROR(VLOOKUP(Logs_reseau[[#This Row],[Cell_ID]],'[1]Registre_Maintenance_combine '!A:F,6,FALSE),"Non trouvé")</f>
        <v>Non trouvé</v>
      </c>
    </row>
    <row r="100" spans="1:10" x14ac:dyDescent="0.25">
      <c r="A100" t="str">
        <f>IFERROR(VLOOKUP(Logs_reseau[[#This Row],[Cell_ID]],'[1]Registre_Maintenance_combine '!A:B,2,FALSE),"Non trouvé")</f>
        <v>Non trouvé</v>
      </c>
      <c r="B100" t="s">
        <v>28</v>
      </c>
      <c r="C100" s="3">
        <v>45213.112500000003</v>
      </c>
      <c r="D100" s="11">
        <f>Logs_reseau[[#This Row],[Duree_Panne_Min]]/1440</f>
        <v>5.2083333333333336E-2</v>
      </c>
      <c r="E100">
        <v>75</v>
      </c>
      <c r="F100" t="s">
        <v>2</v>
      </c>
      <c r="G100" t="str">
        <f>IFERROR(VLOOKUP(Logs_reseau[[#This Row],[Cell_ID]],'[1]Registre_Maintenance_combine '!A:C,3,FALSE),"Non trouvé")</f>
        <v>Non trouvé</v>
      </c>
      <c r="H100" t="str">
        <f>IFERROR(VLOOKUP(Logs_reseau[[#This Row],[Cell_ID]],'[1]Registre_Maintenance_combine '!A:D,4,FALSE),"Non trouvé")</f>
        <v>Non trouvé</v>
      </c>
      <c r="I100" t="str">
        <f>IFERROR(VLOOKUP(Logs_reseau[[#This Row],[Cell_ID]],'[1]Registre_Maintenance_combine '!A:E,5,FALSE),"Non trouvé")</f>
        <v>Non trouvé</v>
      </c>
      <c r="J100" t="str">
        <f>IFERROR(VLOOKUP(Logs_reseau[[#This Row],[Cell_ID]],'[1]Registre_Maintenance_combine '!A:F,6,FALSE),"Non trouvé")</f>
        <v>Non trouvé</v>
      </c>
    </row>
    <row r="101" spans="1:10" x14ac:dyDescent="0.25">
      <c r="A101" t="str">
        <f>IFERROR(VLOOKUP(Logs_reseau[[#This Row],[Cell_ID]],'[1]Registre_Maintenance_combine '!A:B,2,FALSE),"Non trouvé")</f>
        <v>Non trouvé</v>
      </c>
      <c r="B101" t="s">
        <v>28</v>
      </c>
      <c r="C101" s="3">
        <v>45203.718055555553</v>
      </c>
      <c r="D101" s="11">
        <f>Logs_reseau[[#This Row],[Duree_Panne_Min]]/1440</f>
        <v>4.3055555555555555E-2</v>
      </c>
      <c r="E101">
        <v>62</v>
      </c>
      <c r="F101" t="s">
        <v>1</v>
      </c>
      <c r="G101" t="str">
        <f>IFERROR(VLOOKUP(Logs_reseau[[#This Row],[Cell_ID]],'[1]Registre_Maintenance_combine '!A:C,3,FALSE),"Non trouvé")</f>
        <v>Non trouvé</v>
      </c>
      <c r="H101" t="str">
        <f>IFERROR(VLOOKUP(Logs_reseau[[#This Row],[Cell_ID]],'[1]Registre_Maintenance_combine '!A:D,4,FALSE),"Non trouvé")</f>
        <v>Non trouvé</v>
      </c>
      <c r="I101" t="str">
        <f>IFERROR(VLOOKUP(Logs_reseau[[#This Row],[Cell_ID]],'[1]Registre_Maintenance_combine '!A:E,5,FALSE),"Non trouvé")</f>
        <v>Non trouvé</v>
      </c>
      <c r="J101" t="str">
        <f>IFERROR(VLOOKUP(Logs_reseau[[#This Row],[Cell_ID]],'[1]Registre_Maintenance_combine '!A:F,6,FALSE),"Non trouvé")</f>
        <v>Non trouvé</v>
      </c>
    </row>
    <row r="102" spans="1:10" x14ac:dyDescent="0.25">
      <c r="A102" t="str">
        <f>IFERROR(VLOOKUP(Logs_reseau[[#This Row],[Cell_ID]],'[1]Registre_Maintenance_combine '!A:B,2,FALSE),"Non trouvé")</f>
        <v>Non trouvé</v>
      </c>
      <c r="B102" t="s">
        <v>28</v>
      </c>
      <c r="C102" s="3">
        <v>45224.740277777775</v>
      </c>
      <c r="D102" s="11">
        <f>Logs_reseau[[#This Row],[Duree_Panne_Min]]/1440</f>
        <v>7.6388888888888886E-3</v>
      </c>
      <c r="E102">
        <v>11</v>
      </c>
      <c r="F102" t="s">
        <v>1</v>
      </c>
      <c r="G102" t="str">
        <f>IFERROR(VLOOKUP(Logs_reseau[[#This Row],[Cell_ID]],'[1]Registre_Maintenance_combine '!A:C,3,FALSE),"Non trouvé")</f>
        <v>Non trouvé</v>
      </c>
      <c r="H102" t="str">
        <f>IFERROR(VLOOKUP(Logs_reseau[[#This Row],[Cell_ID]],'[1]Registre_Maintenance_combine '!A:D,4,FALSE),"Non trouvé")</f>
        <v>Non trouvé</v>
      </c>
      <c r="I102" t="str">
        <f>IFERROR(VLOOKUP(Logs_reseau[[#This Row],[Cell_ID]],'[1]Registre_Maintenance_combine '!A:E,5,FALSE),"Non trouvé")</f>
        <v>Non trouvé</v>
      </c>
      <c r="J102" t="str">
        <f>IFERROR(VLOOKUP(Logs_reseau[[#This Row],[Cell_ID]],'[1]Registre_Maintenance_combine '!A:F,6,FALSE),"Non trouvé")</f>
        <v>Non trouvé</v>
      </c>
    </row>
    <row r="103" spans="1:10" x14ac:dyDescent="0.25">
      <c r="A103" t="str">
        <f>IFERROR(VLOOKUP(Logs_reseau[[#This Row],[Cell_ID]],'[1]Registre_Maintenance_combine '!A:B,2,FALSE),"Non trouvé")</f>
        <v>Non trouvé</v>
      </c>
      <c r="B103" t="s">
        <v>29</v>
      </c>
      <c r="C103" s="3">
        <v>45204.508333333331</v>
      </c>
      <c r="D103" s="11">
        <f>Logs_reseau[[#This Row],[Duree_Panne_Min]]/1440</f>
        <v>5.0694444444444445E-2</v>
      </c>
      <c r="E103">
        <v>73</v>
      </c>
      <c r="F103" t="s">
        <v>1</v>
      </c>
      <c r="G103" t="str">
        <f>IFERROR(VLOOKUP(Logs_reseau[[#This Row],[Cell_ID]],'[1]Registre_Maintenance_combine '!A:C,3,FALSE),"Non trouvé")</f>
        <v>Non trouvé</v>
      </c>
      <c r="H103" t="str">
        <f>IFERROR(VLOOKUP(Logs_reseau[[#This Row],[Cell_ID]],'[1]Registre_Maintenance_combine '!A:D,4,FALSE),"Non trouvé")</f>
        <v>Non trouvé</v>
      </c>
      <c r="I103" t="str">
        <f>IFERROR(VLOOKUP(Logs_reseau[[#This Row],[Cell_ID]],'[1]Registre_Maintenance_combine '!A:E,5,FALSE),"Non trouvé")</f>
        <v>Non trouvé</v>
      </c>
      <c r="J103" t="str">
        <f>IFERROR(VLOOKUP(Logs_reseau[[#This Row],[Cell_ID]],'[1]Registre_Maintenance_combine '!A:F,6,FALSE),"Non trouvé")</f>
        <v>Non trouvé</v>
      </c>
    </row>
    <row r="104" spans="1:10" x14ac:dyDescent="0.25">
      <c r="A104" t="str">
        <f>IFERROR(VLOOKUP(Logs_reseau[[#This Row],[Cell_ID]],'[1]Registre_Maintenance_combine '!A:B,2,FALSE),"Non trouvé")</f>
        <v>Non trouvé</v>
      </c>
      <c r="B104" t="s">
        <v>29</v>
      </c>
      <c r="C104" s="3">
        <v>45217.640277777777</v>
      </c>
      <c r="D104" s="11">
        <f>Logs_reseau[[#This Row],[Duree_Panne_Min]]/1440</f>
        <v>6.3194444444444442E-2</v>
      </c>
      <c r="E104">
        <v>91</v>
      </c>
      <c r="F104" t="s">
        <v>2</v>
      </c>
      <c r="G104" t="str">
        <f>IFERROR(VLOOKUP(Logs_reseau[[#This Row],[Cell_ID]],'[1]Registre_Maintenance_combine '!A:C,3,FALSE),"Non trouvé")</f>
        <v>Non trouvé</v>
      </c>
      <c r="H104" t="str">
        <f>IFERROR(VLOOKUP(Logs_reseau[[#This Row],[Cell_ID]],'[1]Registre_Maintenance_combine '!A:D,4,FALSE),"Non trouvé")</f>
        <v>Non trouvé</v>
      </c>
      <c r="I104" t="str">
        <f>IFERROR(VLOOKUP(Logs_reseau[[#This Row],[Cell_ID]],'[1]Registre_Maintenance_combine '!A:E,5,FALSE),"Non trouvé")</f>
        <v>Non trouvé</v>
      </c>
      <c r="J104" t="str">
        <f>IFERROR(VLOOKUP(Logs_reseau[[#This Row],[Cell_ID]],'[1]Registre_Maintenance_combine '!A:F,6,FALSE),"Non trouvé")</f>
        <v>Non trouvé</v>
      </c>
    </row>
    <row r="105" spans="1:10" x14ac:dyDescent="0.25">
      <c r="A105" t="str">
        <f>IFERROR(VLOOKUP(Logs_reseau[[#This Row],[Cell_ID]],'[1]Registre_Maintenance_combine '!A:B,2,FALSE),"Non trouvé")</f>
        <v>Non trouvé</v>
      </c>
      <c r="B105" t="s">
        <v>29</v>
      </c>
      <c r="C105" s="3">
        <v>45203.35833333333</v>
      </c>
      <c r="D105" s="11">
        <f>Logs_reseau[[#This Row],[Duree_Panne_Min]]/1440</f>
        <v>2.8472222222222222E-2</v>
      </c>
      <c r="E105">
        <v>41</v>
      </c>
      <c r="F105" t="s">
        <v>2</v>
      </c>
      <c r="G105" t="str">
        <f>IFERROR(VLOOKUP(Logs_reseau[[#This Row],[Cell_ID]],'[1]Registre_Maintenance_combine '!A:C,3,FALSE),"Non trouvé")</f>
        <v>Non trouvé</v>
      </c>
      <c r="H105" t="str">
        <f>IFERROR(VLOOKUP(Logs_reseau[[#This Row],[Cell_ID]],'[1]Registre_Maintenance_combine '!A:D,4,FALSE),"Non trouvé")</f>
        <v>Non trouvé</v>
      </c>
      <c r="I105" t="str">
        <f>IFERROR(VLOOKUP(Logs_reseau[[#This Row],[Cell_ID]],'[1]Registre_Maintenance_combine '!A:E,5,FALSE),"Non trouvé")</f>
        <v>Non trouvé</v>
      </c>
      <c r="J105" t="str">
        <f>IFERROR(VLOOKUP(Logs_reseau[[#This Row],[Cell_ID]],'[1]Registre_Maintenance_combine '!A:F,6,FALSE),"Non trouvé")</f>
        <v>Non trouvé</v>
      </c>
    </row>
    <row r="106" spans="1:10" x14ac:dyDescent="0.25">
      <c r="A106" t="str">
        <f>IFERROR(VLOOKUP(Logs_reseau[[#This Row],[Cell_ID]],'[1]Registre_Maintenance_combine '!A:B,2,FALSE),"Non trouvé")</f>
        <v>Non trouvé</v>
      </c>
      <c r="B106" t="s">
        <v>29</v>
      </c>
      <c r="C106" s="3">
        <v>45227.847222222219</v>
      </c>
      <c r="D106" s="11">
        <f>Logs_reseau[[#This Row],[Duree_Panne_Min]]/1440</f>
        <v>7.9166666666666663E-2</v>
      </c>
      <c r="E106">
        <v>114</v>
      </c>
      <c r="F106" t="s">
        <v>2</v>
      </c>
      <c r="G106" t="str">
        <f>IFERROR(VLOOKUP(Logs_reseau[[#This Row],[Cell_ID]],'[1]Registre_Maintenance_combine '!A:C,3,FALSE),"Non trouvé")</f>
        <v>Non trouvé</v>
      </c>
      <c r="H106" t="str">
        <f>IFERROR(VLOOKUP(Logs_reseau[[#This Row],[Cell_ID]],'[1]Registre_Maintenance_combine '!A:D,4,FALSE),"Non trouvé")</f>
        <v>Non trouvé</v>
      </c>
      <c r="I106" t="str">
        <f>IFERROR(VLOOKUP(Logs_reseau[[#This Row],[Cell_ID]],'[1]Registre_Maintenance_combine '!A:E,5,FALSE),"Non trouvé")</f>
        <v>Non trouvé</v>
      </c>
      <c r="J106" t="str">
        <f>IFERROR(VLOOKUP(Logs_reseau[[#This Row],[Cell_ID]],'[1]Registre_Maintenance_combine '!A:F,6,FALSE),"Non trouvé")</f>
        <v>Non trouvé</v>
      </c>
    </row>
    <row r="107" spans="1:10" x14ac:dyDescent="0.25">
      <c r="A107" t="str">
        <f>IFERROR(VLOOKUP(Logs_reseau[[#This Row],[Cell_ID]],'[1]Registre_Maintenance_combine '!A:B,2,FALSE),"Non trouvé")</f>
        <v>Non trouvé</v>
      </c>
      <c r="B107" t="s">
        <v>29</v>
      </c>
      <c r="C107" s="3">
        <v>45226.84097222222</v>
      </c>
      <c r="D107" s="11">
        <f>Logs_reseau[[#This Row],[Duree_Panne_Min]]/1440</f>
        <v>8.3333333333333332E-3</v>
      </c>
      <c r="E107">
        <v>12</v>
      </c>
      <c r="F107" t="s">
        <v>4</v>
      </c>
      <c r="G107" t="str">
        <f>IFERROR(VLOOKUP(Logs_reseau[[#This Row],[Cell_ID]],'[1]Registre_Maintenance_combine '!A:C,3,FALSE),"Non trouvé")</f>
        <v>Non trouvé</v>
      </c>
      <c r="H107" t="str">
        <f>IFERROR(VLOOKUP(Logs_reseau[[#This Row],[Cell_ID]],'[1]Registre_Maintenance_combine '!A:D,4,FALSE),"Non trouvé")</f>
        <v>Non trouvé</v>
      </c>
      <c r="I107" t="str">
        <f>IFERROR(VLOOKUP(Logs_reseau[[#This Row],[Cell_ID]],'[1]Registre_Maintenance_combine '!A:E,5,FALSE),"Non trouvé")</f>
        <v>Non trouvé</v>
      </c>
      <c r="J107" t="str">
        <f>IFERROR(VLOOKUP(Logs_reseau[[#This Row],[Cell_ID]],'[1]Registre_Maintenance_combine '!A:F,6,FALSE),"Non trouvé")</f>
        <v>Non trouvé</v>
      </c>
    </row>
    <row r="108" spans="1:10" x14ac:dyDescent="0.25">
      <c r="A108" t="str">
        <f>IFERROR(VLOOKUP(Logs_reseau[[#This Row],[Cell_ID]],'[1]Registre_Maintenance_combine '!A:B,2,FALSE),"Non trouvé")</f>
        <v>Non trouvé</v>
      </c>
      <c r="B108" t="s">
        <v>30</v>
      </c>
      <c r="C108" s="3">
        <v>45230.925000000003</v>
      </c>
      <c r="D108" s="11">
        <f>Logs_reseau[[#This Row],[Duree_Panne_Min]]/1440</f>
        <v>6.6666666666666666E-2</v>
      </c>
      <c r="E108">
        <v>96</v>
      </c>
      <c r="F108" t="s">
        <v>2</v>
      </c>
      <c r="G108" t="str">
        <f>IFERROR(VLOOKUP(Logs_reseau[[#This Row],[Cell_ID]],'[1]Registre_Maintenance_combine '!A:C,3,FALSE),"Non trouvé")</f>
        <v>Non trouvé</v>
      </c>
      <c r="H108" t="str">
        <f>IFERROR(VLOOKUP(Logs_reseau[[#This Row],[Cell_ID]],'[1]Registre_Maintenance_combine '!A:D,4,FALSE),"Non trouvé")</f>
        <v>Non trouvé</v>
      </c>
      <c r="I108" t="str">
        <f>IFERROR(VLOOKUP(Logs_reseau[[#This Row],[Cell_ID]],'[1]Registre_Maintenance_combine '!A:E,5,FALSE),"Non trouvé")</f>
        <v>Non trouvé</v>
      </c>
      <c r="J108" t="str">
        <f>IFERROR(VLOOKUP(Logs_reseau[[#This Row],[Cell_ID]],'[1]Registre_Maintenance_combine '!A:F,6,FALSE),"Non trouvé")</f>
        <v>Non trouvé</v>
      </c>
    </row>
    <row r="109" spans="1:10" x14ac:dyDescent="0.25">
      <c r="A109" t="str">
        <f>IFERROR(VLOOKUP(Logs_reseau[[#This Row],[Cell_ID]],'[1]Registre_Maintenance_combine '!A:B,2,FALSE),"Non trouvé")</f>
        <v>Non trouvé</v>
      </c>
      <c r="B109" t="s">
        <v>30</v>
      </c>
      <c r="C109" s="3">
        <v>45202.328472222223</v>
      </c>
      <c r="D109" s="11">
        <f>Logs_reseau[[#This Row],[Duree_Panne_Min]]/1440</f>
        <v>6.8750000000000006E-2</v>
      </c>
      <c r="E109">
        <v>99</v>
      </c>
      <c r="F109" t="s">
        <v>2</v>
      </c>
      <c r="G109" t="str">
        <f>IFERROR(VLOOKUP(Logs_reseau[[#This Row],[Cell_ID]],'[1]Registre_Maintenance_combine '!A:C,3,FALSE),"Non trouvé")</f>
        <v>Non trouvé</v>
      </c>
      <c r="H109" t="str">
        <f>IFERROR(VLOOKUP(Logs_reseau[[#This Row],[Cell_ID]],'[1]Registre_Maintenance_combine '!A:D,4,FALSE),"Non trouvé")</f>
        <v>Non trouvé</v>
      </c>
      <c r="I109" t="str">
        <f>IFERROR(VLOOKUP(Logs_reseau[[#This Row],[Cell_ID]],'[1]Registre_Maintenance_combine '!A:E,5,FALSE),"Non trouvé")</f>
        <v>Non trouvé</v>
      </c>
      <c r="J109" t="str">
        <f>IFERROR(VLOOKUP(Logs_reseau[[#This Row],[Cell_ID]],'[1]Registre_Maintenance_combine '!A:F,6,FALSE),"Non trouvé")</f>
        <v>Non trouvé</v>
      </c>
    </row>
    <row r="110" spans="1:10" x14ac:dyDescent="0.25">
      <c r="A110" t="str">
        <f>IFERROR(VLOOKUP(Logs_reseau[[#This Row],[Cell_ID]],'[1]Registre_Maintenance_combine '!A:B,2,FALSE),"Non trouvé")</f>
        <v>Non trouvé</v>
      </c>
      <c r="B110" t="s">
        <v>30</v>
      </c>
      <c r="C110" s="3">
        <v>45222.353472222225</v>
      </c>
      <c r="D110" s="11">
        <f>Logs_reseau[[#This Row],[Duree_Panne_Min]]/1440</f>
        <v>2.1527777777777778E-2</v>
      </c>
      <c r="E110">
        <v>31</v>
      </c>
      <c r="F110" t="s">
        <v>4</v>
      </c>
      <c r="G110" t="str">
        <f>IFERROR(VLOOKUP(Logs_reseau[[#This Row],[Cell_ID]],'[1]Registre_Maintenance_combine '!A:C,3,FALSE),"Non trouvé")</f>
        <v>Non trouvé</v>
      </c>
      <c r="H110" t="str">
        <f>IFERROR(VLOOKUP(Logs_reseau[[#This Row],[Cell_ID]],'[1]Registre_Maintenance_combine '!A:D,4,FALSE),"Non trouvé")</f>
        <v>Non trouvé</v>
      </c>
      <c r="I110" t="str">
        <f>IFERROR(VLOOKUP(Logs_reseau[[#This Row],[Cell_ID]],'[1]Registre_Maintenance_combine '!A:E,5,FALSE),"Non trouvé")</f>
        <v>Non trouvé</v>
      </c>
      <c r="J110" t="str">
        <f>IFERROR(VLOOKUP(Logs_reseau[[#This Row],[Cell_ID]],'[1]Registre_Maintenance_combine '!A:F,6,FALSE),"Non trouvé")</f>
        <v>Non trouvé</v>
      </c>
    </row>
    <row r="111" spans="1:10" x14ac:dyDescent="0.25">
      <c r="A111" t="str">
        <f>IFERROR(VLOOKUP(Logs_reseau[[#This Row],[Cell_ID]],'[1]Registre_Maintenance_combine '!A:B,2,FALSE),"Non trouvé")</f>
        <v>Non trouvé</v>
      </c>
      <c r="B111" t="s">
        <v>30</v>
      </c>
      <c r="C111" s="3">
        <v>45215.617361111108</v>
      </c>
      <c r="D111" s="11">
        <f>Logs_reseau[[#This Row],[Duree_Panne_Min]]/1440</f>
        <v>7.6388888888888895E-2</v>
      </c>
      <c r="E111">
        <v>110</v>
      </c>
      <c r="F111" t="s">
        <v>2</v>
      </c>
      <c r="G111" t="str">
        <f>IFERROR(VLOOKUP(Logs_reseau[[#This Row],[Cell_ID]],'[1]Registre_Maintenance_combine '!A:C,3,FALSE),"Non trouvé")</f>
        <v>Non trouvé</v>
      </c>
      <c r="H111" t="str">
        <f>IFERROR(VLOOKUP(Logs_reseau[[#This Row],[Cell_ID]],'[1]Registre_Maintenance_combine '!A:D,4,FALSE),"Non trouvé")</f>
        <v>Non trouvé</v>
      </c>
      <c r="I111" t="str">
        <f>IFERROR(VLOOKUP(Logs_reseau[[#This Row],[Cell_ID]],'[1]Registre_Maintenance_combine '!A:E,5,FALSE),"Non trouvé")</f>
        <v>Non trouvé</v>
      </c>
      <c r="J111" t="str">
        <f>IFERROR(VLOOKUP(Logs_reseau[[#This Row],[Cell_ID]],'[1]Registre_Maintenance_combine '!A:F,6,FALSE),"Non trouvé")</f>
        <v>Non trouvé</v>
      </c>
    </row>
    <row r="112" spans="1:10" x14ac:dyDescent="0.25">
      <c r="A112" t="str">
        <f>IFERROR(VLOOKUP(Logs_reseau[[#This Row],[Cell_ID]],'[1]Registre_Maintenance_combine '!A:B,2,FALSE),"Non trouvé")</f>
        <v>Non trouvé</v>
      </c>
      <c r="B112" t="s">
        <v>30</v>
      </c>
      <c r="C112" s="3">
        <v>45222.162499999999</v>
      </c>
      <c r="D112" s="11">
        <f>Logs_reseau[[#This Row],[Duree_Panne_Min]]/1440</f>
        <v>5.9722222222222225E-2</v>
      </c>
      <c r="E112">
        <v>86</v>
      </c>
      <c r="F112" t="s">
        <v>2</v>
      </c>
      <c r="G112" t="str">
        <f>IFERROR(VLOOKUP(Logs_reseau[[#This Row],[Cell_ID]],'[1]Registre_Maintenance_combine '!A:C,3,FALSE),"Non trouvé")</f>
        <v>Non trouvé</v>
      </c>
      <c r="H112" t="str">
        <f>IFERROR(VLOOKUP(Logs_reseau[[#This Row],[Cell_ID]],'[1]Registre_Maintenance_combine '!A:D,4,FALSE),"Non trouvé")</f>
        <v>Non trouvé</v>
      </c>
      <c r="I112" t="str">
        <f>IFERROR(VLOOKUP(Logs_reseau[[#This Row],[Cell_ID]],'[1]Registre_Maintenance_combine '!A:E,5,FALSE),"Non trouvé")</f>
        <v>Non trouvé</v>
      </c>
      <c r="J112" t="str">
        <f>IFERROR(VLOOKUP(Logs_reseau[[#This Row],[Cell_ID]],'[1]Registre_Maintenance_combine '!A:F,6,FALSE),"Non trouvé")</f>
        <v>Non trouvé</v>
      </c>
    </row>
    <row r="113" spans="1:10" x14ac:dyDescent="0.25">
      <c r="A113" t="str">
        <f>IFERROR(VLOOKUP(Logs_reseau[[#This Row],[Cell_ID]],'[1]Registre_Maintenance_combine '!A:B,2,FALSE),"Non trouvé")</f>
        <v>Non trouvé</v>
      </c>
      <c r="B113" t="s">
        <v>30</v>
      </c>
      <c r="C113" s="3">
        <v>45201.009027777778</v>
      </c>
      <c r="D113" s="11">
        <f>Logs_reseau[[#This Row],[Duree_Panne_Min]]/1440</f>
        <v>2.9861111111111113E-2</v>
      </c>
      <c r="E113">
        <v>43</v>
      </c>
      <c r="F113" t="s">
        <v>4</v>
      </c>
      <c r="G113" t="str">
        <f>IFERROR(VLOOKUP(Logs_reseau[[#This Row],[Cell_ID]],'[1]Registre_Maintenance_combine '!A:C,3,FALSE),"Non trouvé")</f>
        <v>Non trouvé</v>
      </c>
      <c r="H113" t="str">
        <f>IFERROR(VLOOKUP(Logs_reseau[[#This Row],[Cell_ID]],'[1]Registre_Maintenance_combine '!A:D,4,FALSE),"Non trouvé")</f>
        <v>Non trouvé</v>
      </c>
      <c r="I113" t="str">
        <f>IFERROR(VLOOKUP(Logs_reseau[[#This Row],[Cell_ID]],'[1]Registre_Maintenance_combine '!A:E,5,FALSE),"Non trouvé")</f>
        <v>Non trouvé</v>
      </c>
      <c r="J113" t="str">
        <f>IFERROR(VLOOKUP(Logs_reseau[[#This Row],[Cell_ID]],'[1]Registre_Maintenance_combine '!A:F,6,FALSE),"Non trouvé")</f>
        <v>Non trouvé</v>
      </c>
    </row>
    <row r="114" spans="1:10" x14ac:dyDescent="0.25">
      <c r="A114" t="str">
        <f>IFERROR(VLOOKUP(Logs_reseau[[#This Row],[Cell_ID]],'[1]Registre_Maintenance_combine '!A:B,2,FALSE),"Non trouvé")</f>
        <v>Kinshasa</v>
      </c>
      <c r="B114" t="s">
        <v>31</v>
      </c>
      <c r="C114" s="3">
        <v>45205.583333333336</v>
      </c>
      <c r="D114" s="11">
        <f>Logs_reseau[[#This Row],[Duree_Panne_Min]]/1440</f>
        <v>3.4722222222222224E-2</v>
      </c>
      <c r="E114">
        <v>50</v>
      </c>
      <c r="F114" t="s">
        <v>4</v>
      </c>
      <c r="G114">
        <f>IFERROR(VLOOKUP(Logs_reseau[[#This Row],[Cell_ID]],'[1]Registre_Maintenance_combine '!A:C,3,FALSE),"Non trouvé")</f>
        <v>-10.227569000000001</v>
      </c>
      <c r="H114">
        <f>IFERROR(VLOOKUP(Logs_reseau[[#This Row],[Cell_ID]],'[1]Registre_Maintenance_combine '!A:D,4,FALSE),"Non trouvé")</f>
        <v>18.887930999999998</v>
      </c>
      <c r="I114" t="str">
        <f>IFERROR(VLOOKUP(Logs_reseau[[#This Row],[Cell_ID]],'[1]Registre_Maintenance_combine '!A:E,5,FALSE),"Non trouvé")</f>
        <v>3G</v>
      </c>
      <c r="J114" t="str">
        <f>IFERROR(VLOOKUP(Logs_reseau[[#This Row],[Cell_ID]],'[1]Registre_Maintenance_combine '!A:F,6,FALSE),"Non trouvé")</f>
        <v>ZTE</v>
      </c>
    </row>
    <row r="115" spans="1:10" x14ac:dyDescent="0.25">
      <c r="A115" t="str">
        <f>IFERROR(VLOOKUP(Logs_reseau[[#This Row],[Cell_ID]],'[1]Registre_Maintenance_combine '!A:B,2,FALSE),"Non trouvé")</f>
        <v>Kinshasa</v>
      </c>
      <c r="B115" t="s">
        <v>31</v>
      </c>
      <c r="C115" s="3">
        <v>45213.027083333334</v>
      </c>
      <c r="D115" s="11">
        <f>Logs_reseau[[#This Row],[Duree_Panne_Min]]/1440</f>
        <v>2.1527777777777778E-2</v>
      </c>
      <c r="E115">
        <v>31</v>
      </c>
      <c r="F115" t="s">
        <v>4</v>
      </c>
      <c r="G115">
        <f>IFERROR(VLOOKUP(Logs_reseau[[#This Row],[Cell_ID]],'[1]Registre_Maintenance_combine '!A:C,3,FALSE),"Non trouvé")</f>
        <v>-10.227569000000001</v>
      </c>
      <c r="H115">
        <f>IFERROR(VLOOKUP(Logs_reseau[[#This Row],[Cell_ID]],'[1]Registre_Maintenance_combine '!A:D,4,FALSE),"Non trouvé")</f>
        <v>18.887930999999998</v>
      </c>
      <c r="I115" t="str">
        <f>IFERROR(VLOOKUP(Logs_reseau[[#This Row],[Cell_ID]],'[1]Registre_Maintenance_combine '!A:E,5,FALSE),"Non trouvé")</f>
        <v>3G</v>
      </c>
      <c r="J115" t="str">
        <f>IFERROR(VLOOKUP(Logs_reseau[[#This Row],[Cell_ID]],'[1]Registre_Maintenance_combine '!A:F,6,FALSE),"Non trouvé")</f>
        <v>ZTE</v>
      </c>
    </row>
    <row r="116" spans="1:10" x14ac:dyDescent="0.25">
      <c r="A116" t="str">
        <f>IFERROR(VLOOKUP(Logs_reseau[[#This Row],[Cell_ID]],'[1]Registre_Maintenance_combine '!A:B,2,FALSE),"Non trouvé")</f>
        <v>Non trouvé</v>
      </c>
      <c r="B116" t="s">
        <v>32</v>
      </c>
      <c r="C116" s="3">
        <v>45214.488194444442</v>
      </c>
      <c r="D116" s="11">
        <f>Logs_reseau[[#This Row],[Duree_Panne_Min]]/1440</f>
        <v>5.7638888888888892E-2</v>
      </c>
      <c r="E116">
        <v>83</v>
      </c>
      <c r="F116" t="s">
        <v>1</v>
      </c>
      <c r="G116" t="str">
        <f>IFERROR(VLOOKUP(Logs_reseau[[#This Row],[Cell_ID]],'[1]Registre_Maintenance_combine '!A:C,3,FALSE),"Non trouvé")</f>
        <v>Non trouvé</v>
      </c>
      <c r="H116" t="str">
        <f>IFERROR(VLOOKUP(Logs_reseau[[#This Row],[Cell_ID]],'[1]Registre_Maintenance_combine '!A:D,4,FALSE),"Non trouvé")</f>
        <v>Non trouvé</v>
      </c>
      <c r="I116" t="str">
        <f>IFERROR(VLOOKUP(Logs_reseau[[#This Row],[Cell_ID]],'[1]Registre_Maintenance_combine '!A:E,5,FALSE),"Non trouvé")</f>
        <v>Non trouvé</v>
      </c>
      <c r="J116" t="str">
        <f>IFERROR(VLOOKUP(Logs_reseau[[#This Row],[Cell_ID]],'[1]Registre_Maintenance_combine '!A:F,6,FALSE),"Non trouvé")</f>
        <v>Non trouvé</v>
      </c>
    </row>
    <row r="117" spans="1:10" x14ac:dyDescent="0.25">
      <c r="A117" t="str">
        <f>IFERROR(VLOOKUP(Logs_reseau[[#This Row],[Cell_ID]],'[1]Registre_Maintenance_combine '!A:B,2,FALSE),"Non trouvé")</f>
        <v>Non trouvé</v>
      </c>
      <c r="B117" t="s">
        <v>32</v>
      </c>
      <c r="C117" s="3">
        <v>45200.832638888889</v>
      </c>
      <c r="D117" s="11">
        <f>Logs_reseau[[#This Row],[Duree_Panne_Min]]/1440</f>
        <v>1.1111111111111112E-2</v>
      </c>
      <c r="E117">
        <v>16</v>
      </c>
      <c r="F117" t="s">
        <v>4</v>
      </c>
      <c r="G117" t="str">
        <f>IFERROR(VLOOKUP(Logs_reseau[[#This Row],[Cell_ID]],'[1]Registre_Maintenance_combine '!A:C,3,FALSE),"Non trouvé")</f>
        <v>Non trouvé</v>
      </c>
      <c r="H117" t="str">
        <f>IFERROR(VLOOKUP(Logs_reseau[[#This Row],[Cell_ID]],'[1]Registre_Maintenance_combine '!A:D,4,FALSE),"Non trouvé")</f>
        <v>Non trouvé</v>
      </c>
      <c r="I117" t="str">
        <f>IFERROR(VLOOKUP(Logs_reseau[[#This Row],[Cell_ID]],'[1]Registre_Maintenance_combine '!A:E,5,FALSE),"Non trouvé")</f>
        <v>Non trouvé</v>
      </c>
      <c r="J117" t="str">
        <f>IFERROR(VLOOKUP(Logs_reseau[[#This Row],[Cell_ID]],'[1]Registre_Maintenance_combine '!A:F,6,FALSE),"Non trouvé")</f>
        <v>Non trouvé</v>
      </c>
    </row>
    <row r="118" spans="1:10" x14ac:dyDescent="0.25">
      <c r="A118" t="str">
        <f>IFERROR(VLOOKUP(Logs_reseau[[#This Row],[Cell_ID]],'[1]Registre_Maintenance_combine '!A:B,2,FALSE),"Non trouvé")</f>
        <v>Non trouvé</v>
      </c>
      <c r="B118" t="s">
        <v>32</v>
      </c>
      <c r="C118" s="3">
        <v>45209.904861111114</v>
      </c>
      <c r="D118" s="11">
        <f>Logs_reseau[[#This Row],[Duree_Panne_Min]]/1440</f>
        <v>2.9166666666666667E-2</v>
      </c>
      <c r="E118">
        <v>42</v>
      </c>
      <c r="F118" t="s">
        <v>1</v>
      </c>
      <c r="G118" t="str">
        <f>IFERROR(VLOOKUP(Logs_reseau[[#This Row],[Cell_ID]],'[1]Registre_Maintenance_combine '!A:C,3,FALSE),"Non trouvé")</f>
        <v>Non trouvé</v>
      </c>
      <c r="H118" t="str">
        <f>IFERROR(VLOOKUP(Logs_reseau[[#This Row],[Cell_ID]],'[1]Registre_Maintenance_combine '!A:D,4,FALSE),"Non trouvé")</f>
        <v>Non trouvé</v>
      </c>
      <c r="I118" t="str">
        <f>IFERROR(VLOOKUP(Logs_reseau[[#This Row],[Cell_ID]],'[1]Registre_Maintenance_combine '!A:E,5,FALSE),"Non trouvé")</f>
        <v>Non trouvé</v>
      </c>
      <c r="J118" t="str">
        <f>IFERROR(VLOOKUP(Logs_reseau[[#This Row],[Cell_ID]],'[1]Registre_Maintenance_combine '!A:F,6,FALSE),"Non trouvé")</f>
        <v>Non trouvé</v>
      </c>
    </row>
    <row r="119" spans="1:10" x14ac:dyDescent="0.25">
      <c r="A119" t="str">
        <f>IFERROR(VLOOKUP(Logs_reseau[[#This Row],[Cell_ID]],'[1]Registre_Maintenance_combine '!A:B,2,FALSE),"Non trouvé")</f>
        <v>Non trouvé</v>
      </c>
      <c r="B119" t="s">
        <v>32</v>
      </c>
      <c r="C119" s="3">
        <v>45211.37777777778</v>
      </c>
      <c r="D119" s="11">
        <f>Logs_reseau[[#This Row],[Duree_Panne_Min]]/1440</f>
        <v>3.1944444444444442E-2</v>
      </c>
      <c r="E119">
        <v>46</v>
      </c>
      <c r="F119" t="s">
        <v>4</v>
      </c>
      <c r="G119" t="str">
        <f>IFERROR(VLOOKUP(Logs_reseau[[#This Row],[Cell_ID]],'[1]Registre_Maintenance_combine '!A:C,3,FALSE),"Non trouvé")</f>
        <v>Non trouvé</v>
      </c>
      <c r="H119" t="str">
        <f>IFERROR(VLOOKUP(Logs_reseau[[#This Row],[Cell_ID]],'[1]Registre_Maintenance_combine '!A:D,4,FALSE),"Non trouvé")</f>
        <v>Non trouvé</v>
      </c>
      <c r="I119" t="str">
        <f>IFERROR(VLOOKUP(Logs_reseau[[#This Row],[Cell_ID]],'[1]Registre_Maintenance_combine '!A:E,5,FALSE),"Non trouvé")</f>
        <v>Non trouvé</v>
      </c>
      <c r="J119" t="str">
        <f>IFERROR(VLOOKUP(Logs_reseau[[#This Row],[Cell_ID]],'[1]Registre_Maintenance_combine '!A:F,6,FALSE),"Non trouvé")</f>
        <v>Non trouvé</v>
      </c>
    </row>
    <row r="120" spans="1:10" x14ac:dyDescent="0.25">
      <c r="A120" t="str">
        <f>IFERROR(VLOOKUP(Logs_reseau[[#This Row],[Cell_ID]],'[1]Registre_Maintenance_combine '!A:B,2,FALSE),"Non trouvé")</f>
        <v>Non trouvé</v>
      </c>
      <c r="B120" t="s">
        <v>32</v>
      </c>
      <c r="C120" s="3">
        <v>45205.052083333336</v>
      </c>
      <c r="D120" s="11">
        <f>Logs_reseau[[#This Row],[Duree_Panne_Min]]/1440</f>
        <v>3.7499999999999999E-2</v>
      </c>
      <c r="E120">
        <v>54</v>
      </c>
      <c r="F120" t="s">
        <v>1</v>
      </c>
      <c r="G120" t="str">
        <f>IFERROR(VLOOKUP(Logs_reseau[[#This Row],[Cell_ID]],'[1]Registre_Maintenance_combine '!A:C,3,FALSE),"Non trouvé")</f>
        <v>Non trouvé</v>
      </c>
      <c r="H120" t="str">
        <f>IFERROR(VLOOKUP(Logs_reseau[[#This Row],[Cell_ID]],'[1]Registre_Maintenance_combine '!A:D,4,FALSE),"Non trouvé")</f>
        <v>Non trouvé</v>
      </c>
      <c r="I120" t="str">
        <f>IFERROR(VLOOKUP(Logs_reseau[[#This Row],[Cell_ID]],'[1]Registre_Maintenance_combine '!A:E,5,FALSE),"Non trouvé")</f>
        <v>Non trouvé</v>
      </c>
      <c r="J120" t="str">
        <f>IFERROR(VLOOKUP(Logs_reseau[[#This Row],[Cell_ID]],'[1]Registre_Maintenance_combine '!A:F,6,FALSE),"Non trouvé")</f>
        <v>Non trouvé</v>
      </c>
    </row>
    <row r="121" spans="1:10" x14ac:dyDescent="0.25">
      <c r="A121" t="str">
        <f>IFERROR(VLOOKUP(Logs_reseau[[#This Row],[Cell_ID]],'[1]Registre_Maintenance_combine '!A:B,2,FALSE),"Non trouvé")</f>
        <v>Non trouvé</v>
      </c>
      <c r="B121" t="s">
        <v>32</v>
      </c>
      <c r="C121" s="3">
        <v>45209.724999999999</v>
      </c>
      <c r="D121" s="11">
        <f>Logs_reseau[[#This Row],[Duree_Panne_Min]]/1440</f>
        <v>1.3888888888888888E-2</v>
      </c>
      <c r="E121">
        <v>20</v>
      </c>
      <c r="F121" t="s">
        <v>2</v>
      </c>
      <c r="G121" t="str">
        <f>IFERROR(VLOOKUP(Logs_reseau[[#This Row],[Cell_ID]],'[1]Registre_Maintenance_combine '!A:C,3,FALSE),"Non trouvé")</f>
        <v>Non trouvé</v>
      </c>
      <c r="H121" t="str">
        <f>IFERROR(VLOOKUP(Logs_reseau[[#This Row],[Cell_ID]],'[1]Registre_Maintenance_combine '!A:D,4,FALSE),"Non trouvé")</f>
        <v>Non trouvé</v>
      </c>
      <c r="I121" t="str">
        <f>IFERROR(VLOOKUP(Logs_reseau[[#This Row],[Cell_ID]],'[1]Registre_Maintenance_combine '!A:E,5,FALSE),"Non trouvé")</f>
        <v>Non trouvé</v>
      </c>
      <c r="J121" t="str">
        <f>IFERROR(VLOOKUP(Logs_reseau[[#This Row],[Cell_ID]],'[1]Registre_Maintenance_combine '!A:F,6,FALSE),"Non trouvé")</f>
        <v>Non trouvé</v>
      </c>
    </row>
    <row r="122" spans="1:10" x14ac:dyDescent="0.25">
      <c r="A122" t="str">
        <f>IFERROR(VLOOKUP(Logs_reseau[[#This Row],[Cell_ID]],'[1]Registre_Maintenance_combine '!A:B,2,FALSE),"Non trouvé")</f>
        <v>Non trouvé</v>
      </c>
      <c r="B122" t="s">
        <v>32</v>
      </c>
      <c r="C122" s="3">
        <v>45213.237500000003</v>
      </c>
      <c r="D122" s="11">
        <f>Logs_reseau[[#This Row],[Duree_Panne_Min]]/1440</f>
        <v>5.486111111111111E-2</v>
      </c>
      <c r="E122">
        <v>79</v>
      </c>
      <c r="F122" t="s">
        <v>1</v>
      </c>
      <c r="G122" t="str">
        <f>IFERROR(VLOOKUP(Logs_reseau[[#This Row],[Cell_ID]],'[1]Registre_Maintenance_combine '!A:C,3,FALSE),"Non trouvé")</f>
        <v>Non trouvé</v>
      </c>
      <c r="H122" t="str">
        <f>IFERROR(VLOOKUP(Logs_reseau[[#This Row],[Cell_ID]],'[1]Registre_Maintenance_combine '!A:D,4,FALSE),"Non trouvé")</f>
        <v>Non trouvé</v>
      </c>
      <c r="I122" t="str">
        <f>IFERROR(VLOOKUP(Logs_reseau[[#This Row],[Cell_ID]],'[1]Registre_Maintenance_combine '!A:E,5,FALSE),"Non trouvé")</f>
        <v>Non trouvé</v>
      </c>
      <c r="J122" t="str">
        <f>IFERROR(VLOOKUP(Logs_reseau[[#This Row],[Cell_ID]],'[1]Registre_Maintenance_combine '!A:F,6,FALSE),"Non trouvé")</f>
        <v>Non trouvé</v>
      </c>
    </row>
    <row r="123" spans="1:10" x14ac:dyDescent="0.25">
      <c r="A123" t="str">
        <f>IFERROR(VLOOKUP(Logs_reseau[[#This Row],[Cell_ID]],'[1]Registre_Maintenance_combine '!A:B,2,FALSE),"Non trouvé")</f>
        <v>Non trouvé</v>
      </c>
      <c r="B123" t="s">
        <v>33</v>
      </c>
      <c r="C123" s="3">
        <v>45208.863888888889</v>
      </c>
      <c r="D123" s="11">
        <f>Logs_reseau[[#This Row],[Duree_Panne_Min]]/1440</f>
        <v>6.805555555555555E-2</v>
      </c>
      <c r="E123">
        <v>98</v>
      </c>
      <c r="F123" t="s">
        <v>1</v>
      </c>
      <c r="G123" t="str">
        <f>IFERROR(VLOOKUP(Logs_reseau[[#This Row],[Cell_ID]],'[1]Registre_Maintenance_combine '!A:C,3,FALSE),"Non trouvé")</f>
        <v>Non trouvé</v>
      </c>
      <c r="H123" t="str">
        <f>IFERROR(VLOOKUP(Logs_reseau[[#This Row],[Cell_ID]],'[1]Registre_Maintenance_combine '!A:D,4,FALSE),"Non trouvé")</f>
        <v>Non trouvé</v>
      </c>
      <c r="I123" t="str">
        <f>IFERROR(VLOOKUP(Logs_reseau[[#This Row],[Cell_ID]],'[1]Registre_Maintenance_combine '!A:E,5,FALSE),"Non trouvé")</f>
        <v>Non trouvé</v>
      </c>
      <c r="J123" t="str">
        <f>IFERROR(VLOOKUP(Logs_reseau[[#This Row],[Cell_ID]],'[1]Registre_Maintenance_combine '!A:F,6,FALSE),"Non trouvé")</f>
        <v>Non trouvé</v>
      </c>
    </row>
    <row r="124" spans="1:10" x14ac:dyDescent="0.25">
      <c r="A124" t="str">
        <f>IFERROR(VLOOKUP(Logs_reseau[[#This Row],[Cell_ID]],'[1]Registre_Maintenance_combine '!A:B,2,FALSE),"Non trouvé")</f>
        <v>Non trouvé</v>
      </c>
      <c r="B124" t="s">
        <v>33</v>
      </c>
      <c r="C124" s="3">
        <v>45221.993750000001</v>
      </c>
      <c r="D124" s="11">
        <f>Logs_reseau[[#This Row],[Duree_Panne_Min]]/1440</f>
        <v>9.0277777777777769E-3</v>
      </c>
      <c r="E124">
        <v>13</v>
      </c>
      <c r="F124" t="s">
        <v>4</v>
      </c>
      <c r="G124" t="str">
        <f>IFERROR(VLOOKUP(Logs_reseau[[#This Row],[Cell_ID]],'[1]Registre_Maintenance_combine '!A:C,3,FALSE),"Non trouvé")</f>
        <v>Non trouvé</v>
      </c>
      <c r="H124" t="str">
        <f>IFERROR(VLOOKUP(Logs_reseau[[#This Row],[Cell_ID]],'[1]Registre_Maintenance_combine '!A:D,4,FALSE),"Non trouvé")</f>
        <v>Non trouvé</v>
      </c>
      <c r="I124" t="str">
        <f>IFERROR(VLOOKUP(Logs_reseau[[#This Row],[Cell_ID]],'[1]Registre_Maintenance_combine '!A:E,5,FALSE),"Non trouvé")</f>
        <v>Non trouvé</v>
      </c>
      <c r="J124" t="str">
        <f>IFERROR(VLOOKUP(Logs_reseau[[#This Row],[Cell_ID]],'[1]Registre_Maintenance_combine '!A:F,6,FALSE),"Non trouvé")</f>
        <v>Non trouvé</v>
      </c>
    </row>
    <row r="125" spans="1:10" x14ac:dyDescent="0.25">
      <c r="A125" t="str">
        <f>IFERROR(VLOOKUP(Logs_reseau[[#This Row],[Cell_ID]],'[1]Registre_Maintenance_combine '!A:B,2,FALSE),"Non trouvé")</f>
        <v>Non trouvé</v>
      </c>
      <c r="B125" t="s">
        <v>33</v>
      </c>
      <c r="C125" s="3">
        <v>45230.863888888889</v>
      </c>
      <c r="D125" s="11">
        <f>Logs_reseau[[#This Row],[Duree_Panne_Min]]/1440</f>
        <v>2.4305555555555556E-2</v>
      </c>
      <c r="E125">
        <v>35</v>
      </c>
      <c r="F125" t="s">
        <v>4</v>
      </c>
      <c r="G125" t="str">
        <f>IFERROR(VLOOKUP(Logs_reseau[[#This Row],[Cell_ID]],'[1]Registre_Maintenance_combine '!A:C,3,FALSE),"Non trouvé")</f>
        <v>Non trouvé</v>
      </c>
      <c r="H125" t="str">
        <f>IFERROR(VLOOKUP(Logs_reseau[[#This Row],[Cell_ID]],'[1]Registre_Maintenance_combine '!A:D,4,FALSE),"Non trouvé")</f>
        <v>Non trouvé</v>
      </c>
      <c r="I125" t="str">
        <f>IFERROR(VLOOKUP(Logs_reseau[[#This Row],[Cell_ID]],'[1]Registre_Maintenance_combine '!A:E,5,FALSE),"Non trouvé")</f>
        <v>Non trouvé</v>
      </c>
      <c r="J125" t="str">
        <f>IFERROR(VLOOKUP(Logs_reseau[[#This Row],[Cell_ID]],'[1]Registre_Maintenance_combine '!A:F,6,FALSE),"Non trouvé")</f>
        <v>Non trouvé</v>
      </c>
    </row>
    <row r="126" spans="1:10" x14ac:dyDescent="0.25">
      <c r="A126" t="str">
        <f>IFERROR(VLOOKUP(Logs_reseau[[#This Row],[Cell_ID]],'[1]Registre_Maintenance_combine '!A:B,2,FALSE),"Non trouvé")</f>
        <v>Non trouvé</v>
      </c>
      <c r="B126" t="s">
        <v>34</v>
      </c>
      <c r="C126" s="3">
        <v>45202.290277777778</v>
      </c>
      <c r="D126" s="11">
        <f>Logs_reseau[[#This Row],[Duree_Panne_Min]]/1440</f>
        <v>7.6388888888888895E-2</v>
      </c>
      <c r="E126">
        <v>110</v>
      </c>
      <c r="F126" t="s">
        <v>1</v>
      </c>
      <c r="G126" t="str">
        <f>IFERROR(VLOOKUP(Logs_reseau[[#This Row],[Cell_ID]],'[1]Registre_Maintenance_combine '!A:C,3,FALSE),"Non trouvé")</f>
        <v>Non trouvé</v>
      </c>
      <c r="H126" t="str">
        <f>IFERROR(VLOOKUP(Logs_reseau[[#This Row],[Cell_ID]],'[1]Registre_Maintenance_combine '!A:D,4,FALSE),"Non trouvé")</f>
        <v>Non trouvé</v>
      </c>
      <c r="I126" t="str">
        <f>IFERROR(VLOOKUP(Logs_reseau[[#This Row],[Cell_ID]],'[1]Registre_Maintenance_combine '!A:E,5,FALSE),"Non trouvé")</f>
        <v>Non trouvé</v>
      </c>
      <c r="J126" t="str">
        <f>IFERROR(VLOOKUP(Logs_reseau[[#This Row],[Cell_ID]],'[1]Registre_Maintenance_combine '!A:F,6,FALSE),"Non trouvé")</f>
        <v>Non trouvé</v>
      </c>
    </row>
    <row r="127" spans="1:10" x14ac:dyDescent="0.25">
      <c r="A127" t="str">
        <f>IFERROR(VLOOKUP(Logs_reseau[[#This Row],[Cell_ID]],'[1]Registre_Maintenance_combine '!A:B,2,FALSE),"Non trouvé")</f>
        <v>Non trouvé</v>
      </c>
      <c r="B127" t="s">
        <v>35</v>
      </c>
      <c r="C127" s="3">
        <v>45229.813888888886</v>
      </c>
      <c r="D127" s="11">
        <f>Logs_reseau[[#This Row],[Duree_Panne_Min]]/1440</f>
        <v>4.6527777777777779E-2</v>
      </c>
      <c r="E127">
        <v>67</v>
      </c>
      <c r="F127" t="s">
        <v>2</v>
      </c>
      <c r="G127" t="str">
        <f>IFERROR(VLOOKUP(Logs_reseau[[#This Row],[Cell_ID]],'[1]Registre_Maintenance_combine '!A:C,3,FALSE),"Non trouvé")</f>
        <v>Non trouvé</v>
      </c>
      <c r="H127" t="str">
        <f>IFERROR(VLOOKUP(Logs_reseau[[#This Row],[Cell_ID]],'[1]Registre_Maintenance_combine '!A:D,4,FALSE),"Non trouvé")</f>
        <v>Non trouvé</v>
      </c>
      <c r="I127" t="str">
        <f>IFERROR(VLOOKUP(Logs_reseau[[#This Row],[Cell_ID]],'[1]Registre_Maintenance_combine '!A:E,5,FALSE),"Non trouvé")</f>
        <v>Non trouvé</v>
      </c>
      <c r="J127" t="str">
        <f>IFERROR(VLOOKUP(Logs_reseau[[#This Row],[Cell_ID]],'[1]Registre_Maintenance_combine '!A:F,6,FALSE),"Non trouvé")</f>
        <v>Non trouvé</v>
      </c>
    </row>
    <row r="128" spans="1:10" x14ac:dyDescent="0.25">
      <c r="A128" t="str">
        <f>IFERROR(VLOOKUP(Logs_reseau[[#This Row],[Cell_ID]],'[1]Registre_Maintenance_combine '!A:B,2,FALSE),"Non trouvé")</f>
        <v>Haut-Lomami</v>
      </c>
      <c r="B128" t="s">
        <v>36</v>
      </c>
      <c r="C128" s="3">
        <v>45214.713194444441</v>
      </c>
      <c r="D128" s="11">
        <f>Logs_reseau[[#This Row],[Duree_Panne_Min]]/1440</f>
        <v>4.1666666666666664E-2</v>
      </c>
      <c r="E128">
        <v>60</v>
      </c>
      <c r="F128" t="s">
        <v>2</v>
      </c>
      <c r="G128">
        <f>IFERROR(VLOOKUP(Logs_reseau[[#This Row],[Cell_ID]],'[1]Registre_Maintenance_combine '!A:C,3,FALSE),"Non trouvé")</f>
        <v>-6.3324319999999998</v>
      </c>
      <c r="H128">
        <f>IFERROR(VLOOKUP(Logs_reseau[[#This Row],[Cell_ID]],'[1]Registre_Maintenance_combine '!A:D,4,FALSE),"Non trouvé")</f>
        <v>24.887858000000001</v>
      </c>
      <c r="I128" t="str">
        <f>IFERROR(VLOOKUP(Logs_reseau[[#This Row],[Cell_ID]],'[1]Registre_Maintenance_combine '!A:E,5,FALSE),"Non trouvé")</f>
        <v>4G</v>
      </c>
      <c r="J128" t="str">
        <f>IFERROR(VLOOKUP(Logs_reseau[[#This Row],[Cell_ID]],'[1]Registre_Maintenance_combine '!A:F,6,FALSE),"Non trouvé")</f>
        <v>ZTE</v>
      </c>
    </row>
    <row r="129" spans="1:10" x14ac:dyDescent="0.25">
      <c r="A129" t="str">
        <f>IFERROR(VLOOKUP(Logs_reseau[[#This Row],[Cell_ID]],'[1]Registre_Maintenance_combine '!A:B,2,FALSE),"Non trouvé")</f>
        <v>Haut-Lomami</v>
      </c>
      <c r="B129" t="s">
        <v>36</v>
      </c>
      <c r="C129" s="3">
        <v>45219.840277777781</v>
      </c>
      <c r="D129" s="11">
        <f>Logs_reseau[[#This Row],[Duree_Panne_Min]]/1440</f>
        <v>2.7083333333333334E-2</v>
      </c>
      <c r="E129">
        <v>39</v>
      </c>
      <c r="F129" t="s">
        <v>1</v>
      </c>
      <c r="G129">
        <f>IFERROR(VLOOKUP(Logs_reseau[[#This Row],[Cell_ID]],'[1]Registre_Maintenance_combine '!A:C,3,FALSE),"Non trouvé")</f>
        <v>-6.3324319999999998</v>
      </c>
      <c r="H129">
        <f>IFERROR(VLOOKUP(Logs_reseau[[#This Row],[Cell_ID]],'[1]Registre_Maintenance_combine '!A:D,4,FALSE),"Non trouvé")</f>
        <v>24.887858000000001</v>
      </c>
      <c r="I129" t="str">
        <f>IFERROR(VLOOKUP(Logs_reseau[[#This Row],[Cell_ID]],'[1]Registre_Maintenance_combine '!A:E,5,FALSE),"Non trouvé")</f>
        <v>4G</v>
      </c>
      <c r="J129" t="str">
        <f>IFERROR(VLOOKUP(Logs_reseau[[#This Row],[Cell_ID]],'[1]Registre_Maintenance_combine '!A:F,6,FALSE),"Non trouvé")</f>
        <v>ZTE</v>
      </c>
    </row>
    <row r="130" spans="1:10" x14ac:dyDescent="0.25">
      <c r="A130" t="str">
        <f>IFERROR(VLOOKUP(Logs_reseau[[#This Row],[Cell_ID]],'[1]Registre_Maintenance_combine '!A:B,2,FALSE),"Non trouvé")</f>
        <v>Haut-Lomami</v>
      </c>
      <c r="B130" t="s">
        <v>36</v>
      </c>
      <c r="C130" s="3">
        <v>45202.307638888888</v>
      </c>
      <c r="D130" s="11">
        <f>Logs_reseau[[#This Row],[Duree_Panne_Min]]/1440</f>
        <v>6.5972222222222224E-2</v>
      </c>
      <c r="E130">
        <v>95</v>
      </c>
      <c r="F130" t="s">
        <v>4</v>
      </c>
      <c r="G130">
        <f>IFERROR(VLOOKUP(Logs_reseau[[#This Row],[Cell_ID]],'[1]Registre_Maintenance_combine '!A:C,3,FALSE),"Non trouvé")</f>
        <v>-6.3324319999999998</v>
      </c>
      <c r="H130">
        <f>IFERROR(VLOOKUP(Logs_reseau[[#This Row],[Cell_ID]],'[1]Registre_Maintenance_combine '!A:D,4,FALSE),"Non trouvé")</f>
        <v>24.887858000000001</v>
      </c>
      <c r="I130" t="str">
        <f>IFERROR(VLOOKUP(Logs_reseau[[#This Row],[Cell_ID]],'[1]Registre_Maintenance_combine '!A:E,5,FALSE),"Non trouvé")</f>
        <v>4G</v>
      </c>
      <c r="J130" t="str">
        <f>IFERROR(VLOOKUP(Logs_reseau[[#This Row],[Cell_ID]],'[1]Registre_Maintenance_combine '!A:F,6,FALSE),"Non trouvé")</f>
        <v>ZTE</v>
      </c>
    </row>
    <row r="131" spans="1:10" x14ac:dyDescent="0.25">
      <c r="A131" t="str">
        <f>IFERROR(VLOOKUP(Logs_reseau[[#This Row],[Cell_ID]],'[1]Registre_Maintenance_combine '!A:B,2,FALSE),"Non trouvé")</f>
        <v>Haut-Lomami</v>
      </c>
      <c r="B131" t="s">
        <v>36</v>
      </c>
      <c r="C131" s="3">
        <v>45227.383333333331</v>
      </c>
      <c r="D131" s="11">
        <f>Logs_reseau[[#This Row],[Duree_Panne_Min]]/1440</f>
        <v>3.9583333333333331E-2</v>
      </c>
      <c r="E131">
        <v>57</v>
      </c>
      <c r="F131" t="s">
        <v>4</v>
      </c>
      <c r="G131">
        <f>IFERROR(VLOOKUP(Logs_reseau[[#This Row],[Cell_ID]],'[1]Registre_Maintenance_combine '!A:C,3,FALSE),"Non trouvé")</f>
        <v>-6.3324319999999998</v>
      </c>
      <c r="H131">
        <f>IFERROR(VLOOKUP(Logs_reseau[[#This Row],[Cell_ID]],'[1]Registre_Maintenance_combine '!A:D,4,FALSE),"Non trouvé")</f>
        <v>24.887858000000001</v>
      </c>
      <c r="I131" t="str">
        <f>IFERROR(VLOOKUP(Logs_reseau[[#This Row],[Cell_ID]],'[1]Registre_Maintenance_combine '!A:E,5,FALSE),"Non trouvé")</f>
        <v>4G</v>
      </c>
      <c r="J131" t="str">
        <f>IFERROR(VLOOKUP(Logs_reseau[[#This Row],[Cell_ID]],'[1]Registre_Maintenance_combine '!A:F,6,FALSE),"Non trouvé")</f>
        <v>ZTE</v>
      </c>
    </row>
    <row r="132" spans="1:10" x14ac:dyDescent="0.25">
      <c r="A132" t="str">
        <f>IFERROR(VLOOKUP(Logs_reseau[[#This Row],[Cell_ID]],'[1]Registre_Maintenance_combine '!A:B,2,FALSE),"Non trouvé")</f>
        <v>Haut-Lomami</v>
      </c>
      <c r="B132" t="s">
        <v>36</v>
      </c>
      <c r="C132" s="3">
        <v>45220.277083333334</v>
      </c>
      <c r="D132" s="11">
        <f>Logs_reseau[[#This Row],[Duree_Panne_Min]]/1440</f>
        <v>2.1527777777777778E-2</v>
      </c>
      <c r="E132">
        <v>31</v>
      </c>
      <c r="F132" t="s">
        <v>1</v>
      </c>
      <c r="G132">
        <f>IFERROR(VLOOKUP(Logs_reseau[[#This Row],[Cell_ID]],'[1]Registre_Maintenance_combine '!A:C,3,FALSE),"Non trouvé")</f>
        <v>-6.3324319999999998</v>
      </c>
      <c r="H132">
        <f>IFERROR(VLOOKUP(Logs_reseau[[#This Row],[Cell_ID]],'[1]Registre_Maintenance_combine '!A:D,4,FALSE),"Non trouvé")</f>
        <v>24.887858000000001</v>
      </c>
      <c r="I132" t="str">
        <f>IFERROR(VLOOKUP(Logs_reseau[[#This Row],[Cell_ID]],'[1]Registre_Maintenance_combine '!A:E,5,FALSE),"Non trouvé")</f>
        <v>4G</v>
      </c>
      <c r="J132" t="str">
        <f>IFERROR(VLOOKUP(Logs_reseau[[#This Row],[Cell_ID]],'[1]Registre_Maintenance_combine '!A:F,6,FALSE),"Non trouvé")</f>
        <v>ZTE</v>
      </c>
    </row>
    <row r="133" spans="1:10" x14ac:dyDescent="0.25">
      <c r="A133" t="str">
        <f>IFERROR(VLOOKUP(Logs_reseau[[#This Row],[Cell_ID]],'[1]Registre_Maintenance_combine '!A:B,2,FALSE),"Non trouvé")</f>
        <v>Haut-Lomami</v>
      </c>
      <c r="B133" t="s">
        <v>36</v>
      </c>
      <c r="C133" s="3">
        <v>45202.779166666667</v>
      </c>
      <c r="D133" s="11">
        <f>Logs_reseau[[#This Row],[Duree_Panne_Min]]/1440</f>
        <v>3.5416666666666666E-2</v>
      </c>
      <c r="E133">
        <v>51</v>
      </c>
      <c r="F133" t="s">
        <v>1</v>
      </c>
      <c r="G133">
        <f>IFERROR(VLOOKUP(Logs_reseau[[#This Row],[Cell_ID]],'[1]Registre_Maintenance_combine '!A:C,3,FALSE),"Non trouvé")</f>
        <v>-6.3324319999999998</v>
      </c>
      <c r="H133">
        <f>IFERROR(VLOOKUP(Logs_reseau[[#This Row],[Cell_ID]],'[1]Registre_Maintenance_combine '!A:D,4,FALSE),"Non trouvé")</f>
        <v>24.887858000000001</v>
      </c>
      <c r="I133" t="str">
        <f>IFERROR(VLOOKUP(Logs_reseau[[#This Row],[Cell_ID]],'[1]Registre_Maintenance_combine '!A:E,5,FALSE),"Non trouvé")</f>
        <v>4G</v>
      </c>
      <c r="J133" t="str">
        <f>IFERROR(VLOOKUP(Logs_reseau[[#This Row],[Cell_ID]],'[1]Registre_Maintenance_combine '!A:F,6,FALSE),"Non trouvé")</f>
        <v>ZTE</v>
      </c>
    </row>
    <row r="134" spans="1:10" x14ac:dyDescent="0.25">
      <c r="A134" t="str">
        <f>IFERROR(VLOOKUP(Logs_reseau[[#This Row],[Cell_ID]],'[1]Registre_Maintenance_combine '!A:B,2,FALSE),"Non trouvé")</f>
        <v>Haut-Lomami</v>
      </c>
      <c r="B134" t="s">
        <v>36</v>
      </c>
      <c r="C134" s="3">
        <v>45206.797222222223</v>
      </c>
      <c r="D134" s="11">
        <f>Logs_reseau[[#This Row],[Duree_Panne_Min]]/1440</f>
        <v>7.4305555555555555E-2</v>
      </c>
      <c r="E134">
        <v>107</v>
      </c>
      <c r="F134" t="s">
        <v>2</v>
      </c>
      <c r="G134">
        <f>IFERROR(VLOOKUP(Logs_reseau[[#This Row],[Cell_ID]],'[1]Registre_Maintenance_combine '!A:C,3,FALSE),"Non trouvé")</f>
        <v>-6.3324319999999998</v>
      </c>
      <c r="H134">
        <f>IFERROR(VLOOKUP(Logs_reseau[[#This Row],[Cell_ID]],'[1]Registre_Maintenance_combine '!A:D,4,FALSE),"Non trouvé")</f>
        <v>24.887858000000001</v>
      </c>
      <c r="I134" t="str">
        <f>IFERROR(VLOOKUP(Logs_reseau[[#This Row],[Cell_ID]],'[1]Registre_Maintenance_combine '!A:E,5,FALSE),"Non trouvé")</f>
        <v>4G</v>
      </c>
      <c r="J134" t="str">
        <f>IFERROR(VLOOKUP(Logs_reseau[[#This Row],[Cell_ID]],'[1]Registre_Maintenance_combine '!A:F,6,FALSE),"Non trouvé")</f>
        <v>ZTE</v>
      </c>
    </row>
    <row r="135" spans="1:10" x14ac:dyDescent="0.25">
      <c r="A135" t="str">
        <f>IFERROR(VLOOKUP(Logs_reseau[[#This Row],[Cell_ID]],'[1]Registre_Maintenance_combine '!A:B,2,FALSE),"Non trouvé")</f>
        <v>Non trouvé</v>
      </c>
      <c r="B135" t="s">
        <v>37</v>
      </c>
      <c r="C135" s="3">
        <v>45218.718055555553</v>
      </c>
      <c r="D135" s="11">
        <f>Logs_reseau[[#This Row],[Duree_Panne_Min]]/1440</f>
        <v>6.0416666666666667E-2</v>
      </c>
      <c r="E135">
        <v>87</v>
      </c>
      <c r="F135" t="s">
        <v>1</v>
      </c>
      <c r="G135" t="str">
        <f>IFERROR(VLOOKUP(Logs_reseau[[#This Row],[Cell_ID]],'[1]Registre_Maintenance_combine '!A:C,3,FALSE),"Non trouvé")</f>
        <v>Non trouvé</v>
      </c>
      <c r="H135" t="str">
        <f>IFERROR(VLOOKUP(Logs_reseau[[#This Row],[Cell_ID]],'[1]Registre_Maintenance_combine '!A:D,4,FALSE),"Non trouvé")</f>
        <v>Non trouvé</v>
      </c>
      <c r="I135" t="str">
        <f>IFERROR(VLOOKUP(Logs_reseau[[#This Row],[Cell_ID]],'[1]Registre_Maintenance_combine '!A:E,5,FALSE),"Non trouvé")</f>
        <v>Non trouvé</v>
      </c>
      <c r="J135" t="str">
        <f>IFERROR(VLOOKUP(Logs_reseau[[#This Row],[Cell_ID]],'[1]Registre_Maintenance_combine '!A:F,6,FALSE),"Non trouvé")</f>
        <v>Non trouvé</v>
      </c>
    </row>
    <row r="136" spans="1:10" x14ac:dyDescent="0.25">
      <c r="A136" t="str">
        <f>IFERROR(VLOOKUP(Logs_reseau[[#This Row],[Cell_ID]],'[1]Registre_Maintenance_combine '!A:B,2,FALSE),"Non trouvé")</f>
        <v>Non trouvé</v>
      </c>
      <c r="B136" t="s">
        <v>37</v>
      </c>
      <c r="C136" s="3">
        <v>45220.367361111108</v>
      </c>
      <c r="D136" s="11">
        <f>Logs_reseau[[#This Row],[Duree_Panne_Min]]/1440</f>
        <v>6.7361111111111108E-2</v>
      </c>
      <c r="E136">
        <v>97</v>
      </c>
      <c r="F136" t="s">
        <v>2</v>
      </c>
      <c r="G136" t="str">
        <f>IFERROR(VLOOKUP(Logs_reseau[[#This Row],[Cell_ID]],'[1]Registre_Maintenance_combine '!A:C,3,FALSE),"Non trouvé")</f>
        <v>Non trouvé</v>
      </c>
      <c r="H136" t="str">
        <f>IFERROR(VLOOKUP(Logs_reseau[[#This Row],[Cell_ID]],'[1]Registre_Maintenance_combine '!A:D,4,FALSE),"Non trouvé")</f>
        <v>Non trouvé</v>
      </c>
      <c r="I136" t="str">
        <f>IFERROR(VLOOKUP(Logs_reseau[[#This Row],[Cell_ID]],'[1]Registre_Maintenance_combine '!A:E,5,FALSE),"Non trouvé")</f>
        <v>Non trouvé</v>
      </c>
      <c r="J136" t="str">
        <f>IFERROR(VLOOKUP(Logs_reseau[[#This Row],[Cell_ID]],'[1]Registre_Maintenance_combine '!A:F,6,FALSE),"Non trouvé")</f>
        <v>Non trouvé</v>
      </c>
    </row>
    <row r="137" spans="1:10" x14ac:dyDescent="0.25">
      <c r="A137" t="str">
        <f>IFERROR(VLOOKUP(Logs_reseau[[#This Row],[Cell_ID]],'[1]Registre_Maintenance_combine '!A:B,2,FALSE),"Non trouvé")</f>
        <v>Non trouvé</v>
      </c>
      <c r="B137" t="s">
        <v>37</v>
      </c>
      <c r="C137" s="3">
        <v>45209.537499999999</v>
      </c>
      <c r="D137" s="11">
        <f>Logs_reseau[[#This Row],[Duree_Panne_Min]]/1440</f>
        <v>6.1111111111111109E-2</v>
      </c>
      <c r="E137">
        <v>88</v>
      </c>
      <c r="F137" t="s">
        <v>1</v>
      </c>
      <c r="G137" t="str">
        <f>IFERROR(VLOOKUP(Logs_reseau[[#This Row],[Cell_ID]],'[1]Registre_Maintenance_combine '!A:C,3,FALSE),"Non trouvé")</f>
        <v>Non trouvé</v>
      </c>
      <c r="H137" t="str">
        <f>IFERROR(VLOOKUP(Logs_reseau[[#This Row],[Cell_ID]],'[1]Registre_Maintenance_combine '!A:D,4,FALSE),"Non trouvé")</f>
        <v>Non trouvé</v>
      </c>
      <c r="I137" t="str">
        <f>IFERROR(VLOOKUP(Logs_reseau[[#This Row],[Cell_ID]],'[1]Registre_Maintenance_combine '!A:E,5,FALSE),"Non trouvé")</f>
        <v>Non trouvé</v>
      </c>
      <c r="J137" t="str">
        <f>IFERROR(VLOOKUP(Logs_reseau[[#This Row],[Cell_ID]],'[1]Registre_Maintenance_combine '!A:F,6,FALSE),"Non trouvé")</f>
        <v>Non trouvé</v>
      </c>
    </row>
    <row r="138" spans="1:10" x14ac:dyDescent="0.25">
      <c r="A138" t="str">
        <f>IFERROR(VLOOKUP(Logs_reseau[[#This Row],[Cell_ID]],'[1]Registre_Maintenance_combine '!A:B,2,FALSE),"Non trouvé")</f>
        <v>Non trouvé</v>
      </c>
      <c r="B138" t="s">
        <v>37</v>
      </c>
      <c r="C138" s="3">
        <v>45214.943055555559</v>
      </c>
      <c r="D138" s="11">
        <f>Logs_reseau[[#This Row],[Duree_Panne_Min]]/1440</f>
        <v>5.2777777777777778E-2</v>
      </c>
      <c r="E138">
        <v>76</v>
      </c>
      <c r="F138" t="s">
        <v>4</v>
      </c>
      <c r="G138" t="str">
        <f>IFERROR(VLOOKUP(Logs_reseau[[#This Row],[Cell_ID]],'[1]Registre_Maintenance_combine '!A:C,3,FALSE),"Non trouvé")</f>
        <v>Non trouvé</v>
      </c>
      <c r="H138" t="str">
        <f>IFERROR(VLOOKUP(Logs_reseau[[#This Row],[Cell_ID]],'[1]Registre_Maintenance_combine '!A:D,4,FALSE),"Non trouvé")</f>
        <v>Non trouvé</v>
      </c>
      <c r="I138" t="str">
        <f>IFERROR(VLOOKUP(Logs_reseau[[#This Row],[Cell_ID]],'[1]Registre_Maintenance_combine '!A:E,5,FALSE),"Non trouvé")</f>
        <v>Non trouvé</v>
      </c>
      <c r="J138" t="str">
        <f>IFERROR(VLOOKUP(Logs_reseau[[#This Row],[Cell_ID]],'[1]Registre_Maintenance_combine '!A:F,6,FALSE),"Non trouvé")</f>
        <v>Non trouvé</v>
      </c>
    </row>
    <row r="139" spans="1:10" x14ac:dyDescent="0.25">
      <c r="A139" t="str">
        <f>IFERROR(VLOOKUP(Logs_reseau[[#This Row],[Cell_ID]],'[1]Registre_Maintenance_combine '!A:B,2,FALSE),"Non trouvé")</f>
        <v>Non trouvé</v>
      </c>
      <c r="B139" t="s">
        <v>37</v>
      </c>
      <c r="C139" s="3">
        <v>45202.319444444445</v>
      </c>
      <c r="D139" s="11">
        <f>Logs_reseau[[#This Row],[Duree_Panne_Min]]/1440</f>
        <v>1.8055555555555554E-2</v>
      </c>
      <c r="E139">
        <v>26</v>
      </c>
      <c r="F139" t="s">
        <v>4</v>
      </c>
      <c r="G139" t="str">
        <f>IFERROR(VLOOKUP(Logs_reseau[[#This Row],[Cell_ID]],'[1]Registre_Maintenance_combine '!A:C,3,FALSE),"Non trouvé")</f>
        <v>Non trouvé</v>
      </c>
      <c r="H139" t="str">
        <f>IFERROR(VLOOKUP(Logs_reseau[[#This Row],[Cell_ID]],'[1]Registre_Maintenance_combine '!A:D,4,FALSE),"Non trouvé")</f>
        <v>Non trouvé</v>
      </c>
      <c r="I139" t="str">
        <f>IFERROR(VLOOKUP(Logs_reseau[[#This Row],[Cell_ID]],'[1]Registre_Maintenance_combine '!A:E,5,FALSE),"Non trouvé")</f>
        <v>Non trouvé</v>
      </c>
      <c r="J139" t="str">
        <f>IFERROR(VLOOKUP(Logs_reseau[[#This Row],[Cell_ID]],'[1]Registre_Maintenance_combine '!A:F,6,FALSE),"Non trouvé")</f>
        <v>Non trouvé</v>
      </c>
    </row>
    <row r="140" spans="1:10" x14ac:dyDescent="0.25">
      <c r="A140" t="str">
        <f>IFERROR(VLOOKUP(Logs_reseau[[#This Row],[Cell_ID]],'[1]Registre_Maintenance_combine '!A:B,2,FALSE),"Non trouvé")</f>
        <v>Non trouvé</v>
      </c>
      <c r="B140" t="s">
        <v>37</v>
      </c>
      <c r="C140" s="3">
        <v>45213.334722222222</v>
      </c>
      <c r="D140" s="11">
        <f>Logs_reseau[[#This Row],[Duree_Panne_Min]]/1440</f>
        <v>6.7361111111111108E-2</v>
      </c>
      <c r="E140">
        <v>97</v>
      </c>
      <c r="F140" t="s">
        <v>4</v>
      </c>
      <c r="G140" t="str">
        <f>IFERROR(VLOOKUP(Logs_reseau[[#This Row],[Cell_ID]],'[1]Registre_Maintenance_combine '!A:C,3,FALSE),"Non trouvé")</f>
        <v>Non trouvé</v>
      </c>
      <c r="H140" t="str">
        <f>IFERROR(VLOOKUP(Logs_reseau[[#This Row],[Cell_ID]],'[1]Registre_Maintenance_combine '!A:D,4,FALSE),"Non trouvé")</f>
        <v>Non trouvé</v>
      </c>
      <c r="I140" t="str">
        <f>IFERROR(VLOOKUP(Logs_reseau[[#This Row],[Cell_ID]],'[1]Registre_Maintenance_combine '!A:E,5,FALSE),"Non trouvé")</f>
        <v>Non trouvé</v>
      </c>
      <c r="J140" t="str">
        <f>IFERROR(VLOOKUP(Logs_reseau[[#This Row],[Cell_ID]],'[1]Registre_Maintenance_combine '!A:F,6,FALSE),"Non trouvé")</f>
        <v>Non trouvé</v>
      </c>
    </row>
    <row r="141" spans="1:10" x14ac:dyDescent="0.25">
      <c r="A141" t="str">
        <f>IFERROR(VLOOKUP(Logs_reseau[[#This Row],[Cell_ID]],'[1]Registre_Maintenance_combine '!A:B,2,FALSE),"Non trouvé")</f>
        <v>Non trouvé</v>
      </c>
      <c r="B141" t="s">
        <v>37</v>
      </c>
      <c r="C141" s="3">
        <v>45230.633333333331</v>
      </c>
      <c r="D141" s="11">
        <f>Logs_reseau[[#This Row],[Duree_Panne_Min]]/1440</f>
        <v>6.5972222222222224E-2</v>
      </c>
      <c r="E141">
        <v>95</v>
      </c>
      <c r="F141" t="s">
        <v>4</v>
      </c>
      <c r="G141" t="str">
        <f>IFERROR(VLOOKUP(Logs_reseau[[#This Row],[Cell_ID]],'[1]Registre_Maintenance_combine '!A:C,3,FALSE),"Non trouvé")</f>
        <v>Non trouvé</v>
      </c>
      <c r="H141" t="str">
        <f>IFERROR(VLOOKUP(Logs_reseau[[#This Row],[Cell_ID]],'[1]Registre_Maintenance_combine '!A:D,4,FALSE),"Non trouvé")</f>
        <v>Non trouvé</v>
      </c>
      <c r="I141" t="str">
        <f>IFERROR(VLOOKUP(Logs_reseau[[#This Row],[Cell_ID]],'[1]Registre_Maintenance_combine '!A:E,5,FALSE),"Non trouvé")</f>
        <v>Non trouvé</v>
      </c>
      <c r="J141" t="str">
        <f>IFERROR(VLOOKUP(Logs_reseau[[#This Row],[Cell_ID]],'[1]Registre_Maintenance_combine '!A:F,6,FALSE),"Non trouvé")</f>
        <v>Non trouvé</v>
      </c>
    </row>
    <row r="142" spans="1:10" x14ac:dyDescent="0.25">
      <c r="A142" t="str">
        <f>IFERROR(VLOOKUP(Logs_reseau[[#This Row],[Cell_ID]],'[1]Registre_Maintenance_combine '!A:B,2,FALSE),"Non trouvé")</f>
        <v>Non trouvé</v>
      </c>
      <c r="B142" t="s">
        <v>37</v>
      </c>
      <c r="C142" s="3">
        <v>45209.993055555555</v>
      </c>
      <c r="D142" s="11">
        <f>Logs_reseau[[#This Row],[Duree_Panne_Min]]/1440</f>
        <v>6.9444444444444448E-2</v>
      </c>
      <c r="E142">
        <v>100</v>
      </c>
      <c r="F142" t="s">
        <v>1</v>
      </c>
      <c r="G142" t="str">
        <f>IFERROR(VLOOKUP(Logs_reseau[[#This Row],[Cell_ID]],'[1]Registre_Maintenance_combine '!A:C,3,FALSE),"Non trouvé")</f>
        <v>Non trouvé</v>
      </c>
      <c r="H142" t="str">
        <f>IFERROR(VLOOKUP(Logs_reseau[[#This Row],[Cell_ID]],'[1]Registre_Maintenance_combine '!A:D,4,FALSE),"Non trouvé")</f>
        <v>Non trouvé</v>
      </c>
      <c r="I142" t="str">
        <f>IFERROR(VLOOKUP(Logs_reseau[[#This Row],[Cell_ID]],'[1]Registre_Maintenance_combine '!A:E,5,FALSE),"Non trouvé")</f>
        <v>Non trouvé</v>
      </c>
      <c r="J142" t="str">
        <f>IFERROR(VLOOKUP(Logs_reseau[[#This Row],[Cell_ID]],'[1]Registre_Maintenance_combine '!A:F,6,FALSE),"Non trouvé")</f>
        <v>Non trouvé</v>
      </c>
    </row>
    <row r="143" spans="1:10" x14ac:dyDescent="0.25">
      <c r="A143" t="str">
        <f>IFERROR(VLOOKUP(Logs_reseau[[#This Row],[Cell_ID]],'[1]Registre_Maintenance_combine '!A:B,2,FALSE),"Non trouvé")</f>
        <v>Ituri</v>
      </c>
      <c r="B143" t="s">
        <v>38</v>
      </c>
      <c r="C143" s="3">
        <v>45213.621527777781</v>
      </c>
      <c r="D143" s="11">
        <f>Logs_reseau[[#This Row],[Duree_Panne_Min]]/1440</f>
        <v>9.7222222222222224E-3</v>
      </c>
      <c r="E143">
        <v>14</v>
      </c>
      <c r="F143" t="s">
        <v>4</v>
      </c>
      <c r="G143">
        <f>IFERROR(VLOOKUP(Logs_reseau[[#This Row],[Cell_ID]],'[1]Registre_Maintenance_combine '!A:C,3,FALSE),"Non trouvé")</f>
        <v>-7.0076900000000002</v>
      </c>
      <c r="H143">
        <f>IFERROR(VLOOKUP(Logs_reseau[[#This Row],[Cell_ID]],'[1]Registre_Maintenance_combine '!A:D,4,FALSE),"Non trouvé")</f>
        <v>27.367121999999998</v>
      </c>
      <c r="I143" t="str">
        <f>IFERROR(VLOOKUP(Logs_reseau[[#This Row],[Cell_ID]],'[1]Registre_Maintenance_combine '!A:E,5,FALSE),"Non trouvé")</f>
        <v>3G</v>
      </c>
      <c r="J143" t="str">
        <f>IFERROR(VLOOKUP(Logs_reseau[[#This Row],[Cell_ID]],'[1]Registre_Maintenance_combine '!A:F,6,FALSE),"Non trouvé")</f>
        <v>Nokia</v>
      </c>
    </row>
    <row r="144" spans="1:10" x14ac:dyDescent="0.25">
      <c r="A144" t="str">
        <f>IFERROR(VLOOKUP(Logs_reseau[[#This Row],[Cell_ID]],'[1]Registre_Maintenance_combine '!A:B,2,FALSE),"Non trouvé")</f>
        <v>Ituri</v>
      </c>
      <c r="B144" t="s">
        <v>38</v>
      </c>
      <c r="C144" s="3">
        <v>45208.505555555559</v>
      </c>
      <c r="D144" s="11">
        <f>Logs_reseau[[#This Row],[Duree_Panne_Min]]/1440</f>
        <v>4.2361111111111113E-2</v>
      </c>
      <c r="E144">
        <v>61</v>
      </c>
      <c r="F144" t="s">
        <v>2</v>
      </c>
      <c r="G144">
        <f>IFERROR(VLOOKUP(Logs_reseau[[#This Row],[Cell_ID]],'[1]Registre_Maintenance_combine '!A:C,3,FALSE),"Non trouvé")</f>
        <v>-7.0076900000000002</v>
      </c>
      <c r="H144">
        <f>IFERROR(VLOOKUP(Logs_reseau[[#This Row],[Cell_ID]],'[1]Registre_Maintenance_combine '!A:D,4,FALSE),"Non trouvé")</f>
        <v>27.367121999999998</v>
      </c>
      <c r="I144" t="str">
        <f>IFERROR(VLOOKUP(Logs_reseau[[#This Row],[Cell_ID]],'[1]Registre_Maintenance_combine '!A:E,5,FALSE),"Non trouvé")</f>
        <v>3G</v>
      </c>
      <c r="J144" t="str">
        <f>IFERROR(VLOOKUP(Logs_reseau[[#This Row],[Cell_ID]],'[1]Registre_Maintenance_combine '!A:F,6,FALSE),"Non trouvé")</f>
        <v>Nokia</v>
      </c>
    </row>
    <row r="145" spans="1:10" x14ac:dyDescent="0.25">
      <c r="A145" t="str">
        <f>IFERROR(VLOOKUP(Logs_reseau[[#This Row],[Cell_ID]],'[1]Registre_Maintenance_combine '!A:B,2,FALSE),"Non trouvé")</f>
        <v>Ituri</v>
      </c>
      <c r="B145" t="s">
        <v>38</v>
      </c>
      <c r="C145" s="3">
        <v>45215.10833333333</v>
      </c>
      <c r="D145" s="11">
        <f>Logs_reseau[[#This Row],[Duree_Panne_Min]]/1440</f>
        <v>5.0694444444444445E-2</v>
      </c>
      <c r="E145">
        <v>73</v>
      </c>
      <c r="F145" t="s">
        <v>2</v>
      </c>
      <c r="G145">
        <f>IFERROR(VLOOKUP(Logs_reseau[[#This Row],[Cell_ID]],'[1]Registre_Maintenance_combine '!A:C,3,FALSE),"Non trouvé")</f>
        <v>-7.0076900000000002</v>
      </c>
      <c r="H145">
        <f>IFERROR(VLOOKUP(Logs_reseau[[#This Row],[Cell_ID]],'[1]Registre_Maintenance_combine '!A:D,4,FALSE),"Non trouvé")</f>
        <v>27.367121999999998</v>
      </c>
      <c r="I145" t="str">
        <f>IFERROR(VLOOKUP(Logs_reseau[[#This Row],[Cell_ID]],'[1]Registre_Maintenance_combine '!A:E,5,FALSE),"Non trouvé")</f>
        <v>3G</v>
      </c>
      <c r="J145" t="str">
        <f>IFERROR(VLOOKUP(Logs_reseau[[#This Row],[Cell_ID]],'[1]Registre_Maintenance_combine '!A:F,6,FALSE),"Non trouvé")</f>
        <v>Nokia</v>
      </c>
    </row>
    <row r="146" spans="1:10" x14ac:dyDescent="0.25">
      <c r="A146" t="str">
        <f>IFERROR(VLOOKUP(Logs_reseau[[#This Row],[Cell_ID]],'[1]Registre_Maintenance_combine '!A:B,2,FALSE),"Non trouvé")</f>
        <v>Ituri</v>
      </c>
      <c r="B146" t="s">
        <v>38</v>
      </c>
      <c r="C146" s="3">
        <v>45200.220138888886</v>
      </c>
      <c r="D146" s="11">
        <f>Logs_reseau[[#This Row],[Duree_Panne_Min]]/1440</f>
        <v>5.4166666666666669E-2</v>
      </c>
      <c r="E146">
        <v>78</v>
      </c>
      <c r="F146" t="s">
        <v>1</v>
      </c>
      <c r="G146">
        <f>IFERROR(VLOOKUP(Logs_reseau[[#This Row],[Cell_ID]],'[1]Registre_Maintenance_combine '!A:C,3,FALSE),"Non trouvé")</f>
        <v>-7.0076900000000002</v>
      </c>
      <c r="H146">
        <f>IFERROR(VLOOKUP(Logs_reseau[[#This Row],[Cell_ID]],'[1]Registre_Maintenance_combine '!A:D,4,FALSE),"Non trouvé")</f>
        <v>27.367121999999998</v>
      </c>
      <c r="I146" t="str">
        <f>IFERROR(VLOOKUP(Logs_reseau[[#This Row],[Cell_ID]],'[1]Registre_Maintenance_combine '!A:E,5,FALSE),"Non trouvé")</f>
        <v>3G</v>
      </c>
      <c r="J146" t="str">
        <f>IFERROR(VLOOKUP(Logs_reseau[[#This Row],[Cell_ID]],'[1]Registre_Maintenance_combine '!A:F,6,FALSE),"Non trouvé")</f>
        <v>Nokia</v>
      </c>
    </row>
    <row r="147" spans="1:10" x14ac:dyDescent="0.25">
      <c r="A147" t="str">
        <f>IFERROR(VLOOKUP(Logs_reseau[[#This Row],[Cell_ID]],'[1]Registre_Maintenance_combine '!A:B,2,FALSE),"Non trouvé")</f>
        <v>Ituri</v>
      </c>
      <c r="B147" t="s">
        <v>38</v>
      </c>
      <c r="C147" s="3">
        <v>45229.670138888891</v>
      </c>
      <c r="D147" s="11">
        <f>Logs_reseau[[#This Row],[Duree_Panne_Min]]/1440</f>
        <v>3.888888888888889E-2</v>
      </c>
      <c r="E147">
        <v>56</v>
      </c>
      <c r="F147" t="s">
        <v>2</v>
      </c>
      <c r="G147">
        <f>IFERROR(VLOOKUP(Logs_reseau[[#This Row],[Cell_ID]],'[1]Registre_Maintenance_combine '!A:C,3,FALSE),"Non trouvé")</f>
        <v>-7.0076900000000002</v>
      </c>
      <c r="H147">
        <f>IFERROR(VLOOKUP(Logs_reseau[[#This Row],[Cell_ID]],'[1]Registre_Maintenance_combine '!A:D,4,FALSE),"Non trouvé")</f>
        <v>27.367121999999998</v>
      </c>
      <c r="I147" t="str">
        <f>IFERROR(VLOOKUP(Logs_reseau[[#This Row],[Cell_ID]],'[1]Registre_Maintenance_combine '!A:E,5,FALSE),"Non trouvé")</f>
        <v>3G</v>
      </c>
      <c r="J147" t="str">
        <f>IFERROR(VLOOKUP(Logs_reseau[[#This Row],[Cell_ID]],'[1]Registre_Maintenance_combine '!A:F,6,FALSE),"Non trouvé")</f>
        <v>Nokia</v>
      </c>
    </row>
    <row r="148" spans="1:10" x14ac:dyDescent="0.25">
      <c r="A148" t="str">
        <f>IFERROR(VLOOKUP(Logs_reseau[[#This Row],[Cell_ID]],'[1]Registre_Maintenance_combine '!A:B,2,FALSE),"Non trouvé")</f>
        <v>Ituri</v>
      </c>
      <c r="B148" t="s">
        <v>39</v>
      </c>
      <c r="C148" s="3">
        <v>45209.268750000003</v>
      </c>
      <c r="D148" s="11">
        <f>Logs_reseau[[#This Row],[Duree_Panne_Min]]/1440</f>
        <v>1.6666666666666666E-2</v>
      </c>
      <c r="E148">
        <v>24</v>
      </c>
      <c r="F148" t="s">
        <v>4</v>
      </c>
      <c r="G148">
        <f>IFERROR(VLOOKUP(Logs_reseau[[#This Row],[Cell_ID]],'[1]Registre_Maintenance_combine '!A:C,3,FALSE),"Non trouvé")</f>
        <v>-0.767455</v>
      </c>
      <c r="H148">
        <f>IFERROR(VLOOKUP(Logs_reseau[[#This Row],[Cell_ID]],'[1]Registre_Maintenance_combine '!A:D,4,FALSE),"Non trouvé")</f>
        <v>30.924261000000001</v>
      </c>
      <c r="I148" t="str">
        <f>IFERROR(VLOOKUP(Logs_reseau[[#This Row],[Cell_ID]],'[1]Registre_Maintenance_combine '!A:E,5,FALSE),"Non trouvé")</f>
        <v>3G</v>
      </c>
      <c r="J148" t="str">
        <f>IFERROR(VLOOKUP(Logs_reseau[[#This Row],[Cell_ID]],'[1]Registre_Maintenance_combine '!A:F,6,FALSE),"Non trouvé")</f>
        <v>Huawei</v>
      </c>
    </row>
    <row r="149" spans="1:10" x14ac:dyDescent="0.25">
      <c r="A149" t="str">
        <f>IFERROR(VLOOKUP(Logs_reseau[[#This Row],[Cell_ID]],'[1]Registre_Maintenance_combine '!A:B,2,FALSE),"Non trouvé")</f>
        <v>Ituri</v>
      </c>
      <c r="B149" t="s">
        <v>39</v>
      </c>
      <c r="C149" s="3">
        <v>45205.929861111108</v>
      </c>
      <c r="D149" s="11">
        <f>Logs_reseau[[#This Row],[Duree_Panne_Min]]/1440</f>
        <v>7.2222222222222215E-2</v>
      </c>
      <c r="E149">
        <v>104</v>
      </c>
      <c r="F149" t="s">
        <v>4</v>
      </c>
      <c r="G149">
        <f>IFERROR(VLOOKUP(Logs_reseau[[#This Row],[Cell_ID]],'[1]Registre_Maintenance_combine '!A:C,3,FALSE),"Non trouvé")</f>
        <v>-0.767455</v>
      </c>
      <c r="H149">
        <f>IFERROR(VLOOKUP(Logs_reseau[[#This Row],[Cell_ID]],'[1]Registre_Maintenance_combine '!A:D,4,FALSE),"Non trouvé")</f>
        <v>30.924261000000001</v>
      </c>
      <c r="I149" t="str">
        <f>IFERROR(VLOOKUP(Logs_reseau[[#This Row],[Cell_ID]],'[1]Registre_Maintenance_combine '!A:E,5,FALSE),"Non trouvé")</f>
        <v>3G</v>
      </c>
      <c r="J149" t="str">
        <f>IFERROR(VLOOKUP(Logs_reseau[[#This Row],[Cell_ID]],'[1]Registre_Maintenance_combine '!A:F,6,FALSE),"Non trouvé")</f>
        <v>Huawei</v>
      </c>
    </row>
    <row r="150" spans="1:10" x14ac:dyDescent="0.25">
      <c r="A150" t="str">
        <f>IFERROR(VLOOKUP(Logs_reseau[[#This Row],[Cell_ID]],'[1]Registre_Maintenance_combine '!A:B,2,FALSE),"Non trouvé")</f>
        <v>Mongala</v>
      </c>
      <c r="B150" t="s">
        <v>40</v>
      </c>
      <c r="C150" s="3">
        <v>45201.670138888891</v>
      </c>
      <c r="D150" s="11">
        <f>Logs_reseau[[#This Row],[Duree_Panne_Min]]/1440</f>
        <v>6.458333333333334E-2</v>
      </c>
      <c r="E150">
        <v>93</v>
      </c>
      <c r="F150" t="s">
        <v>2</v>
      </c>
      <c r="G150">
        <f>IFERROR(VLOOKUP(Logs_reseau[[#This Row],[Cell_ID]],'[1]Registre_Maintenance_combine '!A:C,3,FALSE),"Non trouvé")</f>
        <v>4.0988100000000003</v>
      </c>
      <c r="H150">
        <f>IFERROR(VLOOKUP(Logs_reseau[[#This Row],[Cell_ID]],'[1]Registre_Maintenance_combine '!A:D,4,FALSE),"Non trouvé")</f>
        <v>29.843810999999999</v>
      </c>
      <c r="I150" t="str">
        <f>IFERROR(VLOOKUP(Logs_reseau[[#This Row],[Cell_ID]],'[1]Registre_Maintenance_combine '!A:E,5,FALSE),"Non trouvé")</f>
        <v>3G</v>
      </c>
      <c r="J150" t="str">
        <f>IFERROR(VLOOKUP(Logs_reseau[[#This Row],[Cell_ID]],'[1]Registre_Maintenance_combine '!A:F,6,FALSE),"Non trouvé")</f>
        <v>Huawei</v>
      </c>
    </row>
    <row r="151" spans="1:10" x14ac:dyDescent="0.25">
      <c r="A151" t="str">
        <f>IFERROR(VLOOKUP(Logs_reseau[[#This Row],[Cell_ID]],'[1]Registre_Maintenance_combine '!A:B,2,FALSE),"Non trouvé")</f>
        <v>Mongala</v>
      </c>
      <c r="B151" t="s">
        <v>40</v>
      </c>
      <c r="C151" s="3">
        <v>45208.563194444447</v>
      </c>
      <c r="D151" s="11">
        <f>Logs_reseau[[#This Row],[Duree_Panne_Min]]/1440</f>
        <v>5.8333333333333334E-2</v>
      </c>
      <c r="E151">
        <v>84</v>
      </c>
      <c r="F151" t="s">
        <v>4</v>
      </c>
      <c r="G151">
        <f>IFERROR(VLOOKUP(Logs_reseau[[#This Row],[Cell_ID]],'[1]Registre_Maintenance_combine '!A:C,3,FALSE),"Non trouvé")</f>
        <v>4.0988100000000003</v>
      </c>
      <c r="H151">
        <f>IFERROR(VLOOKUP(Logs_reseau[[#This Row],[Cell_ID]],'[1]Registre_Maintenance_combine '!A:D,4,FALSE),"Non trouvé")</f>
        <v>29.843810999999999</v>
      </c>
      <c r="I151" t="str">
        <f>IFERROR(VLOOKUP(Logs_reseau[[#This Row],[Cell_ID]],'[1]Registre_Maintenance_combine '!A:E,5,FALSE),"Non trouvé")</f>
        <v>3G</v>
      </c>
      <c r="J151" t="str">
        <f>IFERROR(VLOOKUP(Logs_reseau[[#This Row],[Cell_ID]],'[1]Registre_Maintenance_combine '!A:F,6,FALSE),"Non trouvé")</f>
        <v>Huawei</v>
      </c>
    </row>
    <row r="152" spans="1:10" x14ac:dyDescent="0.25">
      <c r="A152" t="str">
        <f>IFERROR(VLOOKUP(Logs_reseau[[#This Row],[Cell_ID]],'[1]Registre_Maintenance_combine '!A:B,2,FALSE),"Non trouvé")</f>
        <v>Mongala</v>
      </c>
      <c r="B152" t="s">
        <v>40</v>
      </c>
      <c r="C152" s="3">
        <v>45203.950694444444</v>
      </c>
      <c r="D152" s="11">
        <f>Logs_reseau[[#This Row],[Duree_Panne_Min]]/1440</f>
        <v>7.9861111111111105E-2</v>
      </c>
      <c r="E152">
        <v>115</v>
      </c>
      <c r="F152" t="s">
        <v>4</v>
      </c>
      <c r="G152">
        <f>IFERROR(VLOOKUP(Logs_reseau[[#This Row],[Cell_ID]],'[1]Registre_Maintenance_combine '!A:C,3,FALSE),"Non trouvé")</f>
        <v>4.0988100000000003</v>
      </c>
      <c r="H152">
        <f>IFERROR(VLOOKUP(Logs_reseau[[#This Row],[Cell_ID]],'[1]Registre_Maintenance_combine '!A:D,4,FALSE),"Non trouvé")</f>
        <v>29.843810999999999</v>
      </c>
      <c r="I152" t="str">
        <f>IFERROR(VLOOKUP(Logs_reseau[[#This Row],[Cell_ID]],'[1]Registre_Maintenance_combine '!A:E,5,FALSE),"Non trouvé")</f>
        <v>3G</v>
      </c>
      <c r="J152" t="str">
        <f>IFERROR(VLOOKUP(Logs_reseau[[#This Row],[Cell_ID]],'[1]Registre_Maintenance_combine '!A:F,6,FALSE),"Non trouvé")</f>
        <v>Huawei</v>
      </c>
    </row>
    <row r="153" spans="1:10" x14ac:dyDescent="0.25">
      <c r="A153" t="str">
        <f>IFERROR(VLOOKUP(Logs_reseau[[#This Row],[Cell_ID]],'[1]Registre_Maintenance_combine '!A:B,2,FALSE),"Non trouvé")</f>
        <v>Mongala</v>
      </c>
      <c r="B153" t="s">
        <v>40</v>
      </c>
      <c r="C153" s="3">
        <v>45218.675694444442</v>
      </c>
      <c r="D153" s="11">
        <f>Logs_reseau[[#This Row],[Duree_Panne_Min]]/1440</f>
        <v>2.0833333333333332E-2</v>
      </c>
      <c r="E153">
        <v>30</v>
      </c>
      <c r="F153" t="s">
        <v>4</v>
      </c>
      <c r="G153">
        <f>IFERROR(VLOOKUP(Logs_reseau[[#This Row],[Cell_ID]],'[1]Registre_Maintenance_combine '!A:C,3,FALSE),"Non trouvé")</f>
        <v>4.0988100000000003</v>
      </c>
      <c r="H153">
        <f>IFERROR(VLOOKUP(Logs_reseau[[#This Row],[Cell_ID]],'[1]Registre_Maintenance_combine '!A:D,4,FALSE),"Non trouvé")</f>
        <v>29.843810999999999</v>
      </c>
      <c r="I153" t="str">
        <f>IFERROR(VLOOKUP(Logs_reseau[[#This Row],[Cell_ID]],'[1]Registre_Maintenance_combine '!A:E,5,FALSE),"Non trouvé")</f>
        <v>3G</v>
      </c>
      <c r="J153" t="str">
        <f>IFERROR(VLOOKUP(Logs_reseau[[#This Row],[Cell_ID]],'[1]Registre_Maintenance_combine '!A:F,6,FALSE),"Non trouvé")</f>
        <v>Huawei</v>
      </c>
    </row>
    <row r="154" spans="1:10" x14ac:dyDescent="0.25">
      <c r="A154" t="str">
        <f>IFERROR(VLOOKUP(Logs_reseau[[#This Row],[Cell_ID]],'[1]Registre_Maintenance_combine '!A:B,2,FALSE),"Non trouvé")</f>
        <v>Tshopo</v>
      </c>
      <c r="B154" t="s">
        <v>41</v>
      </c>
      <c r="C154" s="3">
        <v>45230.029861111114</v>
      </c>
      <c r="D154" s="11">
        <f>Logs_reseau[[#This Row],[Duree_Panne_Min]]/1440</f>
        <v>3.4027777777777775E-2</v>
      </c>
      <c r="E154">
        <v>49</v>
      </c>
      <c r="F154" t="s">
        <v>2</v>
      </c>
      <c r="G154">
        <f>IFERROR(VLOOKUP(Logs_reseau[[#This Row],[Cell_ID]],'[1]Registre_Maintenance_combine '!A:C,3,FALSE),"Non trouvé")</f>
        <v>1.472051</v>
      </c>
      <c r="H154">
        <f>IFERROR(VLOOKUP(Logs_reseau[[#This Row],[Cell_ID]],'[1]Registre_Maintenance_combine '!A:D,4,FALSE),"Non trouvé")</f>
        <v>17.36289</v>
      </c>
      <c r="I154" t="str">
        <f>IFERROR(VLOOKUP(Logs_reseau[[#This Row],[Cell_ID]],'[1]Registre_Maintenance_combine '!A:E,5,FALSE),"Non trouvé")</f>
        <v>4G</v>
      </c>
      <c r="J154" t="str">
        <f>IFERROR(VLOOKUP(Logs_reseau[[#This Row],[Cell_ID]],'[1]Registre_Maintenance_combine '!A:F,6,FALSE),"Non trouvé")</f>
        <v>Huawei</v>
      </c>
    </row>
    <row r="155" spans="1:10" x14ac:dyDescent="0.25">
      <c r="A155" t="str">
        <f>IFERROR(VLOOKUP(Logs_reseau[[#This Row],[Cell_ID]],'[1]Registre_Maintenance_combine '!A:B,2,FALSE),"Non trouvé")</f>
        <v>Tshopo</v>
      </c>
      <c r="B155" t="s">
        <v>41</v>
      </c>
      <c r="C155" s="3">
        <v>45226.321527777778</v>
      </c>
      <c r="D155" s="11">
        <f>Logs_reseau[[#This Row],[Duree_Panne_Min]]/1440</f>
        <v>8.2638888888888887E-2</v>
      </c>
      <c r="E155">
        <v>119</v>
      </c>
      <c r="F155" t="s">
        <v>1</v>
      </c>
      <c r="G155">
        <f>IFERROR(VLOOKUP(Logs_reseau[[#This Row],[Cell_ID]],'[1]Registre_Maintenance_combine '!A:C,3,FALSE),"Non trouvé")</f>
        <v>1.472051</v>
      </c>
      <c r="H155">
        <f>IFERROR(VLOOKUP(Logs_reseau[[#This Row],[Cell_ID]],'[1]Registre_Maintenance_combine '!A:D,4,FALSE),"Non trouvé")</f>
        <v>17.36289</v>
      </c>
      <c r="I155" t="str">
        <f>IFERROR(VLOOKUP(Logs_reseau[[#This Row],[Cell_ID]],'[1]Registre_Maintenance_combine '!A:E,5,FALSE),"Non trouvé")</f>
        <v>4G</v>
      </c>
      <c r="J155" t="str">
        <f>IFERROR(VLOOKUP(Logs_reseau[[#This Row],[Cell_ID]],'[1]Registre_Maintenance_combine '!A:F,6,FALSE),"Non trouvé")</f>
        <v>Huawei</v>
      </c>
    </row>
    <row r="156" spans="1:10" x14ac:dyDescent="0.25">
      <c r="A156" t="str">
        <f>IFERROR(VLOOKUP(Logs_reseau[[#This Row],[Cell_ID]],'[1]Registre_Maintenance_combine '!A:B,2,FALSE),"Non trouvé")</f>
        <v>Tshopo</v>
      </c>
      <c r="B156" t="s">
        <v>41</v>
      </c>
      <c r="C156" s="3">
        <v>45224.652777777781</v>
      </c>
      <c r="D156" s="11">
        <f>Logs_reseau[[#This Row],[Duree_Panne_Min]]/1440</f>
        <v>8.2638888888888887E-2</v>
      </c>
      <c r="E156">
        <v>119</v>
      </c>
      <c r="F156" t="s">
        <v>4</v>
      </c>
      <c r="G156">
        <f>IFERROR(VLOOKUP(Logs_reseau[[#This Row],[Cell_ID]],'[1]Registre_Maintenance_combine '!A:C,3,FALSE),"Non trouvé")</f>
        <v>1.472051</v>
      </c>
      <c r="H156">
        <f>IFERROR(VLOOKUP(Logs_reseau[[#This Row],[Cell_ID]],'[1]Registre_Maintenance_combine '!A:D,4,FALSE),"Non trouvé")</f>
        <v>17.36289</v>
      </c>
      <c r="I156" t="str">
        <f>IFERROR(VLOOKUP(Logs_reseau[[#This Row],[Cell_ID]],'[1]Registre_Maintenance_combine '!A:E,5,FALSE),"Non trouvé")</f>
        <v>4G</v>
      </c>
      <c r="J156" t="str">
        <f>IFERROR(VLOOKUP(Logs_reseau[[#This Row],[Cell_ID]],'[1]Registre_Maintenance_combine '!A:F,6,FALSE),"Non trouvé")</f>
        <v>Huawei</v>
      </c>
    </row>
    <row r="157" spans="1:10" x14ac:dyDescent="0.25">
      <c r="A157" t="str">
        <f>IFERROR(VLOOKUP(Logs_reseau[[#This Row],[Cell_ID]],'[1]Registre_Maintenance_combine '!A:B,2,FALSE),"Non trouvé")</f>
        <v>Tshopo</v>
      </c>
      <c r="B157" t="s">
        <v>41</v>
      </c>
      <c r="C157" s="3">
        <v>45228.938194444447</v>
      </c>
      <c r="D157" s="11">
        <f>Logs_reseau[[#This Row],[Duree_Panne_Min]]/1440</f>
        <v>5.7638888888888892E-2</v>
      </c>
      <c r="E157">
        <v>83</v>
      </c>
      <c r="F157" t="s">
        <v>2</v>
      </c>
      <c r="G157">
        <f>IFERROR(VLOOKUP(Logs_reseau[[#This Row],[Cell_ID]],'[1]Registre_Maintenance_combine '!A:C,3,FALSE),"Non trouvé")</f>
        <v>1.472051</v>
      </c>
      <c r="H157">
        <f>IFERROR(VLOOKUP(Logs_reseau[[#This Row],[Cell_ID]],'[1]Registre_Maintenance_combine '!A:D,4,FALSE),"Non trouvé")</f>
        <v>17.36289</v>
      </c>
      <c r="I157" t="str">
        <f>IFERROR(VLOOKUP(Logs_reseau[[#This Row],[Cell_ID]],'[1]Registre_Maintenance_combine '!A:E,5,FALSE),"Non trouvé")</f>
        <v>4G</v>
      </c>
      <c r="J157" t="str">
        <f>IFERROR(VLOOKUP(Logs_reseau[[#This Row],[Cell_ID]],'[1]Registre_Maintenance_combine '!A:F,6,FALSE),"Non trouvé")</f>
        <v>Huawei</v>
      </c>
    </row>
    <row r="158" spans="1:10" x14ac:dyDescent="0.25">
      <c r="A158" t="str">
        <f>IFERROR(VLOOKUP(Logs_reseau[[#This Row],[Cell_ID]],'[1]Registre_Maintenance_combine '!A:B,2,FALSE),"Non trouvé")</f>
        <v>Tshopo</v>
      </c>
      <c r="B158" t="s">
        <v>41</v>
      </c>
      <c r="C158" s="3">
        <v>45201.511805555558</v>
      </c>
      <c r="D158" s="11">
        <f>Logs_reseau[[#This Row],[Duree_Panne_Min]]/1440</f>
        <v>5.1388888888888887E-2</v>
      </c>
      <c r="E158">
        <v>74</v>
      </c>
      <c r="F158" t="s">
        <v>1</v>
      </c>
      <c r="G158">
        <f>IFERROR(VLOOKUP(Logs_reseau[[#This Row],[Cell_ID]],'[1]Registre_Maintenance_combine '!A:C,3,FALSE),"Non trouvé")</f>
        <v>1.472051</v>
      </c>
      <c r="H158">
        <f>IFERROR(VLOOKUP(Logs_reseau[[#This Row],[Cell_ID]],'[1]Registre_Maintenance_combine '!A:D,4,FALSE),"Non trouvé")</f>
        <v>17.36289</v>
      </c>
      <c r="I158" t="str">
        <f>IFERROR(VLOOKUP(Logs_reseau[[#This Row],[Cell_ID]],'[1]Registre_Maintenance_combine '!A:E,5,FALSE),"Non trouvé")</f>
        <v>4G</v>
      </c>
      <c r="J158" t="str">
        <f>IFERROR(VLOOKUP(Logs_reseau[[#This Row],[Cell_ID]],'[1]Registre_Maintenance_combine '!A:F,6,FALSE),"Non trouvé")</f>
        <v>Huawei</v>
      </c>
    </row>
    <row r="159" spans="1:10" x14ac:dyDescent="0.25">
      <c r="A159" t="str">
        <f>IFERROR(VLOOKUP(Logs_reseau[[#This Row],[Cell_ID]],'[1]Registre_Maintenance_combine '!A:B,2,FALSE),"Non trouvé")</f>
        <v>Haut-Katanga</v>
      </c>
      <c r="B159" t="s">
        <v>42</v>
      </c>
      <c r="C159" s="3">
        <v>45221.461111111108</v>
      </c>
      <c r="D159" s="11">
        <f>Logs_reseau[[#This Row],[Duree_Panne_Min]]/1440</f>
        <v>5.1388888888888887E-2</v>
      </c>
      <c r="E159">
        <v>74</v>
      </c>
      <c r="F159" t="s">
        <v>1</v>
      </c>
      <c r="G159">
        <f>IFERROR(VLOOKUP(Logs_reseau[[#This Row],[Cell_ID]],'[1]Registre_Maintenance_combine '!A:C,3,FALSE),"Non trouvé")</f>
        <v>0.16841400000000001</v>
      </c>
      <c r="H159">
        <f>IFERROR(VLOOKUP(Logs_reseau[[#This Row],[Cell_ID]],'[1]Registre_Maintenance_combine '!A:D,4,FALSE),"Non trouvé")</f>
        <v>30.029876999999999</v>
      </c>
      <c r="I159" t="str">
        <f>IFERROR(VLOOKUP(Logs_reseau[[#This Row],[Cell_ID]],'[1]Registre_Maintenance_combine '!A:E,5,FALSE),"Non trouvé")</f>
        <v>5G</v>
      </c>
      <c r="J159" t="str">
        <f>IFERROR(VLOOKUP(Logs_reseau[[#This Row],[Cell_ID]],'[1]Registre_Maintenance_combine '!A:F,6,FALSE),"Non trouvé")</f>
        <v>Huawei</v>
      </c>
    </row>
    <row r="160" spans="1:10" x14ac:dyDescent="0.25">
      <c r="A160" t="str">
        <f>IFERROR(VLOOKUP(Logs_reseau[[#This Row],[Cell_ID]],'[1]Registre_Maintenance_combine '!A:B,2,FALSE),"Non trouvé")</f>
        <v>Kasai-Central</v>
      </c>
      <c r="B160" t="s">
        <v>43</v>
      </c>
      <c r="C160" s="3">
        <v>45219.801388888889</v>
      </c>
      <c r="D160" s="11">
        <f>Logs_reseau[[#This Row],[Duree_Panne_Min]]/1440</f>
        <v>8.1250000000000003E-2</v>
      </c>
      <c r="E160">
        <v>117</v>
      </c>
      <c r="F160" t="s">
        <v>1</v>
      </c>
      <c r="G160">
        <f>IFERROR(VLOOKUP(Logs_reseau[[#This Row],[Cell_ID]],'[1]Registre_Maintenance_combine '!A:C,3,FALSE),"Non trouvé")</f>
        <v>-10.735106</v>
      </c>
      <c r="H160">
        <f>IFERROR(VLOOKUP(Logs_reseau[[#This Row],[Cell_ID]],'[1]Registre_Maintenance_combine '!A:D,4,FALSE),"Non trouvé")</f>
        <v>27.868673999999999</v>
      </c>
      <c r="I160" t="str">
        <f>IFERROR(VLOOKUP(Logs_reseau[[#This Row],[Cell_ID]],'[1]Registre_Maintenance_combine '!A:E,5,FALSE),"Non trouvé")</f>
        <v>3G</v>
      </c>
      <c r="J160" t="str">
        <f>IFERROR(VLOOKUP(Logs_reseau[[#This Row],[Cell_ID]],'[1]Registre_Maintenance_combine '!A:F,6,FALSE),"Non trouvé")</f>
        <v>Ericsson</v>
      </c>
    </row>
    <row r="161" spans="1:10" x14ac:dyDescent="0.25">
      <c r="A161" t="str">
        <f>IFERROR(VLOOKUP(Logs_reseau[[#This Row],[Cell_ID]],'[1]Registre_Maintenance_combine '!A:B,2,FALSE),"Non trouvé")</f>
        <v>Non trouvé</v>
      </c>
      <c r="B161" t="s">
        <v>44</v>
      </c>
      <c r="C161" s="3">
        <v>45210.054166666669</v>
      </c>
      <c r="D161" s="11">
        <f>Logs_reseau[[#This Row],[Duree_Panne_Min]]/1440</f>
        <v>3.6805555555555557E-2</v>
      </c>
      <c r="E161">
        <v>53</v>
      </c>
      <c r="F161" t="s">
        <v>4</v>
      </c>
      <c r="G161" t="str">
        <f>IFERROR(VLOOKUP(Logs_reseau[[#This Row],[Cell_ID]],'[1]Registre_Maintenance_combine '!A:C,3,FALSE),"Non trouvé")</f>
        <v>Non trouvé</v>
      </c>
      <c r="H161" t="str">
        <f>IFERROR(VLOOKUP(Logs_reseau[[#This Row],[Cell_ID]],'[1]Registre_Maintenance_combine '!A:D,4,FALSE),"Non trouvé")</f>
        <v>Non trouvé</v>
      </c>
      <c r="I161" t="str">
        <f>IFERROR(VLOOKUP(Logs_reseau[[#This Row],[Cell_ID]],'[1]Registre_Maintenance_combine '!A:E,5,FALSE),"Non trouvé")</f>
        <v>Non trouvé</v>
      </c>
      <c r="J161" t="str">
        <f>IFERROR(VLOOKUP(Logs_reseau[[#This Row],[Cell_ID]],'[1]Registre_Maintenance_combine '!A:F,6,FALSE),"Non trouvé")</f>
        <v>Non trouvé</v>
      </c>
    </row>
    <row r="162" spans="1:10" x14ac:dyDescent="0.25">
      <c r="A162" t="str">
        <f>IFERROR(VLOOKUP(Logs_reseau[[#This Row],[Cell_ID]],'[1]Registre_Maintenance_combine '!A:B,2,FALSE),"Non trouvé")</f>
        <v>Non trouvé</v>
      </c>
      <c r="B162" t="s">
        <v>44</v>
      </c>
      <c r="C162" s="3">
        <v>45230.002083333333</v>
      </c>
      <c r="D162" s="11">
        <f>Logs_reseau[[#This Row],[Duree_Panne_Min]]/1440</f>
        <v>1.5277777777777777E-2</v>
      </c>
      <c r="E162">
        <v>22</v>
      </c>
      <c r="F162" t="s">
        <v>4</v>
      </c>
      <c r="G162" t="str">
        <f>IFERROR(VLOOKUP(Logs_reseau[[#This Row],[Cell_ID]],'[1]Registre_Maintenance_combine '!A:C,3,FALSE),"Non trouvé")</f>
        <v>Non trouvé</v>
      </c>
      <c r="H162" t="str">
        <f>IFERROR(VLOOKUP(Logs_reseau[[#This Row],[Cell_ID]],'[1]Registre_Maintenance_combine '!A:D,4,FALSE),"Non trouvé")</f>
        <v>Non trouvé</v>
      </c>
      <c r="I162" t="str">
        <f>IFERROR(VLOOKUP(Logs_reseau[[#This Row],[Cell_ID]],'[1]Registre_Maintenance_combine '!A:E,5,FALSE),"Non trouvé")</f>
        <v>Non trouvé</v>
      </c>
      <c r="J162" t="str">
        <f>IFERROR(VLOOKUP(Logs_reseau[[#This Row],[Cell_ID]],'[1]Registre_Maintenance_combine '!A:F,6,FALSE),"Non trouvé")</f>
        <v>Non trouvé</v>
      </c>
    </row>
    <row r="163" spans="1:10" x14ac:dyDescent="0.25">
      <c r="A163" t="str">
        <f>IFERROR(VLOOKUP(Logs_reseau[[#This Row],[Cell_ID]],'[1]Registre_Maintenance_combine '!A:B,2,FALSE),"Non trouvé")</f>
        <v>Non trouvé</v>
      </c>
      <c r="B163" t="s">
        <v>44</v>
      </c>
      <c r="C163" s="3">
        <v>45204.345833333333</v>
      </c>
      <c r="D163" s="11">
        <f>Logs_reseau[[#This Row],[Duree_Panne_Min]]/1440</f>
        <v>5.6944444444444443E-2</v>
      </c>
      <c r="E163">
        <v>82</v>
      </c>
      <c r="F163" t="s">
        <v>1</v>
      </c>
      <c r="G163" t="str">
        <f>IFERROR(VLOOKUP(Logs_reseau[[#This Row],[Cell_ID]],'[1]Registre_Maintenance_combine '!A:C,3,FALSE),"Non trouvé")</f>
        <v>Non trouvé</v>
      </c>
      <c r="H163" t="str">
        <f>IFERROR(VLOOKUP(Logs_reseau[[#This Row],[Cell_ID]],'[1]Registre_Maintenance_combine '!A:D,4,FALSE),"Non trouvé")</f>
        <v>Non trouvé</v>
      </c>
      <c r="I163" t="str">
        <f>IFERROR(VLOOKUP(Logs_reseau[[#This Row],[Cell_ID]],'[1]Registre_Maintenance_combine '!A:E,5,FALSE),"Non trouvé")</f>
        <v>Non trouvé</v>
      </c>
      <c r="J163" t="str">
        <f>IFERROR(VLOOKUP(Logs_reseau[[#This Row],[Cell_ID]],'[1]Registre_Maintenance_combine '!A:F,6,FALSE),"Non trouvé")</f>
        <v>Non trouvé</v>
      </c>
    </row>
    <row r="164" spans="1:10" x14ac:dyDescent="0.25">
      <c r="A164" t="str">
        <f>IFERROR(VLOOKUP(Logs_reseau[[#This Row],[Cell_ID]],'[1]Registre_Maintenance_combine '!A:B,2,FALSE),"Non trouvé")</f>
        <v>Non trouvé</v>
      </c>
      <c r="B164" t="s">
        <v>44</v>
      </c>
      <c r="C164" s="3">
        <v>45214.05972222222</v>
      </c>
      <c r="D164" s="11">
        <f>Logs_reseau[[#This Row],[Duree_Panne_Min]]/1440</f>
        <v>4.583333333333333E-2</v>
      </c>
      <c r="E164">
        <v>66</v>
      </c>
      <c r="F164" t="s">
        <v>4</v>
      </c>
      <c r="G164" t="str">
        <f>IFERROR(VLOOKUP(Logs_reseau[[#This Row],[Cell_ID]],'[1]Registre_Maintenance_combine '!A:C,3,FALSE),"Non trouvé")</f>
        <v>Non trouvé</v>
      </c>
      <c r="H164" t="str">
        <f>IFERROR(VLOOKUP(Logs_reseau[[#This Row],[Cell_ID]],'[1]Registre_Maintenance_combine '!A:D,4,FALSE),"Non trouvé")</f>
        <v>Non trouvé</v>
      </c>
      <c r="I164" t="str">
        <f>IFERROR(VLOOKUP(Logs_reseau[[#This Row],[Cell_ID]],'[1]Registre_Maintenance_combine '!A:E,5,FALSE),"Non trouvé")</f>
        <v>Non trouvé</v>
      </c>
      <c r="J164" t="str">
        <f>IFERROR(VLOOKUP(Logs_reseau[[#This Row],[Cell_ID]],'[1]Registre_Maintenance_combine '!A:F,6,FALSE),"Non trouvé")</f>
        <v>Non trouvé</v>
      </c>
    </row>
    <row r="165" spans="1:10" x14ac:dyDescent="0.25">
      <c r="A165" t="str">
        <f>IFERROR(VLOOKUP(Logs_reseau[[#This Row],[Cell_ID]],'[1]Registre_Maintenance_combine '!A:B,2,FALSE),"Non trouvé")</f>
        <v>Non trouvé</v>
      </c>
      <c r="B165" t="s">
        <v>44</v>
      </c>
      <c r="C165" s="3">
        <v>45211.292361111111</v>
      </c>
      <c r="D165" s="11">
        <f>Logs_reseau[[#This Row],[Duree_Panne_Min]]/1440</f>
        <v>0.05</v>
      </c>
      <c r="E165">
        <v>72</v>
      </c>
      <c r="F165" t="s">
        <v>4</v>
      </c>
      <c r="G165" t="str">
        <f>IFERROR(VLOOKUP(Logs_reseau[[#This Row],[Cell_ID]],'[1]Registre_Maintenance_combine '!A:C,3,FALSE),"Non trouvé")</f>
        <v>Non trouvé</v>
      </c>
      <c r="H165" t="str">
        <f>IFERROR(VLOOKUP(Logs_reseau[[#This Row],[Cell_ID]],'[1]Registre_Maintenance_combine '!A:D,4,FALSE),"Non trouvé")</f>
        <v>Non trouvé</v>
      </c>
      <c r="I165" t="str">
        <f>IFERROR(VLOOKUP(Logs_reseau[[#This Row],[Cell_ID]],'[1]Registre_Maintenance_combine '!A:E,5,FALSE),"Non trouvé")</f>
        <v>Non trouvé</v>
      </c>
      <c r="J165" t="str">
        <f>IFERROR(VLOOKUP(Logs_reseau[[#This Row],[Cell_ID]],'[1]Registre_Maintenance_combine '!A:F,6,FALSE),"Non trouvé")</f>
        <v>Non trouvé</v>
      </c>
    </row>
    <row r="166" spans="1:10" x14ac:dyDescent="0.25">
      <c r="A166" t="str">
        <f>IFERROR(VLOOKUP(Logs_reseau[[#This Row],[Cell_ID]],'[1]Registre_Maintenance_combine '!A:B,2,FALSE),"Non trouvé")</f>
        <v>Nord-Kivu</v>
      </c>
      <c r="B166" t="s">
        <v>45</v>
      </c>
      <c r="C166" s="3">
        <v>45229.727777777778</v>
      </c>
      <c r="D166" s="11">
        <f>Logs_reseau[[#This Row],[Duree_Panne_Min]]/1440</f>
        <v>1.6666666666666666E-2</v>
      </c>
      <c r="E166">
        <v>24</v>
      </c>
      <c r="F166" t="s">
        <v>1</v>
      </c>
      <c r="G166">
        <f>IFERROR(VLOOKUP(Logs_reseau[[#This Row],[Cell_ID]],'[1]Registre_Maintenance_combine '!A:C,3,FALSE),"Non trouvé")</f>
        <v>-6.5529849999999996</v>
      </c>
      <c r="H166">
        <f>IFERROR(VLOOKUP(Logs_reseau[[#This Row],[Cell_ID]],'[1]Registre_Maintenance_combine '!A:D,4,FALSE),"Non trouvé")</f>
        <v>21.990606</v>
      </c>
      <c r="I166" t="str">
        <f>IFERROR(VLOOKUP(Logs_reseau[[#This Row],[Cell_ID]],'[1]Registre_Maintenance_combine '!A:E,5,FALSE),"Non trouvé")</f>
        <v>3G</v>
      </c>
      <c r="J166" t="str">
        <f>IFERROR(VLOOKUP(Logs_reseau[[#This Row],[Cell_ID]],'[1]Registre_Maintenance_combine '!A:F,6,FALSE),"Non trouvé")</f>
        <v>Huawei</v>
      </c>
    </row>
    <row r="167" spans="1:10" x14ac:dyDescent="0.25">
      <c r="A167" t="str">
        <f>IFERROR(VLOOKUP(Logs_reseau[[#This Row],[Cell_ID]],'[1]Registre_Maintenance_combine '!A:B,2,FALSE),"Non trouvé")</f>
        <v>Nord-Kivu</v>
      </c>
      <c r="B167" t="s">
        <v>45</v>
      </c>
      <c r="C167" s="3">
        <v>45208.328472222223</v>
      </c>
      <c r="D167" s="11">
        <f>Logs_reseau[[#This Row],[Duree_Panne_Min]]/1440</f>
        <v>5.8333333333333334E-2</v>
      </c>
      <c r="E167">
        <v>84</v>
      </c>
      <c r="F167" t="s">
        <v>4</v>
      </c>
      <c r="G167">
        <f>IFERROR(VLOOKUP(Logs_reseau[[#This Row],[Cell_ID]],'[1]Registre_Maintenance_combine '!A:C,3,FALSE),"Non trouvé")</f>
        <v>-6.5529849999999996</v>
      </c>
      <c r="H167">
        <f>IFERROR(VLOOKUP(Logs_reseau[[#This Row],[Cell_ID]],'[1]Registre_Maintenance_combine '!A:D,4,FALSE),"Non trouvé")</f>
        <v>21.990606</v>
      </c>
      <c r="I167" t="str">
        <f>IFERROR(VLOOKUP(Logs_reseau[[#This Row],[Cell_ID]],'[1]Registre_Maintenance_combine '!A:E,5,FALSE),"Non trouvé")</f>
        <v>3G</v>
      </c>
      <c r="J167" t="str">
        <f>IFERROR(VLOOKUP(Logs_reseau[[#This Row],[Cell_ID]],'[1]Registre_Maintenance_combine '!A:F,6,FALSE),"Non trouvé")</f>
        <v>Huawei</v>
      </c>
    </row>
    <row r="168" spans="1:10" x14ac:dyDescent="0.25">
      <c r="A168" t="str">
        <f>IFERROR(VLOOKUP(Logs_reseau[[#This Row],[Cell_ID]],'[1]Registre_Maintenance_combine '!A:B,2,FALSE),"Non trouvé")</f>
        <v>Nord-Kivu</v>
      </c>
      <c r="B168" t="s">
        <v>45</v>
      </c>
      <c r="C168" s="3">
        <v>45200.095833333333</v>
      </c>
      <c r="D168" s="11">
        <f>Logs_reseau[[#This Row],[Duree_Panne_Min]]/1440</f>
        <v>7.0833333333333331E-2</v>
      </c>
      <c r="E168">
        <v>102</v>
      </c>
      <c r="F168" t="s">
        <v>4</v>
      </c>
      <c r="G168">
        <f>IFERROR(VLOOKUP(Logs_reseau[[#This Row],[Cell_ID]],'[1]Registre_Maintenance_combine '!A:C,3,FALSE),"Non trouvé")</f>
        <v>-6.5529849999999996</v>
      </c>
      <c r="H168">
        <f>IFERROR(VLOOKUP(Logs_reseau[[#This Row],[Cell_ID]],'[1]Registre_Maintenance_combine '!A:D,4,FALSE),"Non trouvé")</f>
        <v>21.990606</v>
      </c>
      <c r="I168" t="str">
        <f>IFERROR(VLOOKUP(Logs_reseau[[#This Row],[Cell_ID]],'[1]Registre_Maintenance_combine '!A:E,5,FALSE),"Non trouvé")</f>
        <v>3G</v>
      </c>
      <c r="J168" t="str">
        <f>IFERROR(VLOOKUP(Logs_reseau[[#This Row],[Cell_ID]],'[1]Registre_Maintenance_combine '!A:F,6,FALSE),"Non trouvé")</f>
        <v>Huawei</v>
      </c>
    </row>
    <row r="169" spans="1:10" x14ac:dyDescent="0.25">
      <c r="A169" t="str">
        <f>IFERROR(VLOOKUP(Logs_reseau[[#This Row],[Cell_ID]],'[1]Registre_Maintenance_combine '!A:B,2,FALSE),"Non trouvé")</f>
        <v>Nord-Kivu</v>
      </c>
      <c r="B169" t="s">
        <v>45</v>
      </c>
      <c r="C169" s="3">
        <v>45221.724999999999</v>
      </c>
      <c r="D169" s="11">
        <f>Logs_reseau[[#This Row],[Duree_Panne_Min]]/1440</f>
        <v>6.7361111111111108E-2</v>
      </c>
      <c r="E169">
        <v>97</v>
      </c>
      <c r="F169" t="s">
        <v>1</v>
      </c>
      <c r="G169">
        <f>IFERROR(VLOOKUP(Logs_reseau[[#This Row],[Cell_ID]],'[1]Registre_Maintenance_combine '!A:C,3,FALSE),"Non trouvé")</f>
        <v>-6.5529849999999996</v>
      </c>
      <c r="H169">
        <f>IFERROR(VLOOKUP(Logs_reseau[[#This Row],[Cell_ID]],'[1]Registre_Maintenance_combine '!A:D,4,FALSE),"Non trouvé")</f>
        <v>21.990606</v>
      </c>
      <c r="I169" t="str">
        <f>IFERROR(VLOOKUP(Logs_reseau[[#This Row],[Cell_ID]],'[1]Registre_Maintenance_combine '!A:E,5,FALSE),"Non trouvé")</f>
        <v>3G</v>
      </c>
      <c r="J169" t="str">
        <f>IFERROR(VLOOKUP(Logs_reseau[[#This Row],[Cell_ID]],'[1]Registre_Maintenance_combine '!A:F,6,FALSE),"Non trouvé")</f>
        <v>Huawei</v>
      </c>
    </row>
    <row r="170" spans="1:10" x14ac:dyDescent="0.25">
      <c r="A170" t="str">
        <f>IFERROR(VLOOKUP(Logs_reseau[[#This Row],[Cell_ID]],'[1]Registre_Maintenance_combine '!A:B,2,FALSE),"Non trouvé")</f>
        <v>Nord-Kivu</v>
      </c>
      <c r="B170" t="s">
        <v>45</v>
      </c>
      <c r="C170" s="3">
        <v>45217.068749999999</v>
      </c>
      <c r="D170" s="11">
        <f>Logs_reseau[[#This Row],[Duree_Panne_Min]]/1440</f>
        <v>4.583333333333333E-2</v>
      </c>
      <c r="E170">
        <v>66</v>
      </c>
      <c r="F170" t="s">
        <v>4</v>
      </c>
      <c r="G170">
        <f>IFERROR(VLOOKUP(Logs_reseau[[#This Row],[Cell_ID]],'[1]Registre_Maintenance_combine '!A:C,3,FALSE),"Non trouvé")</f>
        <v>-6.5529849999999996</v>
      </c>
      <c r="H170">
        <f>IFERROR(VLOOKUP(Logs_reseau[[#This Row],[Cell_ID]],'[1]Registre_Maintenance_combine '!A:D,4,FALSE),"Non trouvé")</f>
        <v>21.990606</v>
      </c>
      <c r="I170" t="str">
        <f>IFERROR(VLOOKUP(Logs_reseau[[#This Row],[Cell_ID]],'[1]Registre_Maintenance_combine '!A:E,5,FALSE),"Non trouvé")</f>
        <v>3G</v>
      </c>
      <c r="J170" t="str">
        <f>IFERROR(VLOOKUP(Logs_reseau[[#This Row],[Cell_ID]],'[1]Registre_Maintenance_combine '!A:F,6,FALSE),"Non trouvé")</f>
        <v>Huawei</v>
      </c>
    </row>
    <row r="171" spans="1:10" x14ac:dyDescent="0.25">
      <c r="A171" t="str">
        <f>IFERROR(VLOOKUP(Logs_reseau[[#This Row],[Cell_ID]],'[1]Registre_Maintenance_combine '!A:B,2,FALSE),"Non trouvé")</f>
        <v>Nord-Kivu</v>
      </c>
      <c r="B171" t="s">
        <v>45</v>
      </c>
      <c r="C171" s="3">
        <v>45216.546527777777</v>
      </c>
      <c r="D171" s="11">
        <f>Logs_reseau[[#This Row],[Duree_Panne_Min]]/1440</f>
        <v>5.4166666666666669E-2</v>
      </c>
      <c r="E171">
        <v>78</v>
      </c>
      <c r="F171" t="s">
        <v>2</v>
      </c>
      <c r="G171">
        <f>IFERROR(VLOOKUP(Logs_reseau[[#This Row],[Cell_ID]],'[1]Registre_Maintenance_combine '!A:C,3,FALSE),"Non trouvé")</f>
        <v>-6.5529849999999996</v>
      </c>
      <c r="H171">
        <f>IFERROR(VLOOKUP(Logs_reseau[[#This Row],[Cell_ID]],'[1]Registre_Maintenance_combine '!A:D,4,FALSE),"Non trouvé")</f>
        <v>21.990606</v>
      </c>
      <c r="I171" t="str">
        <f>IFERROR(VLOOKUP(Logs_reseau[[#This Row],[Cell_ID]],'[1]Registre_Maintenance_combine '!A:E,5,FALSE),"Non trouvé")</f>
        <v>3G</v>
      </c>
      <c r="J171" t="str">
        <f>IFERROR(VLOOKUP(Logs_reseau[[#This Row],[Cell_ID]],'[1]Registre_Maintenance_combine '!A:F,6,FALSE),"Non trouvé")</f>
        <v>Huawei</v>
      </c>
    </row>
    <row r="172" spans="1:10" x14ac:dyDescent="0.25">
      <c r="A172" t="str">
        <f>IFERROR(VLOOKUP(Logs_reseau[[#This Row],[Cell_ID]],'[1]Registre_Maintenance_combine '!A:B,2,FALSE),"Non trouvé")</f>
        <v>Nord-Kivu</v>
      </c>
      <c r="B172" t="s">
        <v>46</v>
      </c>
      <c r="C172" s="3">
        <v>45226.003472222219</v>
      </c>
      <c r="D172" s="11">
        <f>Logs_reseau[[#This Row],[Duree_Panne_Min]]/1440</f>
        <v>5.5555555555555558E-3</v>
      </c>
      <c r="E172">
        <v>8</v>
      </c>
      <c r="F172" t="s">
        <v>2</v>
      </c>
      <c r="G172">
        <f>IFERROR(VLOOKUP(Logs_reseau[[#This Row],[Cell_ID]],'[1]Registre_Maintenance_combine '!A:C,3,FALSE),"Non trouvé")</f>
        <v>-0.17258100000000001</v>
      </c>
      <c r="H172">
        <f>IFERROR(VLOOKUP(Logs_reseau[[#This Row],[Cell_ID]],'[1]Registre_Maintenance_combine '!A:D,4,FALSE),"Non trouvé")</f>
        <v>23.775555000000001</v>
      </c>
      <c r="I172" t="str">
        <f>IFERROR(VLOOKUP(Logs_reseau[[#This Row],[Cell_ID]],'[1]Registre_Maintenance_combine '!A:E,5,FALSE),"Non trouvé")</f>
        <v>5G</v>
      </c>
      <c r="J172" t="str">
        <f>IFERROR(VLOOKUP(Logs_reseau[[#This Row],[Cell_ID]],'[1]Registre_Maintenance_combine '!A:F,6,FALSE),"Non trouvé")</f>
        <v>Nokia</v>
      </c>
    </row>
    <row r="173" spans="1:10" x14ac:dyDescent="0.25">
      <c r="A173" t="str">
        <f>IFERROR(VLOOKUP(Logs_reseau[[#This Row],[Cell_ID]],'[1]Registre_Maintenance_combine '!A:B,2,FALSE),"Non trouvé")</f>
        <v>Nord-Kivu</v>
      </c>
      <c r="B173" t="s">
        <v>46</v>
      </c>
      <c r="C173" s="3">
        <v>45217.926388888889</v>
      </c>
      <c r="D173" s="11">
        <f>Logs_reseau[[#This Row],[Duree_Panne_Min]]/1440</f>
        <v>4.3749999999999997E-2</v>
      </c>
      <c r="E173">
        <v>63</v>
      </c>
      <c r="F173" t="s">
        <v>1</v>
      </c>
      <c r="G173">
        <f>IFERROR(VLOOKUP(Logs_reseau[[#This Row],[Cell_ID]],'[1]Registre_Maintenance_combine '!A:C,3,FALSE),"Non trouvé")</f>
        <v>-0.17258100000000001</v>
      </c>
      <c r="H173">
        <f>IFERROR(VLOOKUP(Logs_reseau[[#This Row],[Cell_ID]],'[1]Registre_Maintenance_combine '!A:D,4,FALSE),"Non trouvé")</f>
        <v>23.775555000000001</v>
      </c>
      <c r="I173" t="str">
        <f>IFERROR(VLOOKUP(Logs_reseau[[#This Row],[Cell_ID]],'[1]Registre_Maintenance_combine '!A:E,5,FALSE),"Non trouvé")</f>
        <v>5G</v>
      </c>
      <c r="J173" t="str">
        <f>IFERROR(VLOOKUP(Logs_reseau[[#This Row],[Cell_ID]],'[1]Registre_Maintenance_combine '!A:F,6,FALSE),"Non trouvé")</f>
        <v>Nokia</v>
      </c>
    </row>
    <row r="174" spans="1:10" x14ac:dyDescent="0.25">
      <c r="A174" t="str">
        <f>IFERROR(VLOOKUP(Logs_reseau[[#This Row],[Cell_ID]],'[1]Registre_Maintenance_combine '!A:B,2,FALSE),"Non trouvé")</f>
        <v>Nord-Kivu</v>
      </c>
      <c r="B174" t="s">
        <v>46</v>
      </c>
      <c r="C174" s="3">
        <v>45213.446527777778</v>
      </c>
      <c r="D174" s="11">
        <f>Logs_reseau[[#This Row],[Duree_Panne_Min]]/1440</f>
        <v>3.2638888888888891E-2</v>
      </c>
      <c r="E174">
        <v>47</v>
      </c>
      <c r="F174" t="s">
        <v>1</v>
      </c>
      <c r="G174">
        <f>IFERROR(VLOOKUP(Logs_reseau[[#This Row],[Cell_ID]],'[1]Registre_Maintenance_combine '!A:C,3,FALSE),"Non trouvé")</f>
        <v>-0.17258100000000001</v>
      </c>
      <c r="H174">
        <f>IFERROR(VLOOKUP(Logs_reseau[[#This Row],[Cell_ID]],'[1]Registre_Maintenance_combine '!A:D,4,FALSE),"Non trouvé")</f>
        <v>23.775555000000001</v>
      </c>
      <c r="I174" t="str">
        <f>IFERROR(VLOOKUP(Logs_reseau[[#This Row],[Cell_ID]],'[1]Registre_Maintenance_combine '!A:E,5,FALSE),"Non trouvé")</f>
        <v>5G</v>
      </c>
      <c r="J174" t="str">
        <f>IFERROR(VLOOKUP(Logs_reseau[[#This Row],[Cell_ID]],'[1]Registre_Maintenance_combine '!A:F,6,FALSE),"Non trouvé")</f>
        <v>Nokia</v>
      </c>
    </row>
    <row r="175" spans="1:10" x14ac:dyDescent="0.25">
      <c r="A175" t="str">
        <f>IFERROR(VLOOKUP(Logs_reseau[[#This Row],[Cell_ID]],'[1]Registre_Maintenance_combine '!A:B,2,FALSE),"Non trouvé")</f>
        <v>Nord-Kivu</v>
      </c>
      <c r="B175" t="s">
        <v>46</v>
      </c>
      <c r="C175" s="3">
        <v>45222.82708333333</v>
      </c>
      <c r="D175" s="11">
        <f>Logs_reseau[[#This Row],[Duree_Panne_Min]]/1440</f>
        <v>2.2916666666666665E-2</v>
      </c>
      <c r="E175">
        <v>33</v>
      </c>
      <c r="F175" t="s">
        <v>1</v>
      </c>
      <c r="G175">
        <f>IFERROR(VLOOKUP(Logs_reseau[[#This Row],[Cell_ID]],'[1]Registre_Maintenance_combine '!A:C,3,FALSE),"Non trouvé")</f>
        <v>-0.17258100000000001</v>
      </c>
      <c r="H175">
        <f>IFERROR(VLOOKUP(Logs_reseau[[#This Row],[Cell_ID]],'[1]Registre_Maintenance_combine '!A:D,4,FALSE),"Non trouvé")</f>
        <v>23.775555000000001</v>
      </c>
      <c r="I175" t="str">
        <f>IFERROR(VLOOKUP(Logs_reseau[[#This Row],[Cell_ID]],'[1]Registre_Maintenance_combine '!A:E,5,FALSE),"Non trouvé")</f>
        <v>5G</v>
      </c>
      <c r="J175" t="str">
        <f>IFERROR(VLOOKUP(Logs_reseau[[#This Row],[Cell_ID]],'[1]Registre_Maintenance_combine '!A:F,6,FALSE),"Non trouvé")</f>
        <v>Nokia</v>
      </c>
    </row>
    <row r="176" spans="1:10" x14ac:dyDescent="0.25">
      <c r="A176" t="str">
        <f>IFERROR(VLOOKUP(Logs_reseau[[#This Row],[Cell_ID]],'[1]Registre_Maintenance_combine '!A:B,2,FALSE),"Non trouvé")</f>
        <v>Non trouvé</v>
      </c>
      <c r="B176" t="s">
        <v>47</v>
      </c>
      <c r="C176" s="3">
        <v>45217.321527777778</v>
      </c>
      <c r="D176" s="11">
        <f>Logs_reseau[[#This Row],[Duree_Panne_Min]]/1440</f>
        <v>4.0972222222222222E-2</v>
      </c>
      <c r="E176">
        <v>59</v>
      </c>
      <c r="F176" t="s">
        <v>4</v>
      </c>
      <c r="G176" t="str">
        <f>IFERROR(VLOOKUP(Logs_reseau[[#This Row],[Cell_ID]],'[1]Registre_Maintenance_combine '!A:C,3,FALSE),"Non trouvé")</f>
        <v>Non trouvé</v>
      </c>
      <c r="H176" t="str">
        <f>IFERROR(VLOOKUP(Logs_reseau[[#This Row],[Cell_ID]],'[1]Registre_Maintenance_combine '!A:D,4,FALSE),"Non trouvé")</f>
        <v>Non trouvé</v>
      </c>
      <c r="I176" t="str">
        <f>IFERROR(VLOOKUP(Logs_reseau[[#This Row],[Cell_ID]],'[1]Registre_Maintenance_combine '!A:E,5,FALSE),"Non trouvé")</f>
        <v>Non trouvé</v>
      </c>
      <c r="J176" t="str">
        <f>IFERROR(VLOOKUP(Logs_reseau[[#This Row],[Cell_ID]],'[1]Registre_Maintenance_combine '!A:F,6,FALSE),"Non trouvé")</f>
        <v>Non trouvé</v>
      </c>
    </row>
    <row r="177" spans="1:10" x14ac:dyDescent="0.25">
      <c r="A177" t="str">
        <f>IFERROR(VLOOKUP(Logs_reseau[[#This Row],[Cell_ID]],'[1]Registre_Maintenance_combine '!A:B,2,FALSE),"Non trouvé")</f>
        <v>Non trouvé</v>
      </c>
      <c r="B177" t="s">
        <v>47</v>
      </c>
      <c r="C177" s="3">
        <v>45221.517361111109</v>
      </c>
      <c r="D177" s="11">
        <f>Logs_reseau[[#This Row],[Duree_Panne_Min]]/1440</f>
        <v>7.9861111111111105E-2</v>
      </c>
      <c r="E177">
        <v>115</v>
      </c>
      <c r="F177" t="s">
        <v>1</v>
      </c>
      <c r="G177" t="str">
        <f>IFERROR(VLOOKUP(Logs_reseau[[#This Row],[Cell_ID]],'[1]Registre_Maintenance_combine '!A:C,3,FALSE),"Non trouvé")</f>
        <v>Non trouvé</v>
      </c>
      <c r="H177" t="str">
        <f>IFERROR(VLOOKUP(Logs_reseau[[#This Row],[Cell_ID]],'[1]Registre_Maintenance_combine '!A:D,4,FALSE),"Non trouvé")</f>
        <v>Non trouvé</v>
      </c>
      <c r="I177" t="str">
        <f>IFERROR(VLOOKUP(Logs_reseau[[#This Row],[Cell_ID]],'[1]Registre_Maintenance_combine '!A:E,5,FALSE),"Non trouvé")</f>
        <v>Non trouvé</v>
      </c>
      <c r="J177" t="str">
        <f>IFERROR(VLOOKUP(Logs_reseau[[#This Row],[Cell_ID]],'[1]Registre_Maintenance_combine '!A:F,6,FALSE),"Non trouvé")</f>
        <v>Non trouvé</v>
      </c>
    </row>
    <row r="178" spans="1:10" x14ac:dyDescent="0.25">
      <c r="A178" t="str">
        <f>IFERROR(VLOOKUP(Logs_reseau[[#This Row],[Cell_ID]],'[1]Registre_Maintenance_combine '!A:B,2,FALSE),"Non trouvé")</f>
        <v>Non trouvé</v>
      </c>
      <c r="B178" t="s">
        <v>47</v>
      </c>
      <c r="C178" s="3">
        <v>45209.645833333336</v>
      </c>
      <c r="D178" s="11">
        <f>Logs_reseau[[#This Row],[Duree_Panne_Min]]/1440</f>
        <v>7.7777777777777779E-2</v>
      </c>
      <c r="E178">
        <v>112</v>
      </c>
      <c r="F178" t="s">
        <v>4</v>
      </c>
      <c r="G178" t="str">
        <f>IFERROR(VLOOKUP(Logs_reseau[[#This Row],[Cell_ID]],'[1]Registre_Maintenance_combine '!A:C,3,FALSE),"Non trouvé")</f>
        <v>Non trouvé</v>
      </c>
      <c r="H178" t="str">
        <f>IFERROR(VLOOKUP(Logs_reseau[[#This Row],[Cell_ID]],'[1]Registre_Maintenance_combine '!A:D,4,FALSE),"Non trouvé")</f>
        <v>Non trouvé</v>
      </c>
      <c r="I178" t="str">
        <f>IFERROR(VLOOKUP(Logs_reseau[[#This Row],[Cell_ID]],'[1]Registre_Maintenance_combine '!A:E,5,FALSE),"Non trouvé")</f>
        <v>Non trouvé</v>
      </c>
      <c r="J178" t="str">
        <f>IFERROR(VLOOKUP(Logs_reseau[[#This Row],[Cell_ID]],'[1]Registre_Maintenance_combine '!A:F,6,FALSE),"Non trouvé")</f>
        <v>Non trouvé</v>
      </c>
    </row>
    <row r="179" spans="1:10" x14ac:dyDescent="0.25">
      <c r="A179" t="str">
        <f>IFERROR(VLOOKUP(Logs_reseau[[#This Row],[Cell_ID]],'[1]Registre_Maintenance_combine '!A:B,2,FALSE),"Non trouvé")</f>
        <v>Non trouvé</v>
      </c>
      <c r="B179" t="s">
        <v>47</v>
      </c>
      <c r="C179" s="3">
        <v>45202.388888888891</v>
      </c>
      <c r="D179" s="11">
        <f>Logs_reseau[[#This Row],[Duree_Panne_Min]]/1440</f>
        <v>1.8749999999999999E-2</v>
      </c>
      <c r="E179">
        <v>27</v>
      </c>
      <c r="F179" t="s">
        <v>1</v>
      </c>
      <c r="G179" t="str">
        <f>IFERROR(VLOOKUP(Logs_reseau[[#This Row],[Cell_ID]],'[1]Registre_Maintenance_combine '!A:C,3,FALSE),"Non trouvé")</f>
        <v>Non trouvé</v>
      </c>
      <c r="H179" t="str">
        <f>IFERROR(VLOOKUP(Logs_reseau[[#This Row],[Cell_ID]],'[1]Registre_Maintenance_combine '!A:D,4,FALSE),"Non trouvé")</f>
        <v>Non trouvé</v>
      </c>
      <c r="I179" t="str">
        <f>IFERROR(VLOOKUP(Logs_reseau[[#This Row],[Cell_ID]],'[1]Registre_Maintenance_combine '!A:E,5,FALSE),"Non trouvé")</f>
        <v>Non trouvé</v>
      </c>
      <c r="J179" t="str">
        <f>IFERROR(VLOOKUP(Logs_reseau[[#This Row],[Cell_ID]],'[1]Registre_Maintenance_combine '!A:F,6,FALSE),"Non trouvé")</f>
        <v>Non trouvé</v>
      </c>
    </row>
    <row r="180" spans="1:10" x14ac:dyDescent="0.25">
      <c r="A180" t="str">
        <f>IFERROR(VLOOKUP(Logs_reseau[[#This Row],[Cell_ID]],'[1]Registre_Maintenance_combine '!A:B,2,FALSE),"Non trouvé")</f>
        <v>Non trouvé</v>
      </c>
      <c r="B180" t="s">
        <v>48</v>
      </c>
      <c r="C180" s="3">
        <v>45227.484722222223</v>
      </c>
      <c r="D180" s="11">
        <f>Logs_reseau[[#This Row],[Duree_Panne_Min]]/1440</f>
        <v>7.4305555555555555E-2</v>
      </c>
      <c r="E180">
        <v>107</v>
      </c>
      <c r="F180" t="s">
        <v>1</v>
      </c>
      <c r="G180" t="str">
        <f>IFERROR(VLOOKUP(Logs_reseau[[#This Row],[Cell_ID]],'[1]Registre_Maintenance_combine '!A:C,3,FALSE),"Non trouvé")</f>
        <v>Non trouvé</v>
      </c>
      <c r="H180" t="str">
        <f>IFERROR(VLOOKUP(Logs_reseau[[#This Row],[Cell_ID]],'[1]Registre_Maintenance_combine '!A:D,4,FALSE),"Non trouvé")</f>
        <v>Non trouvé</v>
      </c>
      <c r="I180" t="str">
        <f>IFERROR(VLOOKUP(Logs_reseau[[#This Row],[Cell_ID]],'[1]Registre_Maintenance_combine '!A:E,5,FALSE),"Non trouvé")</f>
        <v>Non trouvé</v>
      </c>
      <c r="J180" t="str">
        <f>IFERROR(VLOOKUP(Logs_reseau[[#This Row],[Cell_ID]],'[1]Registre_Maintenance_combine '!A:F,6,FALSE),"Non trouvé")</f>
        <v>Non trouvé</v>
      </c>
    </row>
    <row r="181" spans="1:10" x14ac:dyDescent="0.25">
      <c r="A181" t="str">
        <f>IFERROR(VLOOKUP(Logs_reseau[[#This Row],[Cell_ID]],'[1]Registre_Maintenance_combine '!A:B,2,FALSE),"Non trouvé")</f>
        <v>Non trouvé</v>
      </c>
      <c r="B181" t="s">
        <v>48</v>
      </c>
      <c r="C181" s="3">
        <v>45200.830555555556</v>
      </c>
      <c r="D181" s="11">
        <f>Logs_reseau[[#This Row],[Duree_Panne_Min]]/1440</f>
        <v>5.2777777777777778E-2</v>
      </c>
      <c r="E181">
        <v>76</v>
      </c>
      <c r="F181" t="s">
        <v>4</v>
      </c>
      <c r="G181" t="str">
        <f>IFERROR(VLOOKUP(Logs_reseau[[#This Row],[Cell_ID]],'[1]Registre_Maintenance_combine '!A:C,3,FALSE),"Non trouvé")</f>
        <v>Non trouvé</v>
      </c>
      <c r="H181" t="str">
        <f>IFERROR(VLOOKUP(Logs_reseau[[#This Row],[Cell_ID]],'[1]Registre_Maintenance_combine '!A:D,4,FALSE),"Non trouvé")</f>
        <v>Non trouvé</v>
      </c>
      <c r="I181" t="str">
        <f>IFERROR(VLOOKUP(Logs_reseau[[#This Row],[Cell_ID]],'[1]Registre_Maintenance_combine '!A:E,5,FALSE),"Non trouvé")</f>
        <v>Non trouvé</v>
      </c>
      <c r="J181" t="str">
        <f>IFERROR(VLOOKUP(Logs_reseau[[#This Row],[Cell_ID]],'[1]Registre_Maintenance_combine '!A:F,6,FALSE),"Non trouvé")</f>
        <v>Non trouvé</v>
      </c>
    </row>
    <row r="182" spans="1:10" x14ac:dyDescent="0.25">
      <c r="A182" t="str">
        <f>IFERROR(VLOOKUP(Logs_reseau[[#This Row],[Cell_ID]],'[1]Registre_Maintenance_combine '!A:B,2,FALSE),"Non trouvé")</f>
        <v>Non trouvé</v>
      </c>
      <c r="B182" t="s">
        <v>48</v>
      </c>
      <c r="C182" s="3">
        <v>45220.452777777777</v>
      </c>
      <c r="D182" s="11">
        <f>Logs_reseau[[#This Row],[Duree_Panne_Min]]/1440</f>
        <v>4.4444444444444446E-2</v>
      </c>
      <c r="E182">
        <v>64</v>
      </c>
      <c r="F182" t="s">
        <v>1</v>
      </c>
      <c r="G182" t="str">
        <f>IFERROR(VLOOKUP(Logs_reseau[[#This Row],[Cell_ID]],'[1]Registre_Maintenance_combine '!A:C,3,FALSE),"Non trouvé")</f>
        <v>Non trouvé</v>
      </c>
      <c r="H182" t="str">
        <f>IFERROR(VLOOKUP(Logs_reseau[[#This Row],[Cell_ID]],'[1]Registre_Maintenance_combine '!A:D,4,FALSE),"Non trouvé")</f>
        <v>Non trouvé</v>
      </c>
      <c r="I182" t="str">
        <f>IFERROR(VLOOKUP(Logs_reseau[[#This Row],[Cell_ID]],'[1]Registre_Maintenance_combine '!A:E,5,FALSE),"Non trouvé")</f>
        <v>Non trouvé</v>
      </c>
      <c r="J182" t="str">
        <f>IFERROR(VLOOKUP(Logs_reseau[[#This Row],[Cell_ID]],'[1]Registre_Maintenance_combine '!A:F,6,FALSE),"Non trouvé")</f>
        <v>Non trouvé</v>
      </c>
    </row>
    <row r="183" spans="1:10" x14ac:dyDescent="0.25">
      <c r="A183" t="str">
        <f>IFERROR(VLOOKUP(Logs_reseau[[#This Row],[Cell_ID]],'[1]Registre_Maintenance_combine '!A:B,2,FALSE),"Non trouvé")</f>
        <v>Equateur</v>
      </c>
      <c r="B183" t="s">
        <v>49</v>
      </c>
      <c r="C183" s="3">
        <v>45227.309027777781</v>
      </c>
      <c r="D183" s="11">
        <f>Logs_reseau[[#This Row],[Duree_Panne_Min]]/1440</f>
        <v>1.3888888888888888E-2</v>
      </c>
      <c r="E183">
        <v>20</v>
      </c>
      <c r="F183" t="s">
        <v>1</v>
      </c>
      <c r="G183">
        <f>IFERROR(VLOOKUP(Logs_reseau[[#This Row],[Cell_ID]],'[1]Registre_Maintenance_combine '!A:C,3,FALSE),"Non trouvé")</f>
        <v>-6.7420359999999997</v>
      </c>
      <c r="H183">
        <f>IFERROR(VLOOKUP(Logs_reseau[[#This Row],[Cell_ID]],'[1]Registre_Maintenance_combine '!A:D,4,FALSE),"Non trouvé")</f>
        <v>28.905578999999999</v>
      </c>
      <c r="I183" t="str">
        <f>IFERROR(VLOOKUP(Logs_reseau[[#This Row],[Cell_ID]],'[1]Registre_Maintenance_combine '!A:E,5,FALSE),"Non trouvé")</f>
        <v>3G</v>
      </c>
      <c r="J183" t="str">
        <f>IFERROR(VLOOKUP(Logs_reseau[[#This Row],[Cell_ID]],'[1]Registre_Maintenance_combine '!A:F,6,FALSE),"Non trouvé")</f>
        <v>Huawei</v>
      </c>
    </row>
    <row r="184" spans="1:10" x14ac:dyDescent="0.25">
      <c r="A184" t="str">
        <f>IFERROR(VLOOKUP(Logs_reseau[[#This Row],[Cell_ID]],'[1]Registre_Maintenance_combine '!A:B,2,FALSE),"Non trouvé")</f>
        <v>Equateur</v>
      </c>
      <c r="B184" t="s">
        <v>49</v>
      </c>
      <c r="C184" s="3">
        <v>45209.303472222222</v>
      </c>
      <c r="D184" s="11">
        <f>Logs_reseau[[#This Row],[Duree_Panne_Min]]/1440</f>
        <v>7.7777777777777779E-2</v>
      </c>
      <c r="E184">
        <v>112</v>
      </c>
      <c r="F184" t="s">
        <v>4</v>
      </c>
      <c r="G184">
        <f>IFERROR(VLOOKUP(Logs_reseau[[#This Row],[Cell_ID]],'[1]Registre_Maintenance_combine '!A:C,3,FALSE),"Non trouvé")</f>
        <v>-6.7420359999999997</v>
      </c>
      <c r="H184">
        <f>IFERROR(VLOOKUP(Logs_reseau[[#This Row],[Cell_ID]],'[1]Registre_Maintenance_combine '!A:D,4,FALSE),"Non trouvé")</f>
        <v>28.905578999999999</v>
      </c>
      <c r="I184" t="str">
        <f>IFERROR(VLOOKUP(Logs_reseau[[#This Row],[Cell_ID]],'[1]Registre_Maintenance_combine '!A:E,5,FALSE),"Non trouvé")</f>
        <v>3G</v>
      </c>
      <c r="J184" t="str">
        <f>IFERROR(VLOOKUP(Logs_reseau[[#This Row],[Cell_ID]],'[1]Registre_Maintenance_combine '!A:F,6,FALSE),"Non trouvé")</f>
        <v>Huawei</v>
      </c>
    </row>
    <row r="185" spans="1:10" x14ac:dyDescent="0.25">
      <c r="A185" t="str">
        <f>IFERROR(VLOOKUP(Logs_reseau[[#This Row],[Cell_ID]],'[1]Registre_Maintenance_combine '!A:B,2,FALSE),"Non trouvé")</f>
        <v>Equateur</v>
      </c>
      <c r="B185" t="s">
        <v>49</v>
      </c>
      <c r="C185" s="3">
        <v>45226.628472222219</v>
      </c>
      <c r="D185" s="11">
        <f>Logs_reseau[[#This Row],[Duree_Panne_Min]]/1440</f>
        <v>3.888888888888889E-2</v>
      </c>
      <c r="E185">
        <v>56</v>
      </c>
      <c r="F185" t="s">
        <v>2</v>
      </c>
      <c r="G185">
        <f>IFERROR(VLOOKUP(Logs_reseau[[#This Row],[Cell_ID]],'[1]Registre_Maintenance_combine '!A:C,3,FALSE),"Non trouvé")</f>
        <v>-6.7420359999999997</v>
      </c>
      <c r="H185">
        <f>IFERROR(VLOOKUP(Logs_reseau[[#This Row],[Cell_ID]],'[1]Registre_Maintenance_combine '!A:D,4,FALSE),"Non trouvé")</f>
        <v>28.905578999999999</v>
      </c>
      <c r="I185" t="str">
        <f>IFERROR(VLOOKUP(Logs_reseau[[#This Row],[Cell_ID]],'[1]Registre_Maintenance_combine '!A:E,5,FALSE),"Non trouvé")</f>
        <v>3G</v>
      </c>
      <c r="J185" t="str">
        <f>IFERROR(VLOOKUP(Logs_reseau[[#This Row],[Cell_ID]],'[1]Registre_Maintenance_combine '!A:F,6,FALSE),"Non trouvé")</f>
        <v>Huawei</v>
      </c>
    </row>
    <row r="186" spans="1:10" x14ac:dyDescent="0.25">
      <c r="A186" t="str">
        <f>IFERROR(VLOOKUP(Logs_reseau[[#This Row],[Cell_ID]],'[1]Registre_Maintenance_combine '!A:B,2,FALSE),"Non trouvé")</f>
        <v>Equateur</v>
      </c>
      <c r="B186" t="s">
        <v>49</v>
      </c>
      <c r="C186" s="3">
        <v>45202.367361111108</v>
      </c>
      <c r="D186" s="11">
        <f>Logs_reseau[[#This Row],[Duree_Panne_Min]]/1440</f>
        <v>5.347222222222222E-2</v>
      </c>
      <c r="E186">
        <v>77</v>
      </c>
      <c r="F186" t="s">
        <v>2</v>
      </c>
      <c r="G186">
        <f>IFERROR(VLOOKUP(Logs_reseau[[#This Row],[Cell_ID]],'[1]Registre_Maintenance_combine '!A:C,3,FALSE),"Non trouvé")</f>
        <v>-6.7420359999999997</v>
      </c>
      <c r="H186">
        <f>IFERROR(VLOOKUP(Logs_reseau[[#This Row],[Cell_ID]],'[1]Registre_Maintenance_combine '!A:D,4,FALSE),"Non trouvé")</f>
        <v>28.905578999999999</v>
      </c>
      <c r="I186" t="str">
        <f>IFERROR(VLOOKUP(Logs_reseau[[#This Row],[Cell_ID]],'[1]Registre_Maintenance_combine '!A:E,5,FALSE),"Non trouvé")</f>
        <v>3G</v>
      </c>
      <c r="J186" t="str">
        <f>IFERROR(VLOOKUP(Logs_reseau[[#This Row],[Cell_ID]],'[1]Registre_Maintenance_combine '!A:F,6,FALSE),"Non trouvé")</f>
        <v>Huawei</v>
      </c>
    </row>
    <row r="187" spans="1:10" x14ac:dyDescent="0.25">
      <c r="A187" t="str">
        <f>IFERROR(VLOOKUP(Logs_reseau[[#This Row],[Cell_ID]],'[1]Registre_Maintenance_combine '!A:B,2,FALSE),"Non trouvé")</f>
        <v>Equateur</v>
      </c>
      <c r="B187" t="s">
        <v>49</v>
      </c>
      <c r="C187" s="3">
        <v>45230.423611111109</v>
      </c>
      <c r="D187" s="11">
        <f>Logs_reseau[[#This Row],[Duree_Panne_Min]]/1440</f>
        <v>2.7083333333333334E-2</v>
      </c>
      <c r="E187">
        <v>39</v>
      </c>
      <c r="F187" t="s">
        <v>4</v>
      </c>
      <c r="G187">
        <f>IFERROR(VLOOKUP(Logs_reseau[[#This Row],[Cell_ID]],'[1]Registre_Maintenance_combine '!A:C,3,FALSE),"Non trouvé")</f>
        <v>-6.7420359999999997</v>
      </c>
      <c r="H187">
        <f>IFERROR(VLOOKUP(Logs_reseau[[#This Row],[Cell_ID]],'[1]Registre_Maintenance_combine '!A:D,4,FALSE),"Non trouvé")</f>
        <v>28.905578999999999</v>
      </c>
      <c r="I187" t="str">
        <f>IFERROR(VLOOKUP(Logs_reseau[[#This Row],[Cell_ID]],'[1]Registre_Maintenance_combine '!A:E,5,FALSE),"Non trouvé")</f>
        <v>3G</v>
      </c>
      <c r="J187" t="str">
        <f>IFERROR(VLOOKUP(Logs_reseau[[#This Row],[Cell_ID]],'[1]Registre_Maintenance_combine '!A:F,6,FALSE),"Non trouvé")</f>
        <v>Huawei</v>
      </c>
    </row>
    <row r="188" spans="1:10" x14ac:dyDescent="0.25">
      <c r="A188" t="str">
        <f>IFERROR(VLOOKUP(Logs_reseau[[#This Row],[Cell_ID]],'[1]Registre_Maintenance_combine '!A:B,2,FALSE),"Non trouvé")</f>
        <v>Equateur</v>
      </c>
      <c r="B188" t="s">
        <v>49</v>
      </c>
      <c r="C188" s="3">
        <v>45225.811805555553</v>
      </c>
      <c r="D188" s="11">
        <f>Logs_reseau[[#This Row],[Duree_Panne_Min]]/1440</f>
        <v>2.013888888888889E-2</v>
      </c>
      <c r="E188">
        <v>29</v>
      </c>
      <c r="F188" t="s">
        <v>1</v>
      </c>
      <c r="G188">
        <f>IFERROR(VLOOKUP(Logs_reseau[[#This Row],[Cell_ID]],'[1]Registre_Maintenance_combine '!A:C,3,FALSE),"Non trouvé")</f>
        <v>-6.7420359999999997</v>
      </c>
      <c r="H188">
        <f>IFERROR(VLOOKUP(Logs_reseau[[#This Row],[Cell_ID]],'[1]Registre_Maintenance_combine '!A:D,4,FALSE),"Non trouvé")</f>
        <v>28.905578999999999</v>
      </c>
      <c r="I188" t="str">
        <f>IFERROR(VLOOKUP(Logs_reseau[[#This Row],[Cell_ID]],'[1]Registre_Maintenance_combine '!A:E,5,FALSE),"Non trouvé")</f>
        <v>3G</v>
      </c>
      <c r="J188" t="str">
        <f>IFERROR(VLOOKUP(Logs_reseau[[#This Row],[Cell_ID]],'[1]Registre_Maintenance_combine '!A:F,6,FALSE),"Non trouvé")</f>
        <v>Huawei</v>
      </c>
    </row>
    <row r="189" spans="1:10" x14ac:dyDescent="0.25">
      <c r="A189" t="str">
        <f>IFERROR(VLOOKUP(Logs_reseau[[#This Row],[Cell_ID]],'[1]Registre_Maintenance_combine '!A:B,2,FALSE),"Non trouvé")</f>
        <v>Equateur</v>
      </c>
      <c r="B189" t="s">
        <v>49</v>
      </c>
      <c r="C189" s="3">
        <v>45215.611111111109</v>
      </c>
      <c r="D189" s="11">
        <f>Logs_reseau[[#This Row],[Duree_Panne_Min]]/1440</f>
        <v>8.2638888888888887E-2</v>
      </c>
      <c r="E189">
        <v>119</v>
      </c>
      <c r="F189" t="s">
        <v>1</v>
      </c>
      <c r="G189">
        <f>IFERROR(VLOOKUP(Logs_reseau[[#This Row],[Cell_ID]],'[1]Registre_Maintenance_combine '!A:C,3,FALSE),"Non trouvé")</f>
        <v>-6.7420359999999997</v>
      </c>
      <c r="H189">
        <f>IFERROR(VLOOKUP(Logs_reseau[[#This Row],[Cell_ID]],'[1]Registre_Maintenance_combine '!A:D,4,FALSE),"Non trouvé")</f>
        <v>28.905578999999999</v>
      </c>
      <c r="I189" t="str">
        <f>IFERROR(VLOOKUP(Logs_reseau[[#This Row],[Cell_ID]],'[1]Registre_Maintenance_combine '!A:E,5,FALSE),"Non trouvé")</f>
        <v>3G</v>
      </c>
      <c r="J189" t="str">
        <f>IFERROR(VLOOKUP(Logs_reseau[[#This Row],[Cell_ID]],'[1]Registre_Maintenance_combine '!A:F,6,FALSE),"Non trouvé")</f>
        <v>Huawei</v>
      </c>
    </row>
    <row r="190" spans="1:10" x14ac:dyDescent="0.25">
      <c r="A190" t="str">
        <f>IFERROR(VLOOKUP(Logs_reseau[[#This Row],[Cell_ID]],'[1]Registre_Maintenance_combine '!A:B,2,FALSE),"Non trouvé")</f>
        <v>Equateur</v>
      </c>
      <c r="B190" t="s">
        <v>49</v>
      </c>
      <c r="C190" s="3">
        <v>45224.745138888888</v>
      </c>
      <c r="D190" s="11">
        <f>Logs_reseau[[#This Row],[Duree_Panne_Min]]/1440</f>
        <v>1.3888888888888888E-2</v>
      </c>
      <c r="E190">
        <v>20</v>
      </c>
      <c r="F190" t="s">
        <v>1</v>
      </c>
      <c r="G190">
        <f>IFERROR(VLOOKUP(Logs_reseau[[#This Row],[Cell_ID]],'[1]Registre_Maintenance_combine '!A:C,3,FALSE),"Non trouvé")</f>
        <v>-6.7420359999999997</v>
      </c>
      <c r="H190">
        <f>IFERROR(VLOOKUP(Logs_reseau[[#This Row],[Cell_ID]],'[1]Registre_Maintenance_combine '!A:D,4,FALSE),"Non trouvé")</f>
        <v>28.905578999999999</v>
      </c>
      <c r="I190" t="str">
        <f>IFERROR(VLOOKUP(Logs_reseau[[#This Row],[Cell_ID]],'[1]Registre_Maintenance_combine '!A:E,5,FALSE),"Non trouvé")</f>
        <v>3G</v>
      </c>
      <c r="J190" t="str">
        <f>IFERROR(VLOOKUP(Logs_reseau[[#This Row],[Cell_ID]],'[1]Registre_Maintenance_combine '!A:F,6,FALSE),"Non trouvé")</f>
        <v>Huawei</v>
      </c>
    </row>
    <row r="191" spans="1:10" x14ac:dyDescent="0.25">
      <c r="A191" t="str">
        <f>IFERROR(VLOOKUP(Logs_reseau[[#This Row],[Cell_ID]],'[1]Registre_Maintenance_combine '!A:B,2,FALSE),"Non trouvé")</f>
        <v>Equateur</v>
      </c>
      <c r="B191" t="s">
        <v>49</v>
      </c>
      <c r="C191" s="3">
        <v>45214.31527777778</v>
      </c>
      <c r="D191" s="11">
        <f>Logs_reseau[[#This Row],[Duree_Panne_Min]]/1440</f>
        <v>5.6944444444444443E-2</v>
      </c>
      <c r="E191">
        <v>82</v>
      </c>
      <c r="F191" t="s">
        <v>4</v>
      </c>
      <c r="G191">
        <f>IFERROR(VLOOKUP(Logs_reseau[[#This Row],[Cell_ID]],'[1]Registre_Maintenance_combine '!A:C,3,FALSE),"Non trouvé")</f>
        <v>-6.7420359999999997</v>
      </c>
      <c r="H191">
        <f>IFERROR(VLOOKUP(Logs_reseau[[#This Row],[Cell_ID]],'[1]Registre_Maintenance_combine '!A:D,4,FALSE),"Non trouvé")</f>
        <v>28.905578999999999</v>
      </c>
      <c r="I191" t="str">
        <f>IFERROR(VLOOKUP(Logs_reseau[[#This Row],[Cell_ID]],'[1]Registre_Maintenance_combine '!A:E,5,FALSE),"Non trouvé")</f>
        <v>3G</v>
      </c>
      <c r="J191" t="str">
        <f>IFERROR(VLOOKUP(Logs_reseau[[#This Row],[Cell_ID]],'[1]Registre_Maintenance_combine '!A:F,6,FALSE),"Non trouvé")</f>
        <v>Huawei</v>
      </c>
    </row>
    <row r="192" spans="1:10" x14ac:dyDescent="0.25">
      <c r="A192" t="str">
        <f>IFERROR(VLOOKUP(Logs_reseau[[#This Row],[Cell_ID]],'[1]Registre_Maintenance_combine '!A:B,2,FALSE),"Non trouvé")</f>
        <v>Non trouvé</v>
      </c>
      <c r="B192" t="s">
        <v>50</v>
      </c>
      <c r="C192" s="3">
        <v>45228.741666666669</v>
      </c>
      <c r="D192" s="11">
        <f>Logs_reseau[[#This Row],[Duree_Panne_Min]]/1440</f>
        <v>6.9444444444444441E-3</v>
      </c>
      <c r="E192">
        <v>10</v>
      </c>
      <c r="F192" t="s">
        <v>4</v>
      </c>
      <c r="G192" t="str">
        <f>IFERROR(VLOOKUP(Logs_reseau[[#This Row],[Cell_ID]],'[1]Registre_Maintenance_combine '!A:C,3,FALSE),"Non trouvé")</f>
        <v>Non trouvé</v>
      </c>
      <c r="H192" t="str">
        <f>IFERROR(VLOOKUP(Logs_reseau[[#This Row],[Cell_ID]],'[1]Registre_Maintenance_combine '!A:D,4,FALSE),"Non trouvé")</f>
        <v>Non trouvé</v>
      </c>
      <c r="I192" t="str">
        <f>IFERROR(VLOOKUP(Logs_reseau[[#This Row],[Cell_ID]],'[1]Registre_Maintenance_combine '!A:E,5,FALSE),"Non trouvé")</f>
        <v>Non trouvé</v>
      </c>
      <c r="J192" t="str">
        <f>IFERROR(VLOOKUP(Logs_reseau[[#This Row],[Cell_ID]],'[1]Registre_Maintenance_combine '!A:F,6,FALSE),"Non trouvé")</f>
        <v>Non trouvé</v>
      </c>
    </row>
    <row r="193" spans="1:10" x14ac:dyDescent="0.25">
      <c r="A193" t="str">
        <f>IFERROR(VLOOKUP(Logs_reseau[[#This Row],[Cell_ID]],'[1]Registre_Maintenance_combine '!A:B,2,FALSE),"Non trouvé")</f>
        <v>Non trouvé</v>
      </c>
      <c r="B193" t="s">
        <v>50</v>
      </c>
      <c r="C193" s="3">
        <v>45208.688194444447</v>
      </c>
      <c r="D193" s="11">
        <f>Logs_reseau[[#This Row],[Duree_Panne_Min]]/1440</f>
        <v>1.8749999999999999E-2</v>
      </c>
      <c r="E193">
        <v>27</v>
      </c>
      <c r="F193" t="s">
        <v>4</v>
      </c>
      <c r="G193" t="str">
        <f>IFERROR(VLOOKUP(Logs_reseau[[#This Row],[Cell_ID]],'[1]Registre_Maintenance_combine '!A:C,3,FALSE),"Non trouvé")</f>
        <v>Non trouvé</v>
      </c>
      <c r="H193" t="str">
        <f>IFERROR(VLOOKUP(Logs_reseau[[#This Row],[Cell_ID]],'[1]Registre_Maintenance_combine '!A:D,4,FALSE),"Non trouvé")</f>
        <v>Non trouvé</v>
      </c>
      <c r="I193" t="str">
        <f>IFERROR(VLOOKUP(Logs_reseau[[#This Row],[Cell_ID]],'[1]Registre_Maintenance_combine '!A:E,5,FALSE),"Non trouvé")</f>
        <v>Non trouvé</v>
      </c>
      <c r="J193" t="str">
        <f>IFERROR(VLOOKUP(Logs_reseau[[#This Row],[Cell_ID]],'[1]Registre_Maintenance_combine '!A:F,6,FALSE),"Non trouvé")</f>
        <v>Non trouvé</v>
      </c>
    </row>
    <row r="194" spans="1:10" x14ac:dyDescent="0.25">
      <c r="A194" t="str">
        <f>IFERROR(VLOOKUP(Logs_reseau[[#This Row],[Cell_ID]],'[1]Registre_Maintenance_combine '!A:B,2,FALSE),"Non trouvé")</f>
        <v>Non trouvé</v>
      </c>
      <c r="B194" t="s">
        <v>50</v>
      </c>
      <c r="C194" s="3">
        <v>45222.19027777778</v>
      </c>
      <c r="D194" s="11">
        <f>Logs_reseau[[#This Row],[Duree_Panne_Min]]/1440</f>
        <v>2.4305555555555556E-2</v>
      </c>
      <c r="E194">
        <v>35</v>
      </c>
      <c r="F194" t="s">
        <v>2</v>
      </c>
      <c r="G194" t="str">
        <f>IFERROR(VLOOKUP(Logs_reseau[[#This Row],[Cell_ID]],'[1]Registre_Maintenance_combine '!A:C,3,FALSE),"Non trouvé")</f>
        <v>Non trouvé</v>
      </c>
      <c r="H194" t="str">
        <f>IFERROR(VLOOKUP(Logs_reseau[[#This Row],[Cell_ID]],'[1]Registre_Maintenance_combine '!A:D,4,FALSE),"Non trouvé")</f>
        <v>Non trouvé</v>
      </c>
      <c r="I194" t="str">
        <f>IFERROR(VLOOKUP(Logs_reseau[[#This Row],[Cell_ID]],'[1]Registre_Maintenance_combine '!A:E,5,FALSE),"Non trouvé")</f>
        <v>Non trouvé</v>
      </c>
      <c r="J194" t="str">
        <f>IFERROR(VLOOKUP(Logs_reseau[[#This Row],[Cell_ID]],'[1]Registre_Maintenance_combine '!A:F,6,FALSE),"Non trouvé")</f>
        <v>Non trouvé</v>
      </c>
    </row>
    <row r="195" spans="1:10" x14ac:dyDescent="0.25">
      <c r="A195" t="str">
        <f>IFERROR(VLOOKUP(Logs_reseau[[#This Row],[Cell_ID]],'[1]Registre_Maintenance_combine '!A:B,2,FALSE),"Non trouvé")</f>
        <v>Non trouvé</v>
      </c>
      <c r="B195" t="s">
        <v>50</v>
      </c>
      <c r="C195" s="3">
        <v>45223.451388888891</v>
      </c>
      <c r="D195" s="11">
        <f>Logs_reseau[[#This Row],[Duree_Panne_Min]]/1440</f>
        <v>8.1944444444444445E-2</v>
      </c>
      <c r="E195">
        <v>118</v>
      </c>
      <c r="F195" t="s">
        <v>2</v>
      </c>
      <c r="G195" t="str">
        <f>IFERROR(VLOOKUP(Logs_reseau[[#This Row],[Cell_ID]],'[1]Registre_Maintenance_combine '!A:C,3,FALSE),"Non trouvé")</f>
        <v>Non trouvé</v>
      </c>
      <c r="H195" t="str">
        <f>IFERROR(VLOOKUP(Logs_reseau[[#This Row],[Cell_ID]],'[1]Registre_Maintenance_combine '!A:D,4,FALSE),"Non trouvé")</f>
        <v>Non trouvé</v>
      </c>
      <c r="I195" t="str">
        <f>IFERROR(VLOOKUP(Logs_reseau[[#This Row],[Cell_ID]],'[1]Registre_Maintenance_combine '!A:E,5,FALSE),"Non trouvé")</f>
        <v>Non trouvé</v>
      </c>
      <c r="J195" t="str">
        <f>IFERROR(VLOOKUP(Logs_reseau[[#This Row],[Cell_ID]],'[1]Registre_Maintenance_combine '!A:F,6,FALSE),"Non trouvé")</f>
        <v>Non trouvé</v>
      </c>
    </row>
    <row r="196" spans="1:10" x14ac:dyDescent="0.25">
      <c r="A196" t="str">
        <f>IFERROR(VLOOKUP(Logs_reseau[[#This Row],[Cell_ID]],'[1]Registre_Maintenance_combine '!A:B,2,FALSE),"Non trouvé")</f>
        <v>Non trouvé</v>
      </c>
      <c r="B196" t="s">
        <v>51</v>
      </c>
      <c r="C196" s="3">
        <v>45225.159722222219</v>
      </c>
      <c r="D196" s="11">
        <f>Logs_reseau[[#This Row],[Duree_Panne_Min]]/1440</f>
        <v>3.888888888888889E-2</v>
      </c>
      <c r="E196">
        <v>56</v>
      </c>
      <c r="F196" t="s">
        <v>2</v>
      </c>
      <c r="G196" t="str">
        <f>IFERROR(VLOOKUP(Logs_reseau[[#This Row],[Cell_ID]],'[1]Registre_Maintenance_combine '!A:C,3,FALSE),"Non trouvé")</f>
        <v>Non trouvé</v>
      </c>
      <c r="H196" t="str">
        <f>IFERROR(VLOOKUP(Logs_reseau[[#This Row],[Cell_ID]],'[1]Registre_Maintenance_combine '!A:D,4,FALSE),"Non trouvé")</f>
        <v>Non trouvé</v>
      </c>
      <c r="I196" t="str">
        <f>IFERROR(VLOOKUP(Logs_reseau[[#This Row],[Cell_ID]],'[1]Registre_Maintenance_combine '!A:E,5,FALSE),"Non trouvé")</f>
        <v>Non trouvé</v>
      </c>
      <c r="J196" t="str">
        <f>IFERROR(VLOOKUP(Logs_reseau[[#This Row],[Cell_ID]],'[1]Registre_Maintenance_combine '!A:F,6,FALSE),"Non trouvé")</f>
        <v>Non trouvé</v>
      </c>
    </row>
    <row r="197" spans="1:10" x14ac:dyDescent="0.25">
      <c r="A197" t="str">
        <f>IFERROR(VLOOKUP(Logs_reseau[[#This Row],[Cell_ID]],'[1]Registre_Maintenance_combine '!A:B,2,FALSE),"Non trouvé")</f>
        <v>Non trouvé</v>
      </c>
      <c r="B197" t="s">
        <v>51</v>
      </c>
      <c r="C197" s="3">
        <v>45227.335416666669</v>
      </c>
      <c r="D197" s="11">
        <f>Logs_reseau[[#This Row],[Duree_Panne_Min]]/1440</f>
        <v>6.25E-2</v>
      </c>
      <c r="E197">
        <v>90</v>
      </c>
      <c r="F197" t="s">
        <v>2</v>
      </c>
      <c r="G197" t="str">
        <f>IFERROR(VLOOKUP(Logs_reseau[[#This Row],[Cell_ID]],'[1]Registre_Maintenance_combine '!A:C,3,FALSE),"Non trouvé")</f>
        <v>Non trouvé</v>
      </c>
      <c r="H197" t="str">
        <f>IFERROR(VLOOKUP(Logs_reseau[[#This Row],[Cell_ID]],'[1]Registre_Maintenance_combine '!A:D,4,FALSE),"Non trouvé")</f>
        <v>Non trouvé</v>
      </c>
      <c r="I197" t="str">
        <f>IFERROR(VLOOKUP(Logs_reseau[[#This Row],[Cell_ID]],'[1]Registre_Maintenance_combine '!A:E,5,FALSE),"Non trouvé")</f>
        <v>Non trouvé</v>
      </c>
      <c r="J197" t="str">
        <f>IFERROR(VLOOKUP(Logs_reseau[[#This Row],[Cell_ID]],'[1]Registre_Maintenance_combine '!A:F,6,FALSE),"Non trouvé")</f>
        <v>Non trouvé</v>
      </c>
    </row>
    <row r="198" spans="1:10" x14ac:dyDescent="0.25">
      <c r="A198" t="str">
        <f>IFERROR(VLOOKUP(Logs_reseau[[#This Row],[Cell_ID]],'[1]Registre_Maintenance_combine '!A:B,2,FALSE),"Non trouvé")</f>
        <v>Non trouvé</v>
      </c>
      <c r="B198" t="s">
        <v>52</v>
      </c>
      <c r="C198" s="3">
        <v>45209.32708333333</v>
      </c>
      <c r="D198" s="11">
        <f>Logs_reseau[[#This Row],[Duree_Panne_Min]]/1440</f>
        <v>2.8472222222222222E-2</v>
      </c>
      <c r="E198">
        <v>41</v>
      </c>
      <c r="F198" t="s">
        <v>4</v>
      </c>
      <c r="G198" t="str">
        <f>IFERROR(VLOOKUP(Logs_reseau[[#This Row],[Cell_ID]],'[1]Registre_Maintenance_combine '!A:C,3,FALSE),"Non trouvé")</f>
        <v>Non trouvé</v>
      </c>
      <c r="H198" t="str">
        <f>IFERROR(VLOOKUP(Logs_reseau[[#This Row],[Cell_ID]],'[1]Registre_Maintenance_combine '!A:D,4,FALSE),"Non trouvé")</f>
        <v>Non trouvé</v>
      </c>
      <c r="I198" t="str">
        <f>IFERROR(VLOOKUP(Logs_reseau[[#This Row],[Cell_ID]],'[1]Registre_Maintenance_combine '!A:E,5,FALSE),"Non trouvé")</f>
        <v>Non trouvé</v>
      </c>
      <c r="J198" t="str">
        <f>IFERROR(VLOOKUP(Logs_reseau[[#This Row],[Cell_ID]],'[1]Registre_Maintenance_combine '!A:F,6,FALSE),"Non trouvé")</f>
        <v>Non trouvé</v>
      </c>
    </row>
    <row r="199" spans="1:10" x14ac:dyDescent="0.25">
      <c r="A199" t="str">
        <f>IFERROR(VLOOKUP(Logs_reseau[[#This Row],[Cell_ID]],'[1]Registre_Maintenance_combine '!A:B,2,FALSE),"Non trouvé")</f>
        <v>Non trouvé</v>
      </c>
      <c r="B199" t="s">
        <v>52</v>
      </c>
      <c r="C199" s="3">
        <v>45230.484027777777</v>
      </c>
      <c r="D199" s="11">
        <f>Logs_reseau[[#This Row],[Duree_Panne_Min]]/1440</f>
        <v>3.9583333333333331E-2</v>
      </c>
      <c r="E199">
        <v>57</v>
      </c>
      <c r="F199" t="s">
        <v>2</v>
      </c>
      <c r="G199" t="str">
        <f>IFERROR(VLOOKUP(Logs_reseau[[#This Row],[Cell_ID]],'[1]Registre_Maintenance_combine '!A:C,3,FALSE),"Non trouvé")</f>
        <v>Non trouvé</v>
      </c>
      <c r="H199" t="str">
        <f>IFERROR(VLOOKUP(Logs_reseau[[#This Row],[Cell_ID]],'[1]Registre_Maintenance_combine '!A:D,4,FALSE),"Non trouvé")</f>
        <v>Non trouvé</v>
      </c>
      <c r="I199" t="str">
        <f>IFERROR(VLOOKUP(Logs_reseau[[#This Row],[Cell_ID]],'[1]Registre_Maintenance_combine '!A:E,5,FALSE),"Non trouvé")</f>
        <v>Non trouvé</v>
      </c>
      <c r="J199" t="str">
        <f>IFERROR(VLOOKUP(Logs_reseau[[#This Row],[Cell_ID]],'[1]Registre_Maintenance_combine '!A:F,6,FALSE),"Non trouvé")</f>
        <v>Non trouvé</v>
      </c>
    </row>
    <row r="200" spans="1:10" x14ac:dyDescent="0.25">
      <c r="A200" t="str">
        <f>IFERROR(VLOOKUP(Logs_reseau[[#This Row],[Cell_ID]],'[1]Registre_Maintenance_combine '!A:B,2,FALSE),"Non trouvé")</f>
        <v>Non trouvé</v>
      </c>
      <c r="B200" t="s">
        <v>52</v>
      </c>
      <c r="C200" s="3">
        <v>45224.211111111108</v>
      </c>
      <c r="D200" s="11">
        <f>Logs_reseau[[#This Row],[Duree_Panne_Min]]/1440</f>
        <v>2.5694444444444443E-2</v>
      </c>
      <c r="E200">
        <v>37</v>
      </c>
      <c r="F200" t="s">
        <v>4</v>
      </c>
      <c r="G200" t="str">
        <f>IFERROR(VLOOKUP(Logs_reseau[[#This Row],[Cell_ID]],'[1]Registre_Maintenance_combine '!A:C,3,FALSE),"Non trouvé")</f>
        <v>Non trouvé</v>
      </c>
      <c r="H200" t="str">
        <f>IFERROR(VLOOKUP(Logs_reseau[[#This Row],[Cell_ID]],'[1]Registre_Maintenance_combine '!A:D,4,FALSE),"Non trouvé")</f>
        <v>Non trouvé</v>
      </c>
      <c r="I200" t="str">
        <f>IFERROR(VLOOKUP(Logs_reseau[[#This Row],[Cell_ID]],'[1]Registre_Maintenance_combine '!A:E,5,FALSE),"Non trouvé")</f>
        <v>Non trouvé</v>
      </c>
      <c r="J200" t="str">
        <f>IFERROR(VLOOKUP(Logs_reseau[[#This Row],[Cell_ID]],'[1]Registre_Maintenance_combine '!A:F,6,FALSE),"Non trouvé")</f>
        <v>Non trouvé</v>
      </c>
    </row>
    <row r="201" spans="1:10" x14ac:dyDescent="0.25">
      <c r="A201" t="str">
        <f>IFERROR(VLOOKUP(Logs_reseau[[#This Row],[Cell_ID]],'[1]Registre_Maintenance_combine '!A:B,2,FALSE),"Non trouvé")</f>
        <v>Non trouvé</v>
      </c>
      <c r="B201" t="s">
        <v>52</v>
      </c>
      <c r="C201" s="3">
        <v>45202.395138888889</v>
      </c>
      <c r="D201" s="11">
        <f>Logs_reseau[[#This Row],[Duree_Panne_Min]]/1440</f>
        <v>4.0972222222222222E-2</v>
      </c>
      <c r="E201">
        <v>59</v>
      </c>
      <c r="F201" t="s">
        <v>1</v>
      </c>
      <c r="G201" t="str">
        <f>IFERROR(VLOOKUP(Logs_reseau[[#This Row],[Cell_ID]],'[1]Registre_Maintenance_combine '!A:C,3,FALSE),"Non trouvé")</f>
        <v>Non trouvé</v>
      </c>
      <c r="H201" t="str">
        <f>IFERROR(VLOOKUP(Logs_reseau[[#This Row],[Cell_ID]],'[1]Registre_Maintenance_combine '!A:D,4,FALSE),"Non trouvé")</f>
        <v>Non trouvé</v>
      </c>
      <c r="I201" t="str">
        <f>IFERROR(VLOOKUP(Logs_reseau[[#This Row],[Cell_ID]],'[1]Registre_Maintenance_combine '!A:E,5,FALSE),"Non trouvé")</f>
        <v>Non trouvé</v>
      </c>
      <c r="J201" t="str">
        <f>IFERROR(VLOOKUP(Logs_reseau[[#This Row],[Cell_ID]],'[1]Registre_Maintenance_combine '!A:F,6,FALSE),"Non trouvé")</f>
        <v>Non trouvé</v>
      </c>
    </row>
    <row r="202" spans="1:10" x14ac:dyDescent="0.25">
      <c r="A202" t="str">
        <f>IFERROR(VLOOKUP(Logs_reseau[[#This Row],[Cell_ID]],'[1]Registre_Maintenance_combine '!A:B,2,FALSE),"Non trouvé")</f>
        <v>Non trouvé</v>
      </c>
      <c r="B202" t="s">
        <v>53</v>
      </c>
      <c r="C202" s="3">
        <v>45201.409722222219</v>
      </c>
      <c r="D202" s="11">
        <f>Logs_reseau[[#This Row],[Duree_Panne_Min]]/1440</f>
        <v>0.05</v>
      </c>
      <c r="E202">
        <v>72</v>
      </c>
      <c r="F202" t="s">
        <v>1</v>
      </c>
      <c r="G202" t="str">
        <f>IFERROR(VLOOKUP(Logs_reseau[[#This Row],[Cell_ID]],'[1]Registre_Maintenance_combine '!A:C,3,FALSE),"Non trouvé")</f>
        <v>Non trouvé</v>
      </c>
      <c r="H202" t="str">
        <f>IFERROR(VLOOKUP(Logs_reseau[[#This Row],[Cell_ID]],'[1]Registre_Maintenance_combine '!A:D,4,FALSE),"Non trouvé")</f>
        <v>Non trouvé</v>
      </c>
      <c r="I202" t="str">
        <f>IFERROR(VLOOKUP(Logs_reseau[[#This Row],[Cell_ID]],'[1]Registre_Maintenance_combine '!A:E,5,FALSE),"Non trouvé")</f>
        <v>Non trouvé</v>
      </c>
      <c r="J202" t="str">
        <f>IFERROR(VLOOKUP(Logs_reseau[[#This Row],[Cell_ID]],'[1]Registre_Maintenance_combine '!A:F,6,FALSE),"Non trouvé")</f>
        <v>Non trouvé</v>
      </c>
    </row>
    <row r="203" spans="1:10" x14ac:dyDescent="0.25">
      <c r="A203" t="str">
        <f>IFERROR(VLOOKUP(Logs_reseau[[#This Row],[Cell_ID]],'[1]Registre_Maintenance_combine '!A:B,2,FALSE),"Non trouvé")</f>
        <v>Non trouvé</v>
      </c>
      <c r="B203" t="s">
        <v>53</v>
      </c>
      <c r="C203" s="3">
        <v>45218.536111111112</v>
      </c>
      <c r="D203" s="11">
        <f>Logs_reseau[[#This Row],[Duree_Panne_Min]]/1440</f>
        <v>2.013888888888889E-2</v>
      </c>
      <c r="E203">
        <v>29</v>
      </c>
      <c r="F203" t="s">
        <v>4</v>
      </c>
      <c r="G203" t="str">
        <f>IFERROR(VLOOKUP(Logs_reseau[[#This Row],[Cell_ID]],'[1]Registre_Maintenance_combine '!A:C,3,FALSE),"Non trouvé")</f>
        <v>Non trouvé</v>
      </c>
      <c r="H203" t="str">
        <f>IFERROR(VLOOKUP(Logs_reseau[[#This Row],[Cell_ID]],'[1]Registre_Maintenance_combine '!A:D,4,FALSE),"Non trouvé")</f>
        <v>Non trouvé</v>
      </c>
      <c r="I203" t="str">
        <f>IFERROR(VLOOKUP(Logs_reseau[[#This Row],[Cell_ID]],'[1]Registre_Maintenance_combine '!A:E,5,FALSE),"Non trouvé")</f>
        <v>Non trouvé</v>
      </c>
      <c r="J203" t="str">
        <f>IFERROR(VLOOKUP(Logs_reseau[[#This Row],[Cell_ID]],'[1]Registre_Maintenance_combine '!A:F,6,FALSE),"Non trouvé")</f>
        <v>Non trouvé</v>
      </c>
    </row>
    <row r="204" spans="1:10" x14ac:dyDescent="0.25">
      <c r="A204" t="str">
        <f>IFERROR(VLOOKUP(Logs_reseau[[#This Row],[Cell_ID]],'[1]Registre_Maintenance_combine '!A:B,2,FALSE),"Non trouvé")</f>
        <v>Non trouvé</v>
      </c>
      <c r="B204" t="s">
        <v>54</v>
      </c>
      <c r="C204" s="3">
        <v>45224.231944444444</v>
      </c>
      <c r="D204" s="11">
        <f>Logs_reseau[[#This Row],[Duree_Panne_Min]]/1440</f>
        <v>6.25E-2</v>
      </c>
      <c r="E204">
        <v>90</v>
      </c>
      <c r="F204" t="s">
        <v>2</v>
      </c>
      <c r="G204" t="str">
        <f>IFERROR(VLOOKUP(Logs_reseau[[#This Row],[Cell_ID]],'[1]Registre_Maintenance_combine '!A:C,3,FALSE),"Non trouvé")</f>
        <v>Non trouvé</v>
      </c>
      <c r="H204" t="str">
        <f>IFERROR(VLOOKUP(Logs_reseau[[#This Row],[Cell_ID]],'[1]Registre_Maintenance_combine '!A:D,4,FALSE),"Non trouvé")</f>
        <v>Non trouvé</v>
      </c>
      <c r="I204" t="str">
        <f>IFERROR(VLOOKUP(Logs_reseau[[#This Row],[Cell_ID]],'[1]Registre_Maintenance_combine '!A:E,5,FALSE),"Non trouvé")</f>
        <v>Non trouvé</v>
      </c>
      <c r="J204" t="str">
        <f>IFERROR(VLOOKUP(Logs_reseau[[#This Row],[Cell_ID]],'[1]Registre_Maintenance_combine '!A:F,6,FALSE),"Non trouvé")</f>
        <v>Non trouvé</v>
      </c>
    </row>
    <row r="205" spans="1:10" x14ac:dyDescent="0.25">
      <c r="A205" t="str">
        <f>IFERROR(VLOOKUP(Logs_reseau[[#This Row],[Cell_ID]],'[1]Registre_Maintenance_combine '!A:B,2,FALSE),"Non trouvé")</f>
        <v>Non trouvé</v>
      </c>
      <c r="B205" t="s">
        <v>54</v>
      </c>
      <c r="C205" s="3">
        <v>45220.666666666664</v>
      </c>
      <c r="D205" s="11">
        <f>Logs_reseau[[#This Row],[Duree_Panne_Min]]/1440</f>
        <v>2.9166666666666667E-2</v>
      </c>
      <c r="E205">
        <v>42</v>
      </c>
      <c r="F205" t="s">
        <v>1</v>
      </c>
      <c r="G205" t="str">
        <f>IFERROR(VLOOKUP(Logs_reseau[[#This Row],[Cell_ID]],'[1]Registre_Maintenance_combine '!A:C,3,FALSE),"Non trouvé")</f>
        <v>Non trouvé</v>
      </c>
      <c r="H205" t="str">
        <f>IFERROR(VLOOKUP(Logs_reseau[[#This Row],[Cell_ID]],'[1]Registre_Maintenance_combine '!A:D,4,FALSE),"Non trouvé")</f>
        <v>Non trouvé</v>
      </c>
      <c r="I205" t="str">
        <f>IFERROR(VLOOKUP(Logs_reseau[[#This Row],[Cell_ID]],'[1]Registre_Maintenance_combine '!A:E,5,FALSE),"Non trouvé")</f>
        <v>Non trouvé</v>
      </c>
      <c r="J205" t="str">
        <f>IFERROR(VLOOKUP(Logs_reseau[[#This Row],[Cell_ID]],'[1]Registre_Maintenance_combine '!A:F,6,FALSE),"Non trouvé")</f>
        <v>Non trouvé</v>
      </c>
    </row>
    <row r="206" spans="1:10" x14ac:dyDescent="0.25">
      <c r="A206" t="str">
        <f>IFERROR(VLOOKUP(Logs_reseau[[#This Row],[Cell_ID]],'[1]Registre_Maintenance_combine '!A:B,2,FALSE),"Non trouvé")</f>
        <v>Non trouvé</v>
      </c>
      <c r="B206" t="s">
        <v>54</v>
      </c>
      <c r="C206" s="3">
        <v>45212.428472222222</v>
      </c>
      <c r="D206" s="11">
        <f>Logs_reseau[[#This Row],[Duree_Panne_Min]]/1440</f>
        <v>7.1527777777777773E-2</v>
      </c>
      <c r="E206">
        <v>103</v>
      </c>
      <c r="F206" t="s">
        <v>4</v>
      </c>
      <c r="G206" t="str">
        <f>IFERROR(VLOOKUP(Logs_reseau[[#This Row],[Cell_ID]],'[1]Registre_Maintenance_combine '!A:C,3,FALSE),"Non trouvé")</f>
        <v>Non trouvé</v>
      </c>
      <c r="H206" t="str">
        <f>IFERROR(VLOOKUP(Logs_reseau[[#This Row],[Cell_ID]],'[1]Registre_Maintenance_combine '!A:D,4,FALSE),"Non trouvé")</f>
        <v>Non trouvé</v>
      </c>
      <c r="I206" t="str">
        <f>IFERROR(VLOOKUP(Logs_reseau[[#This Row],[Cell_ID]],'[1]Registre_Maintenance_combine '!A:E,5,FALSE),"Non trouvé")</f>
        <v>Non trouvé</v>
      </c>
      <c r="J206" t="str">
        <f>IFERROR(VLOOKUP(Logs_reseau[[#This Row],[Cell_ID]],'[1]Registre_Maintenance_combine '!A:F,6,FALSE),"Non trouvé")</f>
        <v>Non trouvé</v>
      </c>
    </row>
    <row r="207" spans="1:10" x14ac:dyDescent="0.25">
      <c r="A207" t="str">
        <f>IFERROR(VLOOKUP(Logs_reseau[[#This Row],[Cell_ID]],'[1]Registre_Maintenance_combine '!A:B,2,FALSE),"Non trouvé")</f>
        <v>Non trouvé</v>
      </c>
      <c r="B207" t="s">
        <v>54</v>
      </c>
      <c r="C207" s="3">
        <v>45221.555555555555</v>
      </c>
      <c r="D207" s="11">
        <f>Logs_reseau[[#This Row],[Duree_Panne_Min]]/1440</f>
        <v>1.4583333333333334E-2</v>
      </c>
      <c r="E207">
        <v>21</v>
      </c>
      <c r="F207" t="s">
        <v>2</v>
      </c>
      <c r="G207" t="str">
        <f>IFERROR(VLOOKUP(Logs_reseau[[#This Row],[Cell_ID]],'[1]Registre_Maintenance_combine '!A:C,3,FALSE),"Non trouvé")</f>
        <v>Non trouvé</v>
      </c>
      <c r="H207" t="str">
        <f>IFERROR(VLOOKUP(Logs_reseau[[#This Row],[Cell_ID]],'[1]Registre_Maintenance_combine '!A:D,4,FALSE),"Non trouvé")</f>
        <v>Non trouvé</v>
      </c>
      <c r="I207" t="str">
        <f>IFERROR(VLOOKUP(Logs_reseau[[#This Row],[Cell_ID]],'[1]Registre_Maintenance_combine '!A:E,5,FALSE),"Non trouvé")</f>
        <v>Non trouvé</v>
      </c>
      <c r="J207" t="str">
        <f>IFERROR(VLOOKUP(Logs_reseau[[#This Row],[Cell_ID]],'[1]Registre_Maintenance_combine '!A:F,6,FALSE),"Non trouvé")</f>
        <v>Non trouvé</v>
      </c>
    </row>
    <row r="208" spans="1:10" x14ac:dyDescent="0.25">
      <c r="A208" t="str">
        <f>IFERROR(VLOOKUP(Logs_reseau[[#This Row],[Cell_ID]],'[1]Registre_Maintenance_combine '!A:B,2,FALSE),"Non trouvé")</f>
        <v>Non trouvé</v>
      </c>
      <c r="B208" t="s">
        <v>54</v>
      </c>
      <c r="C208" s="3">
        <v>45204.986111111109</v>
      </c>
      <c r="D208" s="11">
        <f>Logs_reseau[[#This Row],[Duree_Panne_Min]]/1440</f>
        <v>7.8472222222222221E-2</v>
      </c>
      <c r="E208">
        <v>113</v>
      </c>
      <c r="F208" t="s">
        <v>2</v>
      </c>
      <c r="G208" t="str">
        <f>IFERROR(VLOOKUP(Logs_reseau[[#This Row],[Cell_ID]],'[1]Registre_Maintenance_combine '!A:C,3,FALSE),"Non trouvé")</f>
        <v>Non trouvé</v>
      </c>
      <c r="H208" t="str">
        <f>IFERROR(VLOOKUP(Logs_reseau[[#This Row],[Cell_ID]],'[1]Registre_Maintenance_combine '!A:D,4,FALSE),"Non trouvé")</f>
        <v>Non trouvé</v>
      </c>
      <c r="I208" t="str">
        <f>IFERROR(VLOOKUP(Logs_reseau[[#This Row],[Cell_ID]],'[1]Registre_Maintenance_combine '!A:E,5,FALSE),"Non trouvé")</f>
        <v>Non trouvé</v>
      </c>
      <c r="J208" t="str">
        <f>IFERROR(VLOOKUP(Logs_reseau[[#This Row],[Cell_ID]],'[1]Registre_Maintenance_combine '!A:F,6,FALSE),"Non trouvé")</f>
        <v>Non trouvé</v>
      </c>
    </row>
    <row r="209" spans="1:10" x14ac:dyDescent="0.25">
      <c r="A209" t="str">
        <f>IFERROR(VLOOKUP(Logs_reseau[[#This Row],[Cell_ID]],'[1]Registre_Maintenance_combine '!A:B,2,FALSE),"Non trouvé")</f>
        <v>Non trouvé</v>
      </c>
      <c r="B209" t="s">
        <v>54</v>
      </c>
      <c r="C209" s="3">
        <v>45224.836111111108</v>
      </c>
      <c r="D209" s="11">
        <f>Logs_reseau[[#This Row],[Duree_Panne_Min]]/1440</f>
        <v>5.347222222222222E-2</v>
      </c>
      <c r="E209">
        <v>77</v>
      </c>
      <c r="F209" t="s">
        <v>2</v>
      </c>
      <c r="G209" t="str">
        <f>IFERROR(VLOOKUP(Logs_reseau[[#This Row],[Cell_ID]],'[1]Registre_Maintenance_combine '!A:C,3,FALSE),"Non trouvé")</f>
        <v>Non trouvé</v>
      </c>
      <c r="H209" t="str">
        <f>IFERROR(VLOOKUP(Logs_reseau[[#This Row],[Cell_ID]],'[1]Registre_Maintenance_combine '!A:D,4,FALSE),"Non trouvé")</f>
        <v>Non trouvé</v>
      </c>
      <c r="I209" t="str">
        <f>IFERROR(VLOOKUP(Logs_reseau[[#This Row],[Cell_ID]],'[1]Registre_Maintenance_combine '!A:E,5,FALSE),"Non trouvé")</f>
        <v>Non trouvé</v>
      </c>
      <c r="J209" t="str">
        <f>IFERROR(VLOOKUP(Logs_reseau[[#This Row],[Cell_ID]],'[1]Registre_Maintenance_combine '!A:F,6,FALSE),"Non trouvé")</f>
        <v>Non trouvé</v>
      </c>
    </row>
    <row r="210" spans="1:10" x14ac:dyDescent="0.25">
      <c r="A210" t="str">
        <f>IFERROR(VLOOKUP(Logs_reseau[[#This Row],[Cell_ID]],'[1]Registre_Maintenance_combine '!A:B,2,FALSE),"Non trouvé")</f>
        <v>Mongala</v>
      </c>
      <c r="B210" t="s">
        <v>55</v>
      </c>
      <c r="C210" s="3">
        <v>45227.568749999999</v>
      </c>
      <c r="D210" s="11">
        <f>Logs_reseau[[#This Row],[Duree_Panne_Min]]/1440</f>
        <v>4.4444444444444446E-2</v>
      </c>
      <c r="E210">
        <v>64</v>
      </c>
      <c r="F210" t="s">
        <v>1</v>
      </c>
      <c r="G210">
        <f>IFERROR(VLOOKUP(Logs_reseau[[#This Row],[Cell_ID]],'[1]Registre_Maintenance_combine '!A:C,3,FALSE),"Non trouvé")</f>
        <v>-1.231033</v>
      </c>
      <c r="H210">
        <f>IFERROR(VLOOKUP(Logs_reseau[[#This Row],[Cell_ID]],'[1]Registre_Maintenance_combine '!A:D,4,FALSE),"Non trouvé")</f>
        <v>28.851388</v>
      </c>
      <c r="I210" t="str">
        <f>IFERROR(VLOOKUP(Logs_reseau[[#This Row],[Cell_ID]],'[1]Registre_Maintenance_combine '!A:E,5,FALSE),"Non trouvé")</f>
        <v>3G</v>
      </c>
      <c r="J210" t="str">
        <f>IFERROR(VLOOKUP(Logs_reseau[[#This Row],[Cell_ID]],'[1]Registre_Maintenance_combine '!A:F,6,FALSE),"Non trouvé")</f>
        <v>Ericsson</v>
      </c>
    </row>
    <row r="211" spans="1:10" x14ac:dyDescent="0.25">
      <c r="A211" t="str">
        <f>IFERROR(VLOOKUP(Logs_reseau[[#This Row],[Cell_ID]],'[1]Registre_Maintenance_combine '!A:B,2,FALSE),"Non trouvé")</f>
        <v>Mongala</v>
      </c>
      <c r="B211" t="s">
        <v>55</v>
      </c>
      <c r="C211" s="3">
        <v>45230.629861111112</v>
      </c>
      <c r="D211" s="11">
        <f>Logs_reseau[[#This Row],[Duree_Panne_Min]]/1440</f>
        <v>4.5138888888888888E-2</v>
      </c>
      <c r="E211">
        <v>65</v>
      </c>
      <c r="F211" t="s">
        <v>1</v>
      </c>
      <c r="G211">
        <f>IFERROR(VLOOKUP(Logs_reseau[[#This Row],[Cell_ID]],'[1]Registre_Maintenance_combine '!A:C,3,FALSE),"Non trouvé")</f>
        <v>-1.231033</v>
      </c>
      <c r="H211">
        <f>IFERROR(VLOOKUP(Logs_reseau[[#This Row],[Cell_ID]],'[1]Registre_Maintenance_combine '!A:D,4,FALSE),"Non trouvé")</f>
        <v>28.851388</v>
      </c>
      <c r="I211" t="str">
        <f>IFERROR(VLOOKUP(Logs_reseau[[#This Row],[Cell_ID]],'[1]Registre_Maintenance_combine '!A:E,5,FALSE),"Non trouvé")</f>
        <v>3G</v>
      </c>
      <c r="J211" t="str">
        <f>IFERROR(VLOOKUP(Logs_reseau[[#This Row],[Cell_ID]],'[1]Registre_Maintenance_combine '!A:F,6,FALSE),"Non trouvé")</f>
        <v>Ericsson</v>
      </c>
    </row>
    <row r="212" spans="1:10" x14ac:dyDescent="0.25">
      <c r="A212" t="str">
        <f>IFERROR(VLOOKUP(Logs_reseau[[#This Row],[Cell_ID]],'[1]Registre_Maintenance_combine '!A:B,2,FALSE),"Non trouvé")</f>
        <v>Mongala</v>
      </c>
      <c r="B212" t="s">
        <v>55</v>
      </c>
      <c r="C212" s="3">
        <v>45215.129166666666</v>
      </c>
      <c r="D212" s="11">
        <f>Logs_reseau[[#This Row],[Duree_Panne_Min]]/1440</f>
        <v>6.458333333333334E-2</v>
      </c>
      <c r="E212">
        <v>93</v>
      </c>
      <c r="F212" t="s">
        <v>2</v>
      </c>
      <c r="G212">
        <f>IFERROR(VLOOKUP(Logs_reseau[[#This Row],[Cell_ID]],'[1]Registre_Maintenance_combine '!A:C,3,FALSE),"Non trouvé")</f>
        <v>-1.231033</v>
      </c>
      <c r="H212">
        <f>IFERROR(VLOOKUP(Logs_reseau[[#This Row],[Cell_ID]],'[1]Registre_Maintenance_combine '!A:D,4,FALSE),"Non trouvé")</f>
        <v>28.851388</v>
      </c>
      <c r="I212" t="str">
        <f>IFERROR(VLOOKUP(Logs_reseau[[#This Row],[Cell_ID]],'[1]Registre_Maintenance_combine '!A:E,5,FALSE),"Non trouvé")</f>
        <v>3G</v>
      </c>
      <c r="J212" t="str">
        <f>IFERROR(VLOOKUP(Logs_reseau[[#This Row],[Cell_ID]],'[1]Registre_Maintenance_combine '!A:F,6,FALSE),"Non trouvé")</f>
        <v>Ericsson</v>
      </c>
    </row>
    <row r="213" spans="1:10" x14ac:dyDescent="0.25">
      <c r="A213" t="str">
        <f>IFERROR(VLOOKUP(Logs_reseau[[#This Row],[Cell_ID]],'[1]Registre_Maintenance_combine '!A:B,2,FALSE),"Non trouvé")</f>
        <v>Non trouvé</v>
      </c>
      <c r="B213" t="s">
        <v>56</v>
      </c>
      <c r="C213" s="3">
        <v>45213.007638888892</v>
      </c>
      <c r="D213" s="11">
        <f>Logs_reseau[[#This Row],[Duree_Panne_Min]]/1440</f>
        <v>5.7638888888888892E-2</v>
      </c>
      <c r="E213">
        <v>83</v>
      </c>
      <c r="F213" t="s">
        <v>4</v>
      </c>
      <c r="G213" t="str">
        <f>IFERROR(VLOOKUP(Logs_reseau[[#This Row],[Cell_ID]],'[1]Registre_Maintenance_combine '!A:C,3,FALSE),"Non trouvé")</f>
        <v>Non trouvé</v>
      </c>
      <c r="H213" t="str">
        <f>IFERROR(VLOOKUP(Logs_reseau[[#This Row],[Cell_ID]],'[1]Registre_Maintenance_combine '!A:D,4,FALSE),"Non trouvé")</f>
        <v>Non trouvé</v>
      </c>
      <c r="I213" t="str">
        <f>IFERROR(VLOOKUP(Logs_reseau[[#This Row],[Cell_ID]],'[1]Registre_Maintenance_combine '!A:E,5,FALSE),"Non trouvé")</f>
        <v>Non trouvé</v>
      </c>
      <c r="J213" t="str">
        <f>IFERROR(VLOOKUP(Logs_reseau[[#This Row],[Cell_ID]],'[1]Registre_Maintenance_combine '!A:F,6,FALSE),"Non trouvé")</f>
        <v>Non trouvé</v>
      </c>
    </row>
    <row r="214" spans="1:10" x14ac:dyDescent="0.25">
      <c r="A214" t="str">
        <f>IFERROR(VLOOKUP(Logs_reseau[[#This Row],[Cell_ID]],'[1]Registre_Maintenance_combine '!A:B,2,FALSE),"Non trouvé")</f>
        <v>Non trouvé</v>
      </c>
      <c r="B214" t="s">
        <v>56</v>
      </c>
      <c r="C214" s="3">
        <v>45230.924305555556</v>
      </c>
      <c r="D214" s="11">
        <f>Logs_reseau[[#This Row],[Duree_Panne_Min]]/1440</f>
        <v>3.8194444444444448E-2</v>
      </c>
      <c r="E214">
        <v>55</v>
      </c>
      <c r="F214" t="s">
        <v>1</v>
      </c>
      <c r="G214" t="str">
        <f>IFERROR(VLOOKUP(Logs_reseau[[#This Row],[Cell_ID]],'[1]Registre_Maintenance_combine '!A:C,3,FALSE),"Non trouvé")</f>
        <v>Non trouvé</v>
      </c>
      <c r="H214" t="str">
        <f>IFERROR(VLOOKUP(Logs_reseau[[#This Row],[Cell_ID]],'[1]Registre_Maintenance_combine '!A:D,4,FALSE),"Non trouvé")</f>
        <v>Non trouvé</v>
      </c>
      <c r="I214" t="str">
        <f>IFERROR(VLOOKUP(Logs_reseau[[#This Row],[Cell_ID]],'[1]Registre_Maintenance_combine '!A:E,5,FALSE),"Non trouvé")</f>
        <v>Non trouvé</v>
      </c>
      <c r="J214" t="str">
        <f>IFERROR(VLOOKUP(Logs_reseau[[#This Row],[Cell_ID]],'[1]Registre_Maintenance_combine '!A:F,6,FALSE),"Non trouvé")</f>
        <v>Non trouvé</v>
      </c>
    </row>
    <row r="215" spans="1:10" x14ac:dyDescent="0.25">
      <c r="A215" t="str">
        <f>IFERROR(VLOOKUP(Logs_reseau[[#This Row],[Cell_ID]],'[1]Registre_Maintenance_combine '!A:B,2,FALSE),"Non trouvé")</f>
        <v>Non trouvé</v>
      </c>
      <c r="B215" t="s">
        <v>56</v>
      </c>
      <c r="C215" s="3">
        <v>45205.79791666667</v>
      </c>
      <c r="D215" s="11">
        <f>Logs_reseau[[#This Row],[Duree_Panne_Min]]/1440</f>
        <v>2.9166666666666667E-2</v>
      </c>
      <c r="E215">
        <v>42</v>
      </c>
      <c r="F215" t="s">
        <v>4</v>
      </c>
      <c r="G215" t="str">
        <f>IFERROR(VLOOKUP(Logs_reseau[[#This Row],[Cell_ID]],'[1]Registre_Maintenance_combine '!A:C,3,FALSE),"Non trouvé")</f>
        <v>Non trouvé</v>
      </c>
      <c r="H215" t="str">
        <f>IFERROR(VLOOKUP(Logs_reseau[[#This Row],[Cell_ID]],'[1]Registre_Maintenance_combine '!A:D,4,FALSE),"Non trouvé")</f>
        <v>Non trouvé</v>
      </c>
      <c r="I215" t="str">
        <f>IFERROR(VLOOKUP(Logs_reseau[[#This Row],[Cell_ID]],'[1]Registre_Maintenance_combine '!A:E,5,FALSE),"Non trouvé")</f>
        <v>Non trouvé</v>
      </c>
      <c r="J215" t="str">
        <f>IFERROR(VLOOKUP(Logs_reseau[[#This Row],[Cell_ID]],'[1]Registre_Maintenance_combine '!A:F,6,FALSE),"Non trouvé")</f>
        <v>Non trouvé</v>
      </c>
    </row>
    <row r="216" spans="1:10" x14ac:dyDescent="0.25">
      <c r="A216" t="str">
        <f>IFERROR(VLOOKUP(Logs_reseau[[#This Row],[Cell_ID]],'[1]Registre_Maintenance_combine '!A:B,2,FALSE),"Non trouvé")</f>
        <v>Mai-Ndombe</v>
      </c>
      <c r="B216" t="s">
        <v>57</v>
      </c>
      <c r="C216" s="3">
        <v>45203.907638888886</v>
      </c>
      <c r="D216" s="11">
        <f>Logs_reseau[[#This Row],[Duree_Panne_Min]]/1440</f>
        <v>2.5694444444444443E-2</v>
      </c>
      <c r="E216">
        <v>37</v>
      </c>
      <c r="F216" t="s">
        <v>1</v>
      </c>
      <c r="G216">
        <f>IFERROR(VLOOKUP(Logs_reseau[[#This Row],[Cell_ID]],'[1]Registre_Maintenance_combine '!A:C,3,FALSE),"Non trouvé")</f>
        <v>-9.3652280000000001</v>
      </c>
      <c r="H216">
        <f>IFERROR(VLOOKUP(Logs_reseau[[#This Row],[Cell_ID]],'[1]Registre_Maintenance_combine '!A:D,4,FALSE),"Non trouvé")</f>
        <v>18.674116000000001</v>
      </c>
      <c r="I216" t="str">
        <f>IFERROR(VLOOKUP(Logs_reseau[[#This Row],[Cell_ID]],'[1]Registre_Maintenance_combine '!A:E,5,FALSE),"Non trouvé")</f>
        <v>4G</v>
      </c>
      <c r="J216" t="str">
        <f>IFERROR(VLOOKUP(Logs_reseau[[#This Row],[Cell_ID]],'[1]Registre_Maintenance_combine '!A:F,6,FALSE),"Non trouvé")</f>
        <v>Huawei</v>
      </c>
    </row>
    <row r="217" spans="1:10" x14ac:dyDescent="0.25">
      <c r="A217" t="str">
        <f>IFERROR(VLOOKUP(Logs_reseau[[#This Row],[Cell_ID]],'[1]Registre_Maintenance_combine '!A:B,2,FALSE),"Non trouvé")</f>
        <v>Mai-Ndombe</v>
      </c>
      <c r="B217" t="s">
        <v>57</v>
      </c>
      <c r="C217" s="3">
        <v>45221.849305555559</v>
      </c>
      <c r="D217" s="11">
        <f>Logs_reseau[[#This Row],[Duree_Panne_Min]]/1440</f>
        <v>1.4583333333333334E-2</v>
      </c>
      <c r="E217">
        <v>21</v>
      </c>
      <c r="F217" t="s">
        <v>4</v>
      </c>
      <c r="G217">
        <f>IFERROR(VLOOKUP(Logs_reseau[[#This Row],[Cell_ID]],'[1]Registre_Maintenance_combine '!A:C,3,FALSE),"Non trouvé")</f>
        <v>-9.3652280000000001</v>
      </c>
      <c r="H217">
        <f>IFERROR(VLOOKUP(Logs_reseau[[#This Row],[Cell_ID]],'[1]Registre_Maintenance_combine '!A:D,4,FALSE),"Non trouvé")</f>
        <v>18.674116000000001</v>
      </c>
      <c r="I217" t="str">
        <f>IFERROR(VLOOKUP(Logs_reseau[[#This Row],[Cell_ID]],'[1]Registre_Maintenance_combine '!A:E,5,FALSE),"Non trouvé")</f>
        <v>4G</v>
      </c>
      <c r="J217" t="str">
        <f>IFERROR(VLOOKUP(Logs_reseau[[#This Row],[Cell_ID]],'[1]Registre_Maintenance_combine '!A:F,6,FALSE),"Non trouvé")</f>
        <v>Huawei</v>
      </c>
    </row>
    <row r="218" spans="1:10" x14ac:dyDescent="0.25">
      <c r="A218" t="str">
        <f>IFERROR(VLOOKUP(Logs_reseau[[#This Row],[Cell_ID]],'[1]Registre_Maintenance_combine '!A:B,2,FALSE),"Non trouvé")</f>
        <v>Mai-Ndombe</v>
      </c>
      <c r="B218" t="s">
        <v>57</v>
      </c>
      <c r="C218" s="3">
        <v>45207.879166666666</v>
      </c>
      <c r="D218" s="11">
        <f>Logs_reseau[[#This Row],[Duree_Panne_Min]]/1440</f>
        <v>5.4166666666666669E-2</v>
      </c>
      <c r="E218">
        <v>78</v>
      </c>
      <c r="F218" t="s">
        <v>4</v>
      </c>
      <c r="G218">
        <f>IFERROR(VLOOKUP(Logs_reseau[[#This Row],[Cell_ID]],'[1]Registre_Maintenance_combine '!A:C,3,FALSE),"Non trouvé")</f>
        <v>-9.3652280000000001</v>
      </c>
      <c r="H218">
        <f>IFERROR(VLOOKUP(Logs_reseau[[#This Row],[Cell_ID]],'[1]Registre_Maintenance_combine '!A:D,4,FALSE),"Non trouvé")</f>
        <v>18.674116000000001</v>
      </c>
      <c r="I218" t="str">
        <f>IFERROR(VLOOKUP(Logs_reseau[[#This Row],[Cell_ID]],'[1]Registre_Maintenance_combine '!A:E,5,FALSE),"Non trouvé")</f>
        <v>4G</v>
      </c>
      <c r="J218" t="str">
        <f>IFERROR(VLOOKUP(Logs_reseau[[#This Row],[Cell_ID]],'[1]Registre_Maintenance_combine '!A:F,6,FALSE),"Non trouvé")</f>
        <v>Huawei</v>
      </c>
    </row>
    <row r="219" spans="1:10" x14ac:dyDescent="0.25">
      <c r="A219" t="str">
        <f>IFERROR(VLOOKUP(Logs_reseau[[#This Row],[Cell_ID]],'[1]Registre_Maintenance_combine '!A:B,2,FALSE),"Non trouvé")</f>
        <v>Mai-Ndombe</v>
      </c>
      <c r="B219" t="s">
        <v>57</v>
      </c>
      <c r="C219" s="3">
        <v>45221.910416666666</v>
      </c>
      <c r="D219" s="11">
        <f>Logs_reseau[[#This Row],[Duree_Panne_Min]]/1440</f>
        <v>5.5555555555555558E-3</v>
      </c>
      <c r="E219">
        <v>8</v>
      </c>
      <c r="F219" t="s">
        <v>2</v>
      </c>
      <c r="G219">
        <f>IFERROR(VLOOKUP(Logs_reseau[[#This Row],[Cell_ID]],'[1]Registre_Maintenance_combine '!A:C,3,FALSE),"Non trouvé")</f>
        <v>-9.3652280000000001</v>
      </c>
      <c r="H219">
        <f>IFERROR(VLOOKUP(Logs_reseau[[#This Row],[Cell_ID]],'[1]Registre_Maintenance_combine '!A:D,4,FALSE),"Non trouvé")</f>
        <v>18.674116000000001</v>
      </c>
      <c r="I219" t="str">
        <f>IFERROR(VLOOKUP(Logs_reseau[[#This Row],[Cell_ID]],'[1]Registre_Maintenance_combine '!A:E,5,FALSE),"Non trouvé")</f>
        <v>4G</v>
      </c>
      <c r="J219" t="str">
        <f>IFERROR(VLOOKUP(Logs_reseau[[#This Row],[Cell_ID]],'[1]Registre_Maintenance_combine '!A:F,6,FALSE),"Non trouvé")</f>
        <v>Huawei</v>
      </c>
    </row>
    <row r="220" spans="1:10" x14ac:dyDescent="0.25">
      <c r="A220" t="str">
        <f>IFERROR(VLOOKUP(Logs_reseau[[#This Row],[Cell_ID]],'[1]Registre_Maintenance_combine '!A:B,2,FALSE),"Non trouvé")</f>
        <v>Mai-Ndombe</v>
      </c>
      <c r="B220" t="s">
        <v>57</v>
      </c>
      <c r="C220" s="3">
        <v>45210.168055555558</v>
      </c>
      <c r="D220" s="11">
        <f>Logs_reseau[[#This Row],[Duree_Panne_Min]]/1440</f>
        <v>4.3749999999999997E-2</v>
      </c>
      <c r="E220">
        <v>63</v>
      </c>
      <c r="F220" t="s">
        <v>1</v>
      </c>
      <c r="G220">
        <f>IFERROR(VLOOKUP(Logs_reseau[[#This Row],[Cell_ID]],'[1]Registre_Maintenance_combine '!A:C,3,FALSE),"Non trouvé")</f>
        <v>-9.3652280000000001</v>
      </c>
      <c r="H220">
        <f>IFERROR(VLOOKUP(Logs_reseau[[#This Row],[Cell_ID]],'[1]Registre_Maintenance_combine '!A:D,4,FALSE),"Non trouvé")</f>
        <v>18.674116000000001</v>
      </c>
      <c r="I220" t="str">
        <f>IFERROR(VLOOKUP(Logs_reseau[[#This Row],[Cell_ID]],'[1]Registre_Maintenance_combine '!A:E,5,FALSE),"Non trouvé")</f>
        <v>4G</v>
      </c>
      <c r="J220" t="str">
        <f>IFERROR(VLOOKUP(Logs_reseau[[#This Row],[Cell_ID]],'[1]Registre_Maintenance_combine '!A:F,6,FALSE),"Non trouvé")</f>
        <v>Huawei</v>
      </c>
    </row>
    <row r="221" spans="1:10" x14ac:dyDescent="0.25">
      <c r="A221" t="str">
        <f>IFERROR(VLOOKUP(Logs_reseau[[#This Row],[Cell_ID]],'[1]Registre_Maintenance_combine '!A:B,2,FALSE),"Non trouvé")</f>
        <v>Non trouvé</v>
      </c>
      <c r="B221" t="s">
        <v>58</v>
      </c>
      <c r="C221" s="3">
        <v>45201.531944444447</v>
      </c>
      <c r="D221" s="11">
        <f>Logs_reseau[[#This Row],[Duree_Panne_Min]]/1440</f>
        <v>0.05</v>
      </c>
      <c r="E221">
        <v>72</v>
      </c>
      <c r="F221" t="s">
        <v>1</v>
      </c>
      <c r="G221" t="str">
        <f>IFERROR(VLOOKUP(Logs_reseau[[#This Row],[Cell_ID]],'[1]Registre_Maintenance_combine '!A:C,3,FALSE),"Non trouvé")</f>
        <v>Non trouvé</v>
      </c>
      <c r="H221" t="str">
        <f>IFERROR(VLOOKUP(Logs_reseau[[#This Row],[Cell_ID]],'[1]Registre_Maintenance_combine '!A:D,4,FALSE),"Non trouvé")</f>
        <v>Non trouvé</v>
      </c>
      <c r="I221" t="str">
        <f>IFERROR(VLOOKUP(Logs_reseau[[#This Row],[Cell_ID]],'[1]Registre_Maintenance_combine '!A:E,5,FALSE),"Non trouvé")</f>
        <v>Non trouvé</v>
      </c>
      <c r="J221" t="str">
        <f>IFERROR(VLOOKUP(Logs_reseau[[#This Row],[Cell_ID]],'[1]Registre_Maintenance_combine '!A:F,6,FALSE),"Non trouvé")</f>
        <v>Non trouvé</v>
      </c>
    </row>
    <row r="222" spans="1:10" x14ac:dyDescent="0.25">
      <c r="A222" t="str">
        <f>IFERROR(VLOOKUP(Logs_reseau[[#This Row],[Cell_ID]],'[1]Registre_Maintenance_combine '!A:B,2,FALSE),"Non trouvé")</f>
        <v>Non trouvé</v>
      </c>
      <c r="B222" t="s">
        <v>58</v>
      </c>
      <c r="C222" s="3">
        <v>45209.524305555555</v>
      </c>
      <c r="D222" s="11">
        <f>Logs_reseau[[#This Row],[Duree_Panne_Min]]/1440</f>
        <v>1.3888888888888888E-2</v>
      </c>
      <c r="E222">
        <v>20</v>
      </c>
      <c r="F222" t="s">
        <v>1</v>
      </c>
      <c r="G222" t="str">
        <f>IFERROR(VLOOKUP(Logs_reseau[[#This Row],[Cell_ID]],'[1]Registre_Maintenance_combine '!A:C,3,FALSE),"Non trouvé")</f>
        <v>Non trouvé</v>
      </c>
      <c r="H222" t="str">
        <f>IFERROR(VLOOKUP(Logs_reseau[[#This Row],[Cell_ID]],'[1]Registre_Maintenance_combine '!A:D,4,FALSE),"Non trouvé")</f>
        <v>Non trouvé</v>
      </c>
      <c r="I222" t="str">
        <f>IFERROR(VLOOKUP(Logs_reseau[[#This Row],[Cell_ID]],'[1]Registre_Maintenance_combine '!A:E,5,FALSE),"Non trouvé")</f>
        <v>Non trouvé</v>
      </c>
      <c r="J222" t="str">
        <f>IFERROR(VLOOKUP(Logs_reseau[[#This Row],[Cell_ID]],'[1]Registre_Maintenance_combine '!A:F,6,FALSE),"Non trouvé")</f>
        <v>Non trouvé</v>
      </c>
    </row>
    <row r="223" spans="1:10" x14ac:dyDescent="0.25">
      <c r="A223" t="str">
        <f>IFERROR(VLOOKUP(Logs_reseau[[#This Row],[Cell_ID]],'[1]Registre_Maintenance_combine '!A:B,2,FALSE),"Non trouvé")</f>
        <v>Non trouvé</v>
      </c>
      <c r="B223" t="s">
        <v>58</v>
      </c>
      <c r="C223" s="3">
        <v>45214.30972222222</v>
      </c>
      <c r="D223" s="11">
        <f>Logs_reseau[[#This Row],[Duree_Panne_Min]]/1440</f>
        <v>3.9583333333333331E-2</v>
      </c>
      <c r="E223">
        <v>57</v>
      </c>
      <c r="F223" t="s">
        <v>1</v>
      </c>
      <c r="G223" t="str">
        <f>IFERROR(VLOOKUP(Logs_reseau[[#This Row],[Cell_ID]],'[1]Registre_Maintenance_combine '!A:C,3,FALSE),"Non trouvé")</f>
        <v>Non trouvé</v>
      </c>
      <c r="H223" t="str">
        <f>IFERROR(VLOOKUP(Logs_reseau[[#This Row],[Cell_ID]],'[1]Registre_Maintenance_combine '!A:D,4,FALSE),"Non trouvé")</f>
        <v>Non trouvé</v>
      </c>
      <c r="I223" t="str">
        <f>IFERROR(VLOOKUP(Logs_reseau[[#This Row],[Cell_ID]],'[1]Registre_Maintenance_combine '!A:E,5,FALSE),"Non trouvé")</f>
        <v>Non trouvé</v>
      </c>
      <c r="J223" t="str">
        <f>IFERROR(VLOOKUP(Logs_reseau[[#This Row],[Cell_ID]],'[1]Registre_Maintenance_combine '!A:F,6,FALSE),"Non trouvé")</f>
        <v>Non trouvé</v>
      </c>
    </row>
    <row r="224" spans="1:10" x14ac:dyDescent="0.25">
      <c r="A224" t="str">
        <f>IFERROR(VLOOKUP(Logs_reseau[[#This Row],[Cell_ID]],'[1]Registre_Maintenance_combine '!A:B,2,FALSE),"Non trouvé")</f>
        <v>Non trouvé</v>
      </c>
      <c r="B224" t="s">
        <v>58</v>
      </c>
      <c r="C224" s="3">
        <v>45213.157638888886</v>
      </c>
      <c r="D224" s="11">
        <f>Logs_reseau[[#This Row],[Duree_Panne_Min]]/1440</f>
        <v>3.472222222222222E-3</v>
      </c>
      <c r="E224">
        <v>5</v>
      </c>
      <c r="F224" t="s">
        <v>1</v>
      </c>
      <c r="G224" t="str">
        <f>IFERROR(VLOOKUP(Logs_reseau[[#This Row],[Cell_ID]],'[1]Registre_Maintenance_combine '!A:C,3,FALSE),"Non trouvé")</f>
        <v>Non trouvé</v>
      </c>
      <c r="H224" t="str">
        <f>IFERROR(VLOOKUP(Logs_reseau[[#This Row],[Cell_ID]],'[1]Registre_Maintenance_combine '!A:D,4,FALSE),"Non trouvé")</f>
        <v>Non trouvé</v>
      </c>
      <c r="I224" t="str">
        <f>IFERROR(VLOOKUP(Logs_reseau[[#This Row],[Cell_ID]],'[1]Registre_Maintenance_combine '!A:E,5,FALSE),"Non trouvé")</f>
        <v>Non trouvé</v>
      </c>
      <c r="J224" t="str">
        <f>IFERROR(VLOOKUP(Logs_reseau[[#This Row],[Cell_ID]],'[1]Registre_Maintenance_combine '!A:F,6,FALSE),"Non trouvé")</f>
        <v>Non trouvé</v>
      </c>
    </row>
    <row r="225" spans="1:10" x14ac:dyDescent="0.25">
      <c r="A225" t="str">
        <f>IFERROR(VLOOKUP(Logs_reseau[[#This Row],[Cell_ID]],'[1]Registre_Maintenance_combine '!A:B,2,FALSE),"Non trouvé")</f>
        <v>Non trouvé</v>
      </c>
      <c r="B225" t="s">
        <v>58</v>
      </c>
      <c r="C225" s="3">
        <v>45226.655555555553</v>
      </c>
      <c r="D225" s="11">
        <f>Logs_reseau[[#This Row],[Duree_Panne_Min]]/1440</f>
        <v>1.3194444444444444E-2</v>
      </c>
      <c r="E225">
        <v>19</v>
      </c>
      <c r="F225" t="s">
        <v>1</v>
      </c>
      <c r="G225" t="str">
        <f>IFERROR(VLOOKUP(Logs_reseau[[#This Row],[Cell_ID]],'[1]Registre_Maintenance_combine '!A:C,3,FALSE),"Non trouvé")</f>
        <v>Non trouvé</v>
      </c>
      <c r="H225" t="str">
        <f>IFERROR(VLOOKUP(Logs_reseau[[#This Row],[Cell_ID]],'[1]Registre_Maintenance_combine '!A:D,4,FALSE),"Non trouvé")</f>
        <v>Non trouvé</v>
      </c>
      <c r="I225" t="str">
        <f>IFERROR(VLOOKUP(Logs_reseau[[#This Row],[Cell_ID]],'[1]Registre_Maintenance_combine '!A:E,5,FALSE),"Non trouvé")</f>
        <v>Non trouvé</v>
      </c>
      <c r="J225" t="str">
        <f>IFERROR(VLOOKUP(Logs_reseau[[#This Row],[Cell_ID]],'[1]Registre_Maintenance_combine '!A:F,6,FALSE),"Non trouvé")</f>
        <v>Non trouvé</v>
      </c>
    </row>
    <row r="226" spans="1:10" x14ac:dyDescent="0.25">
      <c r="A226" t="str">
        <f>IFERROR(VLOOKUP(Logs_reseau[[#This Row],[Cell_ID]],'[1]Registre_Maintenance_combine '!A:B,2,FALSE),"Non trouvé")</f>
        <v>Tshopo</v>
      </c>
      <c r="B226" t="s">
        <v>59</v>
      </c>
      <c r="C226" s="3">
        <v>45222.425694444442</v>
      </c>
      <c r="D226" s="11">
        <f>Logs_reseau[[#This Row],[Duree_Panne_Min]]/1440</f>
        <v>5.1388888888888887E-2</v>
      </c>
      <c r="E226">
        <v>74</v>
      </c>
      <c r="F226" t="s">
        <v>1</v>
      </c>
      <c r="G226">
        <f>IFERROR(VLOOKUP(Logs_reseau[[#This Row],[Cell_ID]],'[1]Registre_Maintenance_combine '!A:C,3,FALSE),"Non trouvé")</f>
        <v>-6.4670189999999996</v>
      </c>
      <c r="H226">
        <f>IFERROR(VLOOKUP(Logs_reseau[[#This Row],[Cell_ID]],'[1]Registre_Maintenance_combine '!A:D,4,FALSE),"Non trouvé")</f>
        <v>29.487309</v>
      </c>
      <c r="I226" t="str">
        <f>IFERROR(VLOOKUP(Logs_reseau[[#This Row],[Cell_ID]],'[1]Registre_Maintenance_combine '!A:E,5,FALSE),"Non trouvé")</f>
        <v>4G</v>
      </c>
      <c r="J226" t="str">
        <f>IFERROR(VLOOKUP(Logs_reseau[[#This Row],[Cell_ID]],'[1]Registre_Maintenance_combine '!A:F,6,FALSE),"Non trouvé")</f>
        <v>ZTE</v>
      </c>
    </row>
    <row r="227" spans="1:10" x14ac:dyDescent="0.25">
      <c r="A227" t="str">
        <f>IFERROR(VLOOKUP(Logs_reseau[[#This Row],[Cell_ID]],'[1]Registre_Maintenance_combine '!A:B,2,FALSE),"Non trouvé")</f>
        <v>Tshopo</v>
      </c>
      <c r="B227" t="s">
        <v>59</v>
      </c>
      <c r="C227" s="3">
        <v>45216.457638888889</v>
      </c>
      <c r="D227" s="11">
        <f>Logs_reseau[[#This Row],[Duree_Panne_Min]]/1440</f>
        <v>1.8749999999999999E-2</v>
      </c>
      <c r="E227">
        <v>27</v>
      </c>
      <c r="F227" t="s">
        <v>1</v>
      </c>
      <c r="G227">
        <f>IFERROR(VLOOKUP(Logs_reseau[[#This Row],[Cell_ID]],'[1]Registre_Maintenance_combine '!A:C,3,FALSE),"Non trouvé")</f>
        <v>-6.4670189999999996</v>
      </c>
      <c r="H227">
        <f>IFERROR(VLOOKUP(Logs_reseau[[#This Row],[Cell_ID]],'[1]Registre_Maintenance_combine '!A:D,4,FALSE),"Non trouvé")</f>
        <v>29.487309</v>
      </c>
      <c r="I227" t="str">
        <f>IFERROR(VLOOKUP(Logs_reseau[[#This Row],[Cell_ID]],'[1]Registre_Maintenance_combine '!A:E,5,FALSE),"Non trouvé")</f>
        <v>4G</v>
      </c>
      <c r="J227" t="str">
        <f>IFERROR(VLOOKUP(Logs_reseau[[#This Row],[Cell_ID]],'[1]Registre_Maintenance_combine '!A:F,6,FALSE),"Non trouvé")</f>
        <v>ZTE</v>
      </c>
    </row>
    <row r="228" spans="1:10" x14ac:dyDescent="0.25">
      <c r="A228" t="str">
        <f>IFERROR(VLOOKUP(Logs_reseau[[#This Row],[Cell_ID]],'[1]Registre_Maintenance_combine '!A:B,2,FALSE),"Non trouvé")</f>
        <v>Tshopo</v>
      </c>
      <c r="B228" t="s">
        <v>59</v>
      </c>
      <c r="C228" s="3">
        <v>45226.984027777777</v>
      </c>
      <c r="D228" s="11">
        <f>Logs_reseau[[#This Row],[Duree_Panne_Min]]/1440</f>
        <v>1.5972222222222221E-2</v>
      </c>
      <c r="E228">
        <v>23</v>
      </c>
      <c r="F228" t="s">
        <v>4</v>
      </c>
      <c r="G228">
        <f>IFERROR(VLOOKUP(Logs_reseau[[#This Row],[Cell_ID]],'[1]Registre_Maintenance_combine '!A:C,3,FALSE),"Non trouvé")</f>
        <v>-6.4670189999999996</v>
      </c>
      <c r="H228">
        <f>IFERROR(VLOOKUP(Logs_reseau[[#This Row],[Cell_ID]],'[1]Registre_Maintenance_combine '!A:D,4,FALSE),"Non trouvé")</f>
        <v>29.487309</v>
      </c>
      <c r="I228" t="str">
        <f>IFERROR(VLOOKUP(Logs_reseau[[#This Row],[Cell_ID]],'[1]Registre_Maintenance_combine '!A:E,5,FALSE),"Non trouvé")</f>
        <v>4G</v>
      </c>
      <c r="J228" t="str">
        <f>IFERROR(VLOOKUP(Logs_reseau[[#This Row],[Cell_ID]],'[1]Registre_Maintenance_combine '!A:F,6,FALSE),"Non trouvé")</f>
        <v>ZTE</v>
      </c>
    </row>
    <row r="229" spans="1:10" x14ac:dyDescent="0.25">
      <c r="A229" t="str">
        <f>IFERROR(VLOOKUP(Logs_reseau[[#This Row],[Cell_ID]],'[1]Registre_Maintenance_combine '!A:B,2,FALSE),"Non trouvé")</f>
        <v>Tshopo</v>
      </c>
      <c r="B229" t="s">
        <v>59</v>
      </c>
      <c r="C229" s="3">
        <v>45202.011111111111</v>
      </c>
      <c r="D229" s="11">
        <f>Logs_reseau[[#This Row],[Duree_Panne_Min]]/1440</f>
        <v>8.3333333333333329E-2</v>
      </c>
      <c r="E229">
        <v>120</v>
      </c>
      <c r="F229" t="s">
        <v>2</v>
      </c>
      <c r="G229">
        <f>IFERROR(VLOOKUP(Logs_reseau[[#This Row],[Cell_ID]],'[1]Registre_Maintenance_combine '!A:C,3,FALSE),"Non trouvé")</f>
        <v>-6.4670189999999996</v>
      </c>
      <c r="H229">
        <f>IFERROR(VLOOKUP(Logs_reseau[[#This Row],[Cell_ID]],'[1]Registre_Maintenance_combine '!A:D,4,FALSE),"Non trouvé")</f>
        <v>29.487309</v>
      </c>
      <c r="I229" t="str">
        <f>IFERROR(VLOOKUP(Logs_reseau[[#This Row],[Cell_ID]],'[1]Registre_Maintenance_combine '!A:E,5,FALSE),"Non trouvé")</f>
        <v>4G</v>
      </c>
      <c r="J229" t="str">
        <f>IFERROR(VLOOKUP(Logs_reseau[[#This Row],[Cell_ID]],'[1]Registre_Maintenance_combine '!A:F,6,FALSE),"Non trouvé")</f>
        <v>ZTE</v>
      </c>
    </row>
    <row r="230" spans="1:10" x14ac:dyDescent="0.25">
      <c r="A230" t="str">
        <f>IFERROR(VLOOKUP(Logs_reseau[[#This Row],[Cell_ID]],'[1]Registre_Maintenance_combine '!A:B,2,FALSE),"Non trouvé")</f>
        <v>Ituri</v>
      </c>
      <c r="B230" t="s">
        <v>60</v>
      </c>
      <c r="C230" s="3">
        <v>45221.568055555559</v>
      </c>
      <c r="D230" s="11">
        <f>Logs_reseau[[#This Row],[Duree_Panne_Min]]/1440</f>
        <v>4.0972222222222222E-2</v>
      </c>
      <c r="E230">
        <v>59</v>
      </c>
      <c r="F230" t="s">
        <v>4</v>
      </c>
      <c r="G230">
        <f>IFERROR(VLOOKUP(Logs_reseau[[#This Row],[Cell_ID]],'[1]Registre_Maintenance_combine '!A:C,3,FALSE),"Non trouvé")</f>
        <v>-0.34051900000000002</v>
      </c>
      <c r="H230">
        <f>IFERROR(VLOOKUP(Logs_reseau[[#This Row],[Cell_ID]],'[1]Registre_Maintenance_combine '!A:D,4,FALSE),"Non trouvé")</f>
        <v>17.079799000000001</v>
      </c>
      <c r="I230" t="str">
        <f>IFERROR(VLOOKUP(Logs_reseau[[#This Row],[Cell_ID]],'[1]Registre_Maintenance_combine '!A:E,5,FALSE),"Non trouvé")</f>
        <v>5G</v>
      </c>
      <c r="J230" t="str">
        <f>IFERROR(VLOOKUP(Logs_reseau[[#This Row],[Cell_ID]],'[1]Registre_Maintenance_combine '!A:F,6,FALSE),"Non trouvé")</f>
        <v>Ericsson</v>
      </c>
    </row>
    <row r="231" spans="1:10" x14ac:dyDescent="0.25">
      <c r="A231" t="str">
        <f>IFERROR(VLOOKUP(Logs_reseau[[#This Row],[Cell_ID]],'[1]Registre_Maintenance_combine '!A:B,2,FALSE),"Non trouvé")</f>
        <v>Ituri</v>
      </c>
      <c r="B231" t="s">
        <v>60</v>
      </c>
      <c r="C231" s="3">
        <v>45201.3125</v>
      </c>
      <c r="D231" s="11">
        <f>Logs_reseau[[#This Row],[Duree_Panne_Min]]/1440</f>
        <v>1.0416666666666666E-2</v>
      </c>
      <c r="E231">
        <v>15</v>
      </c>
      <c r="F231" t="s">
        <v>1</v>
      </c>
      <c r="G231">
        <f>IFERROR(VLOOKUP(Logs_reseau[[#This Row],[Cell_ID]],'[1]Registre_Maintenance_combine '!A:C,3,FALSE),"Non trouvé")</f>
        <v>-0.34051900000000002</v>
      </c>
      <c r="H231">
        <f>IFERROR(VLOOKUP(Logs_reseau[[#This Row],[Cell_ID]],'[1]Registre_Maintenance_combine '!A:D,4,FALSE),"Non trouvé")</f>
        <v>17.079799000000001</v>
      </c>
      <c r="I231" t="str">
        <f>IFERROR(VLOOKUP(Logs_reseau[[#This Row],[Cell_ID]],'[1]Registre_Maintenance_combine '!A:E,5,FALSE),"Non trouvé")</f>
        <v>5G</v>
      </c>
      <c r="J231" t="str">
        <f>IFERROR(VLOOKUP(Logs_reseau[[#This Row],[Cell_ID]],'[1]Registre_Maintenance_combine '!A:F,6,FALSE),"Non trouvé")</f>
        <v>Ericsson</v>
      </c>
    </row>
    <row r="232" spans="1:10" x14ac:dyDescent="0.25">
      <c r="A232" t="str">
        <f>IFERROR(VLOOKUP(Logs_reseau[[#This Row],[Cell_ID]],'[1]Registre_Maintenance_combine '!A:B,2,FALSE),"Non trouvé")</f>
        <v>Ituri</v>
      </c>
      <c r="B232" t="s">
        <v>60</v>
      </c>
      <c r="C232" s="3">
        <v>45203.981944444444</v>
      </c>
      <c r="D232" s="11">
        <f>Logs_reseau[[#This Row],[Duree_Panne_Min]]/1440</f>
        <v>1.1111111111111112E-2</v>
      </c>
      <c r="E232">
        <v>16</v>
      </c>
      <c r="F232" t="s">
        <v>1</v>
      </c>
      <c r="G232">
        <f>IFERROR(VLOOKUP(Logs_reseau[[#This Row],[Cell_ID]],'[1]Registre_Maintenance_combine '!A:C,3,FALSE),"Non trouvé")</f>
        <v>-0.34051900000000002</v>
      </c>
      <c r="H232">
        <f>IFERROR(VLOOKUP(Logs_reseau[[#This Row],[Cell_ID]],'[1]Registre_Maintenance_combine '!A:D,4,FALSE),"Non trouvé")</f>
        <v>17.079799000000001</v>
      </c>
      <c r="I232" t="str">
        <f>IFERROR(VLOOKUP(Logs_reseau[[#This Row],[Cell_ID]],'[1]Registre_Maintenance_combine '!A:E,5,FALSE),"Non trouvé")</f>
        <v>5G</v>
      </c>
      <c r="J232" t="str">
        <f>IFERROR(VLOOKUP(Logs_reseau[[#This Row],[Cell_ID]],'[1]Registre_Maintenance_combine '!A:F,6,FALSE),"Non trouvé")</f>
        <v>Ericsson</v>
      </c>
    </row>
    <row r="233" spans="1:10" x14ac:dyDescent="0.25">
      <c r="A233" t="str">
        <f>IFERROR(VLOOKUP(Logs_reseau[[#This Row],[Cell_ID]],'[1]Registre_Maintenance_combine '!A:B,2,FALSE),"Non trouvé")</f>
        <v>Ituri</v>
      </c>
      <c r="B233" t="s">
        <v>60</v>
      </c>
      <c r="C233" s="3">
        <v>45221.35833333333</v>
      </c>
      <c r="D233" s="11">
        <f>Logs_reseau[[#This Row],[Duree_Panne_Min]]/1440</f>
        <v>7.013888888888889E-2</v>
      </c>
      <c r="E233">
        <v>101</v>
      </c>
      <c r="F233" t="s">
        <v>4</v>
      </c>
      <c r="G233">
        <f>IFERROR(VLOOKUP(Logs_reseau[[#This Row],[Cell_ID]],'[1]Registre_Maintenance_combine '!A:C,3,FALSE),"Non trouvé")</f>
        <v>-0.34051900000000002</v>
      </c>
      <c r="H233">
        <f>IFERROR(VLOOKUP(Logs_reseau[[#This Row],[Cell_ID]],'[1]Registre_Maintenance_combine '!A:D,4,FALSE),"Non trouvé")</f>
        <v>17.079799000000001</v>
      </c>
      <c r="I233" t="str">
        <f>IFERROR(VLOOKUP(Logs_reseau[[#This Row],[Cell_ID]],'[1]Registre_Maintenance_combine '!A:E,5,FALSE),"Non trouvé")</f>
        <v>5G</v>
      </c>
      <c r="J233" t="str">
        <f>IFERROR(VLOOKUP(Logs_reseau[[#This Row],[Cell_ID]],'[1]Registre_Maintenance_combine '!A:F,6,FALSE),"Non trouvé")</f>
        <v>Ericsson</v>
      </c>
    </row>
    <row r="234" spans="1:10" x14ac:dyDescent="0.25">
      <c r="A234" t="str">
        <f>IFERROR(VLOOKUP(Logs_reseau[[#This Row],[Cell_ID]],'[1]Registre_Maintenance_combine '!A:B,2,FALSE),"Non trouvé")</f>
        <v>Non trouvé</v>
      </c>
      <c r="B234" t="s">
        <v>61</v>
      </c>
      <c r="C234" s="3">
        <v>45201.294444444444</v>
      </c>
      <c r="D234" s="11">
        <f>Logs_reseau[[#This Row],[Duree_Panne_Min]]/1440</f>
        <v>3.7499999999999999E-2</v>
      </c>
      <c r="E234">
        <v>54</v>
      </c>
      <c r="F234" t="s">
        <v>4</v>
      </c>
      <c r="G234" t="str">
        <f>IFERROR(VLOOKUP(Logs_reseau[[#This Row],[Cell_ID]],'[1]Registre_Maintenance_combine '!A:C,3,FALSE),"Non trouvé")</f>
        <v>Non trouvé</v>
      </c>
      <c r="H234" t="str">
        <f>IFERROR(VLOOKUP(Logs_reseau[[#This Row],[Cell_ID]],'[1]Registre_Maintenance_combine '!A:D,4,FALSE),"Non trouvé")</f>
        <v>Non trouvé</v>
      </c>
      <c r="I234" t="str">
        <f>IFERROR(VLOOKUP(Logs_reseau[[#This Row],[Cell_ID]],'[1]Registre_Maintenance_combine '!A:E,5,FALSE),"Non trouvé")</f>
        <v>Non trouvé</v>
      </c>
      <c r="J234" t="str">
        <f>IFERROR(VLOOKUP(Logs_reseau[[#This Row],[Cell_ID]],'[1]Registre_Maintenance_combine '!A:F,6,FALSE),"Non trouvé")</f>
        <v>Non trouvé</v>
      </c>
    </row>
    <row r="235" spans="1:10" x14ac:dyDescent="0.25">
      <c r="A235" t="str">
        <f>IFERROR(VLOOKUP(Logs_reseau[[#This Row],[Cell_ID]],'[1]Registre_Maintenance_combine '!A:B,2,FALSE),"Non trouvé")</f>
        <v>Non trouvé</v>
      </c>
      <c r="B235" t="s">
        <v>61</v>
      </c>
      <c r="C235" s="3">
        <v>45223.981944444444</v>
      </c>
      <c r="D235" s="11">
        <f>Logs_reseau[[#This Row],[Duree_Panne_Min]]/1440</f>
        <v>7.1527777777777773E-2</v>
      </c>
      <c r="E235">
        <v>103</v>
      </c>
      <c r="F235" t="s">
        <v>1</v>
      </c>
      <c r="G235" t="str">
        <f>IFERROR(VLOOKUP(Logs_reseau[[#This Row],[Cell_ID]],'[1]Registre_Maintenance_combine '!A:C,3,FALSE),"Non trouvé")</f>
        <v>Non trouvé</v>
      </c>
      <c r="H235" t="str">
        <f>IFERROR(VLOOKUP(Logs_reseau[[#This Row],[Cell_ID]],'[1]Registre_Maintenance_combine '!A:D,4,FALSE),"Non trouvé")</f>
        <v>Non trouvé</v>
      </c>
      <c r="I235" t="str">
        <f>IFERROR(VLOOKUP(Logs_reseau[[#This Row],[Cell_ID]],'[1]Registre_Maintenance_combine '!A:E,5,FALSE),"Non trouvé")</f>
        <v>Non trouvé</v>
      </c>
      <c r="J235" t="str">
        <f>IFERROR(VLOOKUP(Logs_reseau[[#This Row],[Cell_ID]],'[1]Registre_Maintenance_combine '!A:F,6,FALSE),"Non trouvé")</f>
        <v>Non trouvé</v>
      </c>
    </row>
    <row r="236" spans="1:10" x14ac:dyDescent="0.25">
      <c r="A236" t="str">
        <f>IFERROR(VLOOKUP(Logs_reseau[[#This Row],[Cell_ID]],'[1]Registre_Maintenance_combine '!A:B,2,FALSE),"Non trouvé")</f>
        <v>Non trouvé</v>
      </c>
      <c r="B236" t="s">
        <v>61</v>
      </c>
      <c r="C236" s="3">
        <v>45208.169444444444</v>
      </c>
      <c r="D236" s="11">
        <f>Logs_reseau[[#This Row],[Duree_Panne_Min]]/1440</f>
        <v>5.2083333333333336E-2</v>
      </c>
      <c r="E236">
        <v>75</v>
      </c>
      <c r="F236" t="s">
        <v>2</v>
      </c>
      <c r="G236" t="str">
        <f>IFERROR(VLOOKUP(Logs_reseau[[#This Row],[Cell_ID]],'[1]Registre_Maintenance_combine '!A:C,3,FALSE),"Non trouvé")</f>
        <v>Non trouvé</v>
      </c>
      <c r="H236" t="str">
        <f>IFERROR(VLOOKUP(Logs_reseau[[#This Row],[Cell_ID]],'[1]Registre_Maintenance_combine '!A:D,4,FALSE),"Non trouvé")</f>
        <v>Non trouvé</v>
      </c>
      <c r="I236" t="str">
        <f>IFERROR(VLOOKUP(Logs_reseau[[#This Row],[Cell_ID]],'[1]Registre_Maintenance_combine '!A:E,5,FALSE),"Non trouvé")</f>
        <v>Non trouvé</v>
      </c>
      <c r="J236" t="str">
        <f>IFERROR(VLOOKUP(Logs_reseau[[#This Row],[Cell_ID]],'[1]Registre_Maintenance_combine '!A:F,6,FALSE),"Non trouvé")</f>
        <v>Non trouvé</v>
      </c>
    </row>
    <row r="237" spans="1:10" x14ac:dyDescent="0.25">
      <c r="A237" t="str">
        <f>IFERROR(VLOOKUP(Logs_reseau[[#This Row],[Cell_ID]],'[1]Registre_Maintenance_combine '!A:B,2,FALSE),"Non trouvé")</f>
        <v>Non trouvé</v>
      </c>
      <c r="B237" t="s">
        <v>61</v>
      </c>
      <c r="C237" s="3">
        <v>45218.53125</v>
      </c>
      <c r="D237" s="11">
        <f>Logs_reseau[[#This Row],[Duree_Panne_Min]]/1440</f>
        <v>7.8472222222222221E-2</v>
      </c>
      <c r="E237">
        <v>113</v>
      </c>
      <c r="F237" t="s">
        <v>1</v>
      </c>
      <c r="G237" t="str">
        <f>IFERROR(VLOOKUP(Logs_reseau[[#This Row],[Cell_ID]],'[1]Registre_Maintenance_combine '!A:C,3,FALSE),"Non trouvé")</f>
        <v>Non trouvé</v>
      </c>
      <c r="H237" t="str">
        <f>IFERROR(VLOOKUP(Logs_reseau[[#This Row],[Cell_ID]],'[1]Registre_Maintenance_combine '!A:D,4,FALSE),"Non trouvé")</f>
        <v>Non trouvé</v>
      </c>
      <c r="I237" t="str">
        <f>IFERROR(VLOOKUP(Logs_reseau[[#This Row],[Cell_ID]],'[1]Registre_Maintenance_combine '!A:E,5,FALSE),"Non trouvé")</f>
        <v>Non trouvé</v>
      </c>
      <c r="J237" t="str">
        <f>IFERROR(VLOOKUP(Logs_reseau[[#This Row],[Cell_ID]],'[1]Registre_Maintenance_combine '!A:F,6,FALSE),"Non trouvé")</f>
        <v>Non trouvé</v>
      </c>
    </row>
    <row r="238" spans="1:10" x14ac:dyDescent="0.25">
      <c r="A238" t="str">
        <f>IFERROR(VLOOKUP(Logs_reseau[[#This Row],[Cell_ID]],'[1]Registre_Maintenance_combine '!A:B,2,FALSE),"Non trouvé")</f>
        <v>Non trouvé</v>
      </c>
      <c r="B238" t="s">
        <v>62</v>
      </c>
      <c r="C238" s="3">
        <v>45203.154166666667</v>
      </c>
      <c r="D238" s="11">
        <f>Logs_reseau[[#This Row],[Duree_Panne_Min]]/1440</f>
        <v>4.2361111111111113E-2</v>
      </c>
      <c r="E238">
        <v>61</v>
      </c>
      <c r="F238" t="s">
        <v>1</v>
      </c>
      <c r="G238" t="str">
        <f>IFERROR(VLOOKUP(Logs_reseau[[#This Row],[Cell_ID]],'[1]Registre_Maintenance_combine '!A:C,3,FALSE),"Non trouvé")</f>
        <v>Non trouvé</v>
      </c>
      <c r="H238" t="str">
        <f>IFERROR(VLOOKUP(Logs_reseau[[#This Row],[Cell_ID]],'[1]Registre_Maintenance_combine '!A:D,4,FALSE),"Non trouvé")</f>
        <v>Non trouvé</v>
      </c>
      <c r="I238" t="str">
        <f>IFERROR(VLOOKUP(Logs_reseau[[#This Row],[Cell_ID]],'[1]Registre_Maintenance_combine '!A:E,5,FALSE),"Non trouvé")</f>
        <v>Non trouvé</v>
      </c>
      <c r="J238" t="str">
        <f>IFERROR(VLOOKUP(Logs_reseau[[#This Row],[Cell_ID]],'[1]Registre_Maintenance_combine '!A:F,6,FALSE),"Non trouvé")</f>
        <v>Non trouvé</v>
      </c>
    </row>
    <row r="239" spans="1:10" x14ac:dyDescent="0.25">
      <c r="A239" t="str">
        <f>IFERROR(VLOOKUP(Logs_reseau[[#This Row],[Cell_ID]],'[1]Registre_Maintenance_combine '!A:B,2,FALSE),"Non trouvé")</f>
        <v>Non trouvé</v>
      </c>
      <c r="B239" t="s">
        <v>63</v>
      </c>
      <c r="C239" s="3">
        <v>45206.182638888888</v>
      </c>
      <c r="D239" s="11">
        <f>Logs_reseau[[#This Row],[Duree_Panne_Min]]/1440</f>
        <v>9.7222222222222224E-3</v>
      </c>
      <c r="E239">
        <v>14</v>
      </c>
      <c r="F239" t="s">
        <v>1</v>
      </c>
      <c r="G239" t="str">
        <f>IFERROR(VLOOKUP(Logs_reseau[[#This Row],[Cell_ID]],'[1]Registre_Maintenance_combine '!A:C,3,FALSE),"Non trouvé")</f>
        <v>Non trouvé</v>
      </c>
      <c r="H239" t="str">
        <f>IFERROR(VLOOKUP(Logs_reseau[[#This Row],[Cell_ID]],'[1]Registre_Maintenance_combine '!A:D,4,FALSE),"Non trouvé")</f>
        <v>Non trouvé</v>
      </c>
      <c r="I239" t="str">
        <f>IFERROR(VLOOKUP(Logs_reseau[[#This Row],[Cell_ID]],'[1]Registre_Maintenance_combine '!A:E,5,FALSE),"Non trouvé")</f>
        <v>Non trouvé</v>
      </c>
      <c r="J239" t="str">
        <f>IFERROR(VLOOKUP(Logs_reseau[[#This Row],[Cell_ID]],'[1]Registre_Maintenance_combine '!A:F,6,FALSE),"Non trouvé")</f>
        <v>Non trouvé</v>
      </c>
    </row>
    <row r="240" spans="1:10" x14ac:dyDescent="0.25">
      <c r="A240" t="str">
        <f>IFERROR(VLOOKUP(Logs_reseau[[#This Row],[Cell_ID]],'[1]Registre_Maintenance_combine '!A:B,2,FALSE),"Non trouvé")</f>
        <v>Non trouvé</v>
      </c>
      <c r="B240" t="s">
        <v>63</v>
      </c>
      <c r="C240" s="3">
        <v>45221.775000000001</v>
      </c>
      <c r="D240" s="11">
        <f>Logs_reseau[[#This Row],[Duree_Panne_Min]]/1440</f>
        <v>4.3055555555555555E-2</v>
      </c>
      <c r="E240">
        <v>62</v>
      </c>
      <c r="F240" t="s">
        <v>1</v>
      </c>
      <c r="G240" t="str">
        <f>IFERROR(VLOOKUP(Logs_reseau[[#This Row],[Cell_ID]],'[1]Registre_Maintenance_combine '!A:C,3,FALSE),"Non trouvé")</f>
        <v>Non trouvé</v>
      </c>
      <c r="H240" t="str">
        <f>IFERROR(VLOOKUP(Logs_reseau[[#This Row],[Cell_ID]],'[1]Registre_Maintenance_combine '!A:D,4,FALSE),"Non trouvé")</f>
        <v>Non trouvé</v>
      </c>
      <c r="I240" t="str">
        <f>IFERROR(VLOOKUP(Logs_reseau[[#This Row],[Cell_ID]],'[1]Registre_Maintenance_combine '!A:E,5,FALSE),"Non trouvé")</f>
        <v>Non trouvé</v>
      </c>
      <c r="J240" t="str">
        <f>IFERROR(VLOOKUP(Logs_reseau[[#This Row],[Cell_ID]],'[1]Registre_Maintenance_combine '!A:F,6,FALSE),"Non trouvé")</f>
        <v>Non trouvé</v>
      </c>
    </row>
    <row r="241" spans="1:10" x14ac:dyDescent="0.25">
      <c r="A241" t="str">
        <f>IFERROR(VLOOKUP(Logs_reseau[[#This Row],[Cell_ID]],'[1]Registre_Maintenance_combine '!A:B,2,FALSE),"Non trouvé")</f>
        <v>Non trouvé</v>
      </c>
      <c r="B241" t="s">
        <v>63</v>
      </c>
      <c r="C241" s="3">
        <v>45208.486805555556</v>
      </c>
      <c r="D241" s="11">
        <f>Logs_reseau[[#This Row],[Duree_Panne_Min]]/1440</f>
        <v>7.6388888888888895E-2</v>
      </c>
      <c r="E241">
        <v>110</v>
      </c>
      <c r="F241" t="s">
        <v>4</v>
      </c>
      <c r="G241" t="str">
        <f>IFERROR(VLOOKUP(Logs_reseau[[#This Row],[Cell_ID]],'[1]Registre_Maintenance_combine '!A:C,3,FALSE),"Non trouvé")</f>
        <v>Non trouvé</v>
      </c>
      <c r="H241" t="str">
        <f>IFERROR(VLOOKUP(Logs_reseau[[#This Row],[Cell_ID]],'[1]Registre_Maintenance_combine '!A:D,4,FALSE),"Non trouvé")</f>
        <v>Non trouvé</v>
      </c>
      <c r="I241" t="str">
        <f>IFERROR(VLOOKUP(Logs_reseau[[#This Row],[Cell_ID]],'[1]Registre_Maintenance_combine '!A:E,5,FALSE),"Non trouvé")</f>
        <v>Non trouvé</v>
      </c>
      <c r="J241" t="str">
        <f>IFERROR(VLOOKUP(Logs_reseau[[#This Row],[Cell_ID]],'[1]Registre_Maintenance_combine '!A:F,6,FALSE),"Non trouvé")</f>
        <v>Non trouvé</v>
      </c>
    </row>
    <row r="242" spans="1:10" x14ac:dyDescent="0.25">
      <c r="A242" t="str">
        <f>IFERROR(VLOOKUP(Logs_reseau[[#This Row],[Cell_ID]],'[1]Registre_Maintenance_combine '!A:B,2,FALSE),"Non trouvé")</f>
        <v>Non trouvé</v>
      </c>
      <c r="B242" t="s">
        <v>63</v>
      </c>
      <c r="C242" s="3">
        <v>45209.901388888888</v>
      </c>
      <c r="D242" s="11">
        <f>Logs_reseau[[#This Row],[Duree_Panne_Min]]/1440</f>
        <v>3.4027777777777775E-2</v>
      </c>
      <c r="E242">
        <v>49</v>
      </c>
      <c r="F242" t="s">
        <v>4</v>
      </c>
      <c r="G242" t="str">
        <f>IFERROR(VLOOKUP(Logs_reseau[[#This Row],[Cell_ID]],'[1]Registre_Maintenance_combine '!A:C,3,FALSE),"Non trouvé")</f>
        <v>Non trouvé</v>
      </c>
      <c r="H242" t="str">
        <f>IFERROR(VLOOKUP(Logs_reseau[[#This Row],[Cell_ID]],'[1]Registre_Maintenance_combine '!A:D,4,FALSE),"Non trouvé")</f>
        <v>Non trouvé</v>
      </c>
      <c r="I242" t="str">
        <f>IFERROR(VLOOKUP(Logs_reseau[[#This Row],[Cell_ID]],'[1]Registre_Maintenance_combine '!A:E,5,FALSE),"Non trouvé")</f>
        <v>Non trouvé</v>
      </c>
      <c r="J242" t="str">
        <f>IFERROR(VLOOKUP(Logs_reseau[[#This Row],[Cell_ID]],'[1]Registre_Maintenance_combine '!A:F,6,FALSE),"Non trouvé")</f>
        <v>Non trouvé</v>
      </c>
    </row>
    <row r="243" spans="1:10" x14ac:dyDescent="0.25">
      <c r="A243" t="str">
        <f>IFERROR(VLOOKUP(Logs_reseau[[#This Row],[Cell_ID]],'[1]Registre_Maintenance_combine '!A:B,2,FALSE),"Non trouvé")</f>
        <v>Non trouvé</v>
      </c>
      <c r="B243" t="s">
        <v>63</v>
      </c>
      <c r="C243" s="3">
        <v>45214.59652777778</v>
      </c>
      <c r="D243" s="11">
        <f>Logs_reseau[[#This Row],[Duree_Panne_Min]]/1440</f>
        <v>6.805555555555555E-2</v>
      </c>
      <c r="E243">
        <v>98</v>
      </c>
      <c r="F243" t="s">
        <v>2</v>
      </c>
      <c r="G243" t="str">
        <f>IFERROR(VLOOKUP(Logs_reseau[[#This Row],[Cell_ID]],'[1]Registre_Maintenance_combine '!A:C,3,FALSE),"Non trouvé")</f>
        <v>Non trouvé</v>
      </c>
      <c r="H243" t="str">
        <f>IFERROR(VLOOKUP(Logs_reseau[[#This Row],[Cell_ID]],'[1]Registre_Maintenance_combine '!A:D,4,FALSE),"Non trouvé")</f>
        <v>Non trouvé</v>
      </c>
      <c r="I243" t="str">
        <f>IFERROR(VLOOKUP(Logs_reseau[[#This Row],[Cell_ID]],'[1]Registre_Maintenance_combine '!A:E,5,FALSE),"Non trouvé")</f>
        <v>Non trouvé</v>
      </c>
      <c r="J243" t="str">
        <f>IFERROR(VLOOKUP(Logs_reseau[[#This Row],[Cell_ID]],'[1]Registre_Maintenance_combine '!A:F,6,FALSE),"Non trouvé")</f>
        <v>Non trouvé</v>
      </c>
    </row>
    <row r="244" spans="1:10" x14ac:dyDescent="0.25">
      <c r="A244" t="str">
        <f>IFERROR(VLOOKUP(Logs_reseau[[#This Row],[Cell_ID]],'[1]Registre_Maintenance_combine '!A:B,2,FALSE),"Non trouvé")</f>
        <v>Non trouvé</v>
      </c>
      <c r="B244" t="s">
        <v>63</v>
      </c>
      <c r="C244" s="3">
        <v>45227.462500000001</v>
      </c>
      <c r="D244" s="11">
        <f>Logs_reseau[[#This Row],[Duree_Panne_Min]]/1440</f>
        <v>1.3888888888888888E-2</v>
      </c>
      <c r="E244">
        <v>20</v>
      </c>
      <c r="F244" t="s">
        <v>4</v>
      </c>
      <c r="G244" t="str">
        <f>IFERROR(VLOOKUP(Logs_reseau[[#This Row],[Cell_ID]],'[1]Registre_Maintenance_combine '!A:C,3,FALSE),"Non trouvé")</f>
        <v>Non trouvé</v>
      </c>
      <c r="H244" t="str">
        <f>IFERROR(VLOOKUP(Logs_reseau[[#This Row],[Cell_ID]],'[1]Registre_Maintenance_combine '!A:D,4,FALSE),"Non trouvé")</f>
        <v>Non trouvé</v>
      </c>
      <c r="I244" t="str">
        <f>IFERROR(VLOOKUP(Logs_reseau[[#This Row],[Cell_ID]],'[1]Registre_Maintenance_combine '!A:E,5,FALSE),"Non trouvé")</f>
        <v>Non trouvé</v>
      </c>
      <c r="J244" t="str">
        <f>IFERROR(VLOOKUP(Logs_reseau[[#This Row],[Cell_ID]],'[1]Registre_Maintenance_combine '!A:F,6,FALSE),"Non trouvé")</f>
        <v>Non trouvé</v>
      </c>
    </row>
    <row r="245" spans="1:10" x14ac:dyDescent="0.25">
      <c r="A245" t="str">
        <f>IFERROR(VLOOKUP(Logs_reseau[[#This Row],[Cell_ID]],'[1]Registre_Maintenance_combine '!A:B,2,FALSE),"Non trouvé")</f>
        <v>Non trouvé</v>
      </c>
      <c r="B245" t="s">
        <v>63</v>
      </c>
      <c r="C245" s="3">
        <v>45221.505555555559</v>
      </c>
      <c r="D245" s="11">
        <f>Logs_reseau[[#This Row],[Duree_Panne_Min]]/1440</f>
        <v>8.3333333333333332E-3</v>
      </c>
      <c r="E245">
        <v>12</v>
      </c>
      <c r="F245" t="s">
        <v>4</v>
      </c>
      <c r="G245" t="str">
        <f>IFERROR(VLOOKUP(Logs_reseau[[#This Row],[Cell_ID]],'[1]Registre_Maintenance_combine '!A:C,3,FALSE),"Non trouvé")</f>
        <v>Non trouvé</v>
      </c>
      <c r="H245" t="str">
        <f>IFERROR(VLOOKUP(Logs_reseau[[#This Row],[Cell_ID]],'[1]Registre_Maintenance_combine '!A:D,4,FALSE),"Non trouvé")</f>
        <v>Non trouvé</v>
      </c>
      <c r="I245" t="str">
        <f>IFERROR(VLOOKUP(Logs_reseau[[#This Row],[Cell_ID]],'[1]Registre_Maintenance_combine '!A:E,5,FALSE),"Non trouvé")</f>
        <v>Non trouvé</v>
      </c>
      <c r="J245" t="str">
        <f>IFERROR(VLOOKUP(Logs_reseau[[#This Row],[Cell_ID]],'[1]Registre_Maintenance_combine '!A:F,6,FALSE),"Non trouvé")</f>
        <v>Non trouvé</v>
      </c>
    </row>
    <row r="246" spans="1:10" x14ac:dyDescent="0.25">
      <c r="A246" t="str">
        <f>IFERROR(VLOOKUP(Logs_reseau[[#This Row],[Cell_ID]],'[1]Registre_Maintenance_combine '!A:B,2,FALSE),"Non trouvé")</f>
        <v>Non trouvé</v>
      </c>
      <c r="B246" t="s">
        <v>64</v>
      </c>
      <c r="C246" s="3">
        <v>45204.195833333331</v>
      </c>
      <c r="D246" s="11">
        <f>Logs_reseau[[#This Row],[Duree_Panne_Min]]/1440</f>
        <v>1.5972222222222221E-2</v>
      </c>
      <c r="E246">
        <v>23</v>
      </c>
      <c r="F246" t="s">
        <v>4</v>
      </c>
      <c r="G246" t="str">
        <f>IFERROR(VLOOKUP(Logs_reseau[[#This Row],[Cell_ID]],'[1]Registre_Maintenance_combine '!A:C,3,FALSE),"Non trouvé")</f>
        <v>Non trouvé</v>
      </c>
      <c r="H246" t="str">
        <f>IFERROR(VLOOKUP(Logs_reseau[[#This Row],[Cell_ID]],'[1]Registre_Maintenance_combine '!A:D,4,FALSE),"Non trouvé")</f>
        <v>Non trouvé</v>
      </c>
      <c r="I246" t="str">
        <f>IFERROR(VLOOKUP(Logs_reseau[[#This Row],[Cell_ID]],'[1]Registre_Maintenance_combine '!A:E,5,FALSE),"Non trouvé")</f>
        <v>Non trouvé</v>
      </c>
      <c r="J246" t="str">
        <f>IFERROR(VLOOKUP(Logs_reseau[[#This Row],[Cell_ID]],'[1]Registre_Maintenance_combine '!A:F,6,FALSE),"Non trouvé")</f>
        <v>Non trouvé</v>
      </c>
    </row>
    <row r="247" spans="1:10" x14ac:dyDescent="0.25">
      <c r="A247" t="str">
        <f>IFERROR(VLOOKUP(Logs_reseau[[#This Row],[Cell_ID]],'[1]Registre_Maintenance_combine '!A:B,2,FALSE),"Non trouvé")</f>
        <v>Non trouvé</v>
      </c>
      <c r="B247" t="s">
        <v>64</v>
      </c>
      <c r="C247" s="3">
        <v>45226.739583333336</v>
      </c>
      <c r="D247" s="11">
        <f>Logs_reseau[[#This Row],[Duree_Panne_Min]]/1440</f>
        <v>5.2083333333333336E-2</v>
      </c>
      <c r="E247">
        <v>75</v>
      </c>
      <c r="F247" t="s">
        <v>1</v>
      </c>
      <c r="G247" t="str">
        <f>IFERROR(VLOOKUP(Logs_reseau[[#This Row],[Cell_ID]],'[1]Registre_Maintenance_combine '!A:C,3,FALSE),"Non trouvé")</f>
        <v>Non trouvé</v>
      </c>
      <c r="H247" t="str">
        <f>IFERROR(VLOOKUP(Logs_reseau[[#This Row],[Cell_ID]],'[1]Registre_Maintenance_combine '!A:D,4,FALSE),"Non trouvé")</f>
        <v>Non trouvé</v>
      </c>
      <c r="I247" t="str">
        <f>IFERROR(VLOOKUP(Logs_reseau[[#This Row],[Cell_ID]],'[1]Registre_Maintenance_combine '!A:E,5,FALSE),"Non trouvé")</f>
        <v>Non trouvé</v>
      </c>
      <c r="J247" t="str">
        <f>IFERROR(VLOOKUP(Logs_reseau[[#This Row],[Cell_ID]],'[1]Registre_Maintenance_combine '!A:F,6,FALSE),"Non trouvé")</f>
        <v>Non trouvé</v>
      </c>
    </row>
    <row r="248" spans="1:10" x14ac:dyDescent="0.25">
      <c r="A248" t="str">
        <f>IFERROR(VLOOKUP(Logs_reseau[[#This Row],[Cell_ID]],'[1]Registre_Maintenance_combine '!A:B,2,FALSE),"Non trouvé")</f>
        <v>Non trouvé</v>
      </c>
      <c r="B248" t="s">
        <v>64</v>
      </c>
      <c r="C248" s="3">
        <v>45215.3</v>
      </c>
      <c r="D248" s="11">
        <f>Logs_reseau[[#This Row],[Duree_Panne_Min]]/1440</f>
        <v>6.7361111111111108E-2</v>
      </c>
      <c r="E248">
        <v>97</v>
      </c>
      <c r="F248" t="s">
        <v>1</v>
      </c>
      <c r="G248" t="str">
        <f>IFERROR(VLOOKUP(Logs_reseau[[#This Row],[Cell_ID]],'[1]Registre_Maintenance_combine '!A:C,3,FALSE),"Non trouvé")</f>
        <v>Non trouvé</v>
      </c>
      <c r="H248" t="str">
        <f>IFERROR(VLOOKUP(Logs_reseau[[#This Row],[Cell_ID]],'[1]Registre_Maintenance_combine '!A:D,4,FALSE),"Non trouvé")</f>
        <v>Non trouvé</v>
      </c>
      <c r="I248" t="str">
        <f>IFERROR(VLOOKUP(Logs_reseau[[#This Row],[Cell_ID]],'[1]Registre_Maintenance_combine '!A:E,5,FALSE),"Non trouvé")</f>
        <v>Non trouvé</v>
      </c>
      <c r="J248" t="str">
        <f>IFERROR(VLOOKUP(Logs_reseau[[#This Row],[Cell_ID]],'[1]Registre_Maintenance_combine '!A:F,6,FALSE),"Non trouvé")</f>
        <v>Non trouvé</v>
      </c>
    </row>
    <row r="249" spans="1:10" x14ac:dyDescent="0.25">
      <c r="A249" t="str">
        <f>IFERROR(VLOOKUP(Logs_reseau[[#This Row],[Cell_ID]],'[1]Registre_Maintenance_combine '!A:B,2,FALSE),"Non trouvé")</f>
        <v>Non trouvé</v>
      </c>
      <c r="B249" t="s">
        <v>64</v>
      </c>
      <c r="C249" s="3">
        <v>45206.947222222225</v>
      </c>
      <c r="D249" s="11">
        <f>Logs_reseau[[#This Row],[Duree_Panne_Min]]/1440</f>
        <v>5.9722222222222225E-2</v>
      </c>
      <c r="E249">
        <v>86</v>
      </c>
      <c r="F249" t="s">
        <v>4</v>
      </c>
      <c r="G249" t="str">
        <f>IFERROR(VLOOKUP(Logs_reseau[[#This Row],[Cell_ID]],'[1]Registre_Maintenance_combine '!A:C,3,FALSE),"Non trouvé")</f>
        <v>Non trouvé</v>
      </c>
      <c r="H249" t="str">
        <f>IFERROR(VLOOKUP(Logs_reseau[[#This Row],[Cell_ID]],'[1]Registre_Maintenance_combine '!A:D,4,FALSE),"Non trouvé")</f>
        <v>Non trouvé</v>
      </c>
      <c r="I249" t="str">
        <f>IFERROR(VLOOKUP(Logs_reseau[[#This Row],[Cell_ID]],'[1]Registre_Maintenance_combine '!A:E,5,FALSE),"Non trouvé")</f>
        <v>Non trouvé</v>
      </c>
      <c r="J249" t="str">
        <f>IFERROR(VLOOKUP(Logs_reseau[[#This Row],[Cell_ID]],'[1]Registre_Maintenance_combine '!A:F,6,FALSE),"Non trouvé")</f>
        <v>Non trouvé</v>
      </c>
    </row>
    <row r="250" spans="1:10" x14ac:dyDescent="0.25">
      <c r="A250" t="str">
        <f>IFERROR(VLOOKUP(Logs_reseau[[#This Row],[Cell_ID]],'[1]Registre_Maintenance_combine '!A:B,2,FALSE),"Non trouvé")</f>
        <v>Non trouvé</v>
      </c>
      <c r="B250" t="s">
        <v>64</v>
      </c>
      <c r="C250" s="3">
        <v>45229.742361111108</v>
      </c>
      <c r="D250" s="11">
        <f>Logs_reseau[[#This Row],[Duree_Panne_Min]]/1440</f>
        <v>4.3055555555555555E-2</v>
      </c>
      <c r="E250">
        <v>62</v>
      </c>
      <c r="F250" t="s">
        <v>4</v>
      </c>
      <c r="G250" t="str">
        <f>IFERROR(VLOOKUP(Logs_reseau[[#This Row],[Cell_ID]],'[1]Registre_Maintenance_combine '!A:C,3,FALSE),"Non trouvé")</f>
        <v>Non trouvé</v>
      </c>
      <c r="H250" t="str">
        <f>IFERROR(VLOOKUP(Logs_reseau[[#This Row],[Cell_ID]],'[1]Registre_Maintenance_combine '!A:D,4,FALSE),"Non trouvé")</f>
        <v>Non trouvé</v>
      </c>
      <c r="I250" t="str">
        <f>IFERROR(VLOOKUP(Logs_reseau[[#This Row],[Cell_ID]],'[1]Registre_Maintenance_combine '!A:E,5,FALSE),"Non trouvé")</f>
        <v>Non trouvé</v>
      </c>
      <c r="J250" t="str">
        <f>IFERROR(VLOOKUP(Logs_reseau[[#This Row],[Cell_ID]],'[1]Registre_Maintenance_combine '!A:F,6,FALSE),"Non trouvé")</f>
        <v>Non trouvé</v>
      </c>
    </row>
    <row r="251" spans="1:10" x14ac:dyDescent="0.25">
      <c r="A251" t="str">
        <f>IFERROR(VLOOKUP(Logs_reseau[[#This Row],[Cell_ID]],'[1]Registre_Maintenance_combine '!A:B,2,FALSE),"Non trouvé")</f>
        <v>Non trouvé</v>
      </c>
      <c r="B251" t="s">
        <v>64</v>
      </c>
      <c r="C251" s="3">
        <v>45208.443749999999</v>
      </c>
      <c r="D251" s="11">
        <f>Logs_reseau[[#This Row],[Duree_Panne_Min]]/1440</f>
        <v>5.486111111111111E-2</v>
      </c>
      <c r="E251">
        <v>79</v>
      </c>
      <c r="F251" t="s">
        <v>1</v>
      </c>
      <c r="G251" t="str">
        <f>IFERROR(VLOOKUP(Logs_reseau[[#This Row],[Cell_ID]],'[1]Registre_Maintenance_combine '!A:C,3,FALSE),"Non trouvé")</f>
        <v>Non trouvé</v>
      </c>
      <c r="H251" t="str">
        <f>IFERROR(VLOOKUP(Logs_reseau[[#This Row],[Cell_ID]],'[1]Registre_Maintenance_combine '!A:D,4,FALSE),"Non trouvé")</f>
        <v>Non trouvé</v>
      </c>
      <c r="I251" t="str">
        <f>IFERROR(VLOOKUP(Logs_reseau[[#This Row],[Cell_ID]],'[1]Registre_Maintenance_combine '!A:E,5,FALSE),"Non trouvé")</f>
        <v>Non trouvé</v>
      </c>
      <c r="J251" t="str">
        <f>IFERROR(VLOOKUP(Logs_reseau[[#This Row],[Cell_ID]],'[1]Registre_Maintenance_combine '!A:F,6,FALSE),"Non trouvé")</f>
        <v>Non trouvé</v>
      </c>
    </row>
    <row r="252" spans="1:10" x14ac:dyDescent="0.25">
      <c r="A252" t="str">
        <f>IFERROR(VLOOKUP(Logs_reseau[[#This Row],[Cell_ID]],'[1]Registre_Maintenance_combine '!A:B,2,FALSE),"Non trouvé")</f>
        <v>Non trouvé</v>
      </c>
      <c r="B252" t="s">
        <v>64</v>
      </c>
      <c r="C252" s="3">
        <v>45230.089583333334</v>
      </c>
      <c r="D252" s="11">
        <f>Logs_reseau[[#This Row],[Duree_Panne_Min]]/1440</f>
        <v>6.7361111111111108E-2</v>
      </c>
      <c r="E252">
        <v>97</v>
      </c>
      <c r="F252" t="s">
        <v>2</v>
      </c>
      <c r="G252" t="str">
        <f>IFERROR(VLOOKUP(Logs_reseau[[#This Row],[Cell_ID]],'[1]Registre_Maintenance_combine '!A:C,3,FALSE),"Non trouvé")</f>
        <v>Non trouvé</v>
      </c>
      <c r="H252" t="str">
        <f>IFERROR(VLOOKUP(Logs_reseau[[#This Row],[Cell_ID]],'[1]Registre_Maintenance_combine '!A:D,4,FALSE),"Non trouvé")</f>
        <v>Non trouvé</v>
      </c>
      <c r="I252" t="str">
        <f>IFERROR(VLOOKUP(Logs_reseau[[#This Row],[Cell_ID]],'[1]Registre_Maintenance_combine '!A:E,5,FALSE),"Non trouvé")</f>
        <v>Non trouvé</v>
      </c>
      <c r="J252" t="str">
        <f>IFERROR(VLOOKUP(Logs_reseau[[#This Row],[Cell_ID]],'[1]Registre_Maintenance_combine '!A:F,6,FALSE),"Non trouvé")</f>
        <v>Non trouvé</v>
      </c>
    </row>
    <row r="253" spans="1:10" x14ac:dyDescent="0.25">
      <c r="A253" t="str">
        <f>IFERROR(VLOOKUP(Logs_reseau[[#This Row],[Cell_ID]],'[1]Registre_Maintenance_combine '!A:B,2,FALSE),"Non trouvé")</f>
        <v>Non trouvé</v>
      </c>
      <c r="B253" t="s">
        <v>64</v>
      </c>
      <c r="C253" s="3">
        <v>45215.977083333331</v>
      </c>
      <c r="D253" s="11">
        <f>Logs_reseau[[#This Row],[Duree_Panne_Min]]/1440</f>
        <v>3.2638888888888891E-2</v>
      </c>
      <c r="E253">
        <v>47</v>
      </c>
      <c r="F253" t="s">
        <v>4</v>
      </c>
      <c r="G253" t="str">
        <f>IFERROR(VLOOKUP(Logs_reseau[[#This Row],[Cell_ID]],'[1]Registre_Maintenance_combine '!A:C,3,FALSE),"Non trouvé")</f>
        <v>Non trouvé</v>
      </c>
      <c r="H253" t="str">
        <f>IFERROR(VLOOKUP(Logs_reseau[[#This Row],[Cell_ID]],'[1]Registre_Maintenance_combine '!A:D,4,FALSE),"Non trouvé")</f>
        <v>Non trouvé</v>
      </c>
      <c r="I253" t="str">
        <f>IFERROR(VLOOKUP(Logs_reseau[[#This Row],[Cell_ID]],'[1]Registre_Maintenance_combine '!A:E,5,FALSE),"Non trouvé")</f>
        <v>Non trouvé</v>
      </c>
      <c r="J253" t="str">
        <f>IFERROR(VLOOKUP(Logs_reseau[[#This Row],[Cell_ID]],'[1]Registre_Maintenance_combine '!A:F,6,FALSE),"Non trouvé")</f>
        <v>Non trouvé</v>
      </c>
    </row>
    <row r="254" spans="1:10" x14ac:dyDescent="0.25">
      <c r="A254" t="str">
        <f>IFERROR(VLOOKUP(Logs_reseau[[#This Row],[Cell_ID]],'[1]Registre_Maintenance_combine '!A:B,2,FALSE),"Non trouvé")</f>
        <v>Non trouvé</v>
      </c>
      <c r="B254" t="s">
        <v>65</v>
      </c>
      <c r="C254" s="3">
        <v>45202.51666666667</v>
      </c>
      <c r="D254" s="11">
        <f>Logs_reseau[[#This Row],[Duree_Panne_Min]]/1440</f>
        <v>1.8055555555555554E-2</v>
      </c>
      <c r="E254">
        <v>26</v>
      </c>
      <c r="F254" t="s">
        <v>4</v>
      </c>
      <c r="G254" t="str">
        <f>IFERROR(VLOOKUP(Logs_reseau[[#This Row],[Cell_ID]],'[1]Registre_Maintenance_combine '!A:C,3,FALSE),"Non trouvé")</f>
        <v>Non trouvé</v>
      </c>
      <c r="H254" t="str">
        <f>IFERROR(VLOOKUP(Logs_reseau[[#This Row],[Cell_ID]],'[1]Registre_Maintenance_combine '!A:D,4,FALSE),"Non trouvé")</f>
        <v>Non trouvé</v>
      </c>
      <c r="I254" t="str">
        <f>IFERROR(VLOOKUP(Logs_reseau[[#This Row],[Cell_ID]],'[1]Registre_Maintenance_combine '!A:E,5,FALSE),"Non trouvé")</f>
        <v>Non trouvé</v>
      </c>
      <c r="J254" t="str">
        <f>IFERROR(VLOOKUP(Logs_reseau[[#This Row],[Cell_ID]],'[1]Registre_Maintenance_combine '!A:F,6,FALSE),"Non trouvé")</f>
        <v>Non trouvé</v>
      </c>
    </row>
    <row r="255" spans="1:10" x14ac:dyDescent="0.25">
      <c r="A255" t="str">
        <f>IFERROR(VLOOKUP(Logs_reseau[[#This Row],[Cell_ID]],'[1]Registre_Maintenance_combine '!A:B,2,FALSE),"Non trouvé")</f>
        <v>Non trouvé</v>
      </c>
      <c r="B255" t="s">
        <v>65</v>
      </c>
      <c r="C255" s="3">
        <v>45224.538194444445</v>
      </c>
      <c r="D255" s="11">
        <f>Logs_reseau[[#This Row],[Duree_Panne_Min]]/1440</f>
        <v>4.5138888888888888E-2</v>
      </c>
      <c r="E255">
        <v>65</v>
      </c>
      <c r="F255" t="s">
        <v>4</v>
      </c>
      <c r="G255" t="str">
        <f>IFERROR(VLOOKUP(Logs_reseau[[#This Row],[Cell_ID]],'[1]Registre_Maintenance_combine '!A:C,3,FALSE),"Non trouvé")</f>
        <v>Non trouvé</v>
      </c>
      <c r="H255" t="str">
        <f>IFERROR(VLOOKUP(Logs_reseau[[#This Row],[Cell_ID]],'[1]Registre_Maintenance_combine '!A:D,4,FALSE),"Non trouvé")</f>
        <v>Non trouvé</v>
      </c>
      <c r="I255" t="str">
        <f>IFERROR(VLOOKUP(Logs_reseau[[#This Row],[Cell_ID]],'[1]Registre_Maintenance_combine '!A:E,5,FALSE),"Non trouvé")</f>
        <v>Non trouvé</v>
      </c>
      <c r="J255" t="str">
        <f>IFERROR(VLOOKUP(Logs_reseau[[#This Row],[Cell_ID]],'[1]Registre_Maintenance_combine '!A:F,6,FALSE),"Non trouvé")</f>
        <v>Non trouvé</v>
      </c>
    </row>
    <row r="256" spans="1:10" x14ac:dyDescent="0.25">
      <c r="A256" t="str">
        <f>IFERROR(VLOOKUP(Logs_reseau[[#This Row],[Cell_ID]],'[1]Registre_Maintenance_combine '!A:B,2,FALSE),"Non trouvé")</f>
        <v>Non trouvé</v>
      </c>
      <c r="B256" t="s">
        <v>65</v>
      </c>
      <c r="C256" s="3">
        <v>45207.611111111109</v>
      </c>
      <c r="D256" s="11">
        <f>Logs_reseau[[#This Row],[Duree_Panne_Min]]/1440</f>
        <v>2.013888888888889E-2</v>
      </c>
      <c r="E256">
        <v>29</v>
      </c>
      <c r="F256" t="s">
        <v>2</v>
      </c>
      <c r="G256" t="str">
        <f>IFERROR(VLOOKUP(Logs_reseau[[#This Row],[Cell_ID]],'[1]Registre_Maintenance_combine '!A:C,3,FALSE),"Non trouvé")</f>
        <v>Non trouvé</v>
      </c>
      <c r="H256" t="str">
        <f>IFERROR(VLOOKUP(Logs_reseau[[#This Row],[Cell_ID]],'[1]Registre_Maintenance_combine '!A:D,4,FALSE),"Non trouvé")</f>
        <v>Non trouvé</v>
      </c>
      <c r="I256" t="str">
        <f>IFERROR(VLOOKUP(Logs_reseau[[#This Row],[Cell_ID]],'[1]Registre_Maintenance_combine '!A:E,5,FALSE),"Non trouvé")</f>
        <v>Non trouvé</v>
      </c>
      <c r="J256" t="str">
        <f>IFERROR(VLOOKUP(Logs_reseau[[#This Row],[Cell_ID]],'[1]Registre_Maintenance_combine '!A:F,6,FALSE),"Non trouvé")</f>
        <v>Non trouvé</v>
      </c>
    </row>
    <row r="257" spans="1:10" x14ac:dyDescent="0.25">
      <c r="A257" t="str">
        <f>IFERROR(VLOOKUP(Logs_reseau[[#This Row],[Cell_ID]],'[1]Registre_Maintenance_combine '!A:B,2,FALSE),"Non trouvé")</f>
        <v>Non trouvé</v>
      </c>
      <c r="B257" t="s">
        <v>65</v>
      </c>
      <c r="C257" s="3">
        <v>45203.605555555558</v>
      </c>
      <c r="D257" s="11">
        <f>Logs_reseau[[#This Row],[Duree_Panne_Min]]/1440</f>
        <v>2.7083333333333334E-2</v>
      </c>
      <c r="E257">
        <v>39</v>
      </c>
      <c r="F257" t="s">
        <v>1</v>
      </c>
      <c r="G257" t="str">
        <f>IFERROR(VLOOKUP(Logs_reseau[[#This Row],[Cell_ID]],'[1]Registre_Maintenance_combine '!A:C,3,FALSE),"Non trouvé")</f>
        <v>Non trouvé</v>
      </c>
      <c r="H257" t="str">
        <f>IFERROR(VLOOKUP(Logs_reseau[[#This Row],[Cell_ID]],'[1]Registre_Maintenance_combine '!A:D,4,FALSE),"Non trouvé")</f>
        <v>Non trouvé</v>
      </c>
      <c r="I257" t="str">
        <f>IFERROR(VLOOKUP(Logs_reseau[[#This Row],[Cell_ID]],'[1]Registre_Maintenance_combine '!A:E,5,FALSE),"Non trouvé")</f>
        <v>Non trouvé</v>
      </c>
      <c r="J257" t="str">
        <f>IFERROR(VLOOKUP(Logs_reseau[[#This Row],[Cell_ID]],'[1]Registre_Maintenance_combine '!A:F,6,FALSE),"Non trouvé")</f>
        <v>Non trouvé</v>
      </c>
    </row>
    <row r="258" spans="1:10" x14ac:dyDescent="0.25">
      <c r="A258" t="str">
        <f>IFERROR(VLOOKUP(Logs_reseau[[#This Row],[Cell_ID]],'[1]Registre_Maintenance_combine '!A:B,2,FALSE),"Non trouvé")</f>
        <v>Non trouvé</v>
      </c>
      <c r="B258" t="s">
        <v>65</v>
      </c>
      <c r="C258" s="3">
        <v>45222.584722222222</v>
      </c>
      <c r="D258" s="11">
        <f>Logs_reseau[[#This Row],[Duree_Panne_Min]]/1440</f>
        <v>7.4999999999999997E-2</v>
      </c>
      <c r="E258">
        <v>108</v>
      </c>
      <c r="F258" t="s">
        <v>1</v>
      </c>
      <c r="G258" t="str">
        <f>IFERROR(VLOOKUP(Logs_reseau[[#This Row],[Cell_ID]],'[1]Registre_Maintenance_combine '!A:C,3,FALSE),"Non trouvé")</f>
        <v>Non trouvé</v>
      </c>
      <c r="H258" t="str">
        <f>IFERROR(VLOOKUP(Logs_reseau[[#This Row],[Cell_ID]],'[1]Registre_Maintenance_combine '!A:D,4,FALSE),"Non trouvé")</f>
        <v>Non trouvé</v>
      </c>
      <c r="I258" t="str">
        <f>IFERROR(VLOOKUP(Logs_reseau[[#This Row],[Cell_ID]],'[1]Registre_Maintenance_combine '!A:E,5,FALSE),"Non trouvé")</f>
        <v>Non trouvé</v>
      </c>
      <c r="J258" t="str">
        <f>IFERROR(VLOOKUP(Logs_reseau[[#This Row],[Cell_ID]],'[1]Registre_Maintenance_combine '!A:F,6,FALSE),"Non trouvé")</f>
        <v>Non trouvé</v>
      </c>
    </row>
    <row r="259" spans="1:10" x14ac:dyDescent="0.25">
      <c r="A259" t="str">
        <f>IFERROR(VLOOKUP(Logs_reseau[[#This Row],[Cell_ID]],'[1]Registre_Maintenance_combine '!A:B,2,FALSE),"Non trouvé")</f>
        <v>Tshopo</v>
      </c>
      <c r="B259" t="s">
        <v>66</v>
      </c>
      <c r="C259" s="3">
        <v>45211.105555555558</v>
      </c>
      <c r="D259" s="11">
        <f>Logs_reseau[[#This Row],[Duree_Panne_Min]]/1440</f>
        <v>3.6111111111111108E-2</v>
      </c>
      <c r="E259">
        <v>52</v>
      </c>
      <c r="F259" t="s">
        <v>4</v>
      </c>
      <c r="G259">
        <f>IFERROR(VLOOKUP(Logs_reseau[[#This Row],[Cell_ID]],'[1]Registre_Maintenance_combine '!A:C,3,FALSE),"Non trouvé")</f>
        <v>1.499457</v>
      </c>
      <c r="H259">
        <f>IFERROR(VLOOKUP(Logs_reseau[[#This Row],[Cell_ID]],'[1]Registre_Maintenance_combine '!A:D,4,FALSE),"Non trouvé")</f>
        <v>13.876317999999999</v>
      </c>
      <c r="I259" t="str">
        <f>IFERROR(VLOOKUP(Logs_reseau[[#This Row],[Cell_ID]],'[1]Registre_Maintenance_combine '!A:E,5,FALSE),"Non trouvé")</f>
        <v>5G</v>
      </c>
      <c r="J259" t="str">
        <f>IFERROR(VLOOKUP(Logs_reseau[[#This Row],[Cell_ID]],'[1]Registre_Maintenance_combine '!A:F,6,FALSE),"Non trouvé")</f>
        <v>Nokia</v>
      </c>
    </row>
    <row r="260" spans="1:10" x14ac:dyDescent="0.25">
      <c r="A260" t="str">
        <f>IFERROR(VLOOKUP(Logs_reseau[[#This Row],[Cell_ID]],'[1]Registre_Maintenance_combine '!A:B,2,FALSE),"Non trouvé")</f>
        <v>Tshopo</v>
      </c>
      <c r="B260" t="s">
        <v>66</v>
      </c>
      <c r="C260" s="3">
        <v>45229.756249999999</v>
      </c>
      <c r="D260" s="11">
        <f>Logs_reseau[[#This Row],[Duree_Panne_Min]]/1440</f>
        <v>1.3194444444444444E-2</v>
      </c>
      <c r="E260">
        <v>19</v>
      </c>
      <c r="F260" t="s">
        <v>2</v>
      </c>
      <c r="G260">
        <f>IFERROR(VLOOKUP(Logs_reseau[[#This Row],[Cell_ID]],'[1]Registre_Maintenance_combine '!A:C,3,FALSE),"Non trouvé")</f>
        <v>1.499457</v>
      </c>
      <c r="H260">
        <f>IFERROR(VLOOKUP(Logs_reseau[[#This Row],[Cell_ID]],'[1]Registre_Maintenance_combine '!A:D,4,FALSE),"Non trouvé")</f>
        <v>13.876317999999999</v>
      </c>
      <c r="I260" t="str">
        <f>IFERROR(VLOOKUP(Logs_reseau[[#This Row],[Cell_ID]],'[1]Registre_Maintenance_combine '!A:E,5,FALSE),"Non trouvé")</f>
        <v>5G</v>
      </c>
      <c r="J260" t="str">
        <f>IFERROR(VLOOKUP(Logs_reseau[[#This Row],[Cell_ID]],'[1]Registre_Maintenance_combine '!A:F,6,FALSE),"Non trouvé")</f>
        <v>Nokia</v>
      </c>
    </row>
    <row r="261" spans="1:10" x14ac:dyDescent="0.25">
      <c r="A261" t="str">
        <f>IFERROR(VLOOKUP(Logs_reseau[[#This Row],[Cell_ID]],'[1]Registre_Maintenance_combine '!A:B,2,FALSE),"Non trouvé")</f>
        <v>Tshopo</v>
      </c>
      <c r="B261" t="s">
        <v>66</v>
      </c>
      <c r="C261" s="3">
        <v>45221.481944444444</v>
      </c>
      <c r="D261" s="11">
        <f>Logs_reseau[[#This Row],[Duree_Panne_Min]]/1440</f>
        <v>5.4166666666666669E-2</v>
      </c>
      <c r="E261">
        <v>78</v>
      </c>
      <c r="F261" t="s">
        <v>4</v>
      </c>
      <c r="G261">
        <f>IFERROR(VLOOKUP(Logs_reseau[[#This Row],[Cell_ID]],'[1]Registre_Maintenance_combine '!A:C,3,FALSE),"Non trouvé")</f>
        <v>1.499457</v>
      </c>
      <c r="H261">
        <f>IFERROR(VLOOKUP(Logs_reseau[[#This Row],[Cell_ID]],'[1]Registre_Maintenance_combine '!A:D,4,FALSE),"Non trouvé")</f>
        <v>13.876317999999999</v>
      </c>
      <c r="I261" t="str">
        <f>IFERROR(VLOOKUP(Logs_reseau[[#This Row],[Cell_ID]],'[1]Registre_Maintenance_combine '!A:E,5,FALSE),"Non trouvé")</f>
        <v>5G</v>
      </c>
      <c r="J261" t="str">
        <f>IFERROR(VLOOKUP(Logs_reseau[[#This Row],[Cell_ID]],'[1]Registre_Maintenance_combine '!A:F,6,FALSE),"Non trouvé")</f>
        <v>Nokia</v>
      </c>
    </row>
    <row r="262" spans="1:10" x14ac:dyDescent="0.25">
      <c r="A262" t="str">
        <f>IFERROR(VLOOKUP(Logs_reseau[[#This Row],[Cell_ID]],'[1]Registre_Maintenance_combine '!A:B,2,FALSE),"Non trouvé")</f>
        <v>Kasai-Oriental</v>
      </c>
      <c r="B262" t="s">
        <v>67</v>
      </c>
      <c r="C262" s="3">
        <v>45220.125694444447</v>
      </c>
      <c r="D262" s="11">
        <f>Logs_reseau[[#This Row],[Duree_Panne_Min]]/1440</f>
        <v>7.5694444444444439E-2</v>
      </c>
      <c r="E262">
        <v>109</v>
      </c>
      <c r="F262" t="s">
        <v>4</v>
      </c>
      <c r="G262">
        <f>IFERROR(VLOOKUP(Logs_reseau[[#This Row],[Cell_ID]],'[1]Registre_Maintenance_combine '!A:C,3,FALSE),"Non trouvé")</f>
        <v>1.7832440000000001</v>
      </c>
      <c r="H262">
        <f>IFERROR(VLOOKUP(Logs_reseau[[#This Row],[Cell_ID]],'[1]Registre_Maintenance_combine '!A:D,4,FALSE),"Non trouvé")</f>
        <v>25.477405999999998</v>
      </c>
      <c r="I262" t="str">
        <f>IFERROR(VLOOKUP(Logs_reseau[[#This Row],[Cell_ID]],'[1]Registre_Maintenance_combine '!A:E,5,FALSE),"Non trouvé")</f>
        <v>5G</v>
      </c>
      <c r="J262" t="str">
        <f>IFERROR(VLOOKUP(Logs_reseau[[#This Row],[Cell_ID]],'[1]Registre_Maintenance_combine '!A:F,6,FALSE),"Non trouvé")</f>
        <v>Huawei</v>
      </c>
    </row>
    <row r="263" spans="1:10" x14ac:dyDescent="0.25">
      <c r="A263" t="str">
        <f>IFERROR(VLOOKUP(Logs_reseau[[#This Row],[Cell_ID]],'[1]Registre_Maintenance_combine '!A:B,2,FALSE),"Non trouvé")</f>
        <v>Kasai-Oriental</v>
      </c>
      <c r="B263" t="s">
        <v>67</v>
      </c>
      <c r="C263" s="3">
        <v>45209.82708333333</v>
      </c>
      <c r="D263" s="11">
        <f>Logs_reseau[[#This Row],[Duree_Panne_Min]]/1440</f>
        <v>5.1388888888888887E-2</v>
      </c>
      <c r="E263">
        <v>74</v>
      </c>
      <c r="F263" t="s">
        <v>4</v>
      </c>
      <c r="G263">
        <f>IFERROR(VLOOKUP(Logs_reseau[[#This Row],[Cell_ID]],'[1]Registre_Maintenance_combine '!A:C,3,FALSE),"Non trouvé")</f>
        <v>1.7832440000000001</v>
      </c>
      <c r="H263">
        <f>IFERROR(VLOOKUP(Logs_reseau[[#This Row],[Cell_ID]],'[1]Registre_Maintenance_combine '!A:D,4,FALSE),"Non trouvé")</f>
        <v>25.477405999999998</v>
      </c>
      <c r="I263" t="str">
        <f>IFERROR(VLOOKUP(Logs_reseau[[#This Row],[Cell_ID]],'[1]Registre_Maintenance_combine '!A:E,5,FALSE),"Non trouvé")</f>
        <v>5G</v>
      </c>
      <c r="J263" t="str">
        <f>IFERROR(VLOOKUP(Logs_reseau[[#This Row],[Cell_ID]],'[1]Registre_Maintenance_combine '!A:F,6,FALSE),"Non trouvé")</f>
        <v>Huawei</v>
      </c>
    </row>
    <row r="264" spans="1:10" x14ac:dyDescent="0.25">
      <c r="A264" t="str">
        <f>IFERROR(VLOOKUP(Logs_reseau[[#This Row],[Cell_ID]],'[1]Registre_Maintenance_combine '!A:B,2,FALSE),"Non trouvé")</f>
        <v>Kasai-Oriental</v>
      </c>
      <c r="B264" t="s">
        <v>67</v>
      </c>
      <c r="C264" s="3">
        <v>45225.939583333333</v>
      </c>
      <c r="D264" s="11">
        <f>Logs_reseau[[#This Row],[Duree_Panne_Min]]/1440</f>
        <v>5.7638888888888892E-2</v>
      </c>
      <c r="E264">
        <v>83</v>
      </c>
      <c r="F264" t="s">
        <v>1</v>
      </c>
      <c r="G264">
        <f>IFERROR(VLOOKUP(Logs_reseau[[#This Row],[Cell_ID]],'[1]Registre_Maintenance_combine '!A:C,3,FALSE),"Non trouvé")</f>
        <v>1.7832440000000001</v>
      </c>
      <c r="H264">
        <f>IFERROR(VLOOKUP(Logs_reseau[[#This Row],[Cell_ID]],'[1]Registre_Maintenance_combine '!A:D,4,FALSE),"Non trouvé")</f>
        <v>25.477405999999998</v>
      </c>
      <c r="I264" t="str">
        <f>IFERROR(VLOOKUP(Logs_reseau[[#This Row],[Cell_ID]],'[1]Registre_Maintenance_combine '!A:E,5,FALSE),"Non trouvé")</f>
        <v>5G</v>
      </c>
      <c r="J264" t="str">
        <f>IFERROR(VLOOKUP(Logs_reseau[[#This Row],[Cell_ID]],'[1]Registre_Maintenance_combine '!A:F,6,FALSE),"Non trouvé")</f>
        <v>Huawei</v>
      </c>
    </row>
    <row r="265" spans="1:10" x14ac:dyDescent="0.25">
      <c r="A265" t="str">
        <f>IFERROR(VLOOKUP(Logs_reseau[[#This Row],[Cell_ID]],'[1]Registre_Maintenance_combine '!A:B,2,FALSE),"Non trouvé")</f>
        <v>Non trouvé</v>
      </c>
      <c r="B265" t="s">
        <v>68</v>
      </c>
      <c r="C265" s="3">
        <v>45208.072916666664</v>
      </c>
      <c r="D265" s="11">
        <f>Logs_reseau[[#This Row],[Duree_Panne_Min]]/1440</f>
        <v>3.4027777777777775E-2</v>
      </c>
      <c r="E265">
        <v>49</v>
      </c>
      <c r="F265" t="s">
        <v>2</v>
      </c>
      <c r="G265" t="str">
        <f>IFERROR(VLOOKUP(Logs_reseau[[#This Row],[Cell_ID]],'[1]Registre_Maintenance_combine '!A:C,3,FALSE),"Non trouvé")</f>
        <v>Non trouvé</v>
      </c>
      <c r="H265" t="str">
        <f>IFERROR(VLOOKUP(Logs_reseau[[#This Row],[Cell_ID]],'[1]Registre_Maintenance_combine '!A:D,4,FALSE),"Non trouvé")</f>
        <v>Non trouvé</v>
      </c>
      <c r="I265" t="str">
        <f>IFERROR(VLOOKUP(Logs_reseau[[#This Row],[Cell_ID]],'[1]Registre_Maintenance_combine '!A:E,5,FALSE),"Non trouvé")</f>
        <v>Non trouvé</v>
      </c>
      <c r="J265" t="str">
        <f>IFERROR(VLOOKUP(Logs_reseau[[#This Row],[Cell_ID]],'[1]Registre_Maintenance_combine '!A:F,6,FALSE),"Non trouvé")</f>
        <v>Non trouvé</v>
      </c>
    </row>
    <row r="266" spans="1:10" x14ac:dyDescent="0.25">
      <c r="A266" t="str">
        <f>IFERROR(VLOOKUP(Logs_reseau[[#This Row],[Cell_ID]],'[1]Registre_Maintenance_combine '!A:B,2,FALSE),"Non trouvé")</f>
        <v>Non trouvé</v>
      </c>
      <c r="B266" t="s">
        <v>68</v>
      </c>
      <c r="C266" s="3">
        <v>45220.436805555553</v>
      </c>
      <c r="D266" s="11">
        <f>Logs_reseau[[#This Row],[Duree_Panne_Min]]/1440</f>
        <v>1.8055555555555554E-2</v>
      </c>
      <c r="E266">
        <v>26</v>
      </c>
      <c r="F266" t="s">
        <v>1</v>
      </c>
      <c r="G266" t="str">
        <f>IFERROR(VLOOKUP(Logs_reseau[[#This Row],[Cell_ID]],'[1]Registre_Maintenance_combine '!A:C,3,FALSE),"Non trouvé")</f>
        <v>Non trouvé</v>
      </c>
      <c r="H266" t="str">
        <f>IFERROR(VLOOKUP(Logs_reseau[[#This Row],[Cell_ID]],'[1]Registre_Maintenance_combine '!A:D,4,FALSE),"Non trouvé")</f>
        <v>Non trouvé</v>
      </c>
      <c r="I266" t="str">
        <f>IFERROR(VLOOKUP(Logs_reseau[[#This Row],[Cell_ID]],'[1]Registre_Maintenance_combine '!A:E,5,FALSE),"Non trouvé")</f>
        <v>Non trouvé</v>
      </c>
      <c r="J266" t="str">
        <f>IFERROR(VLOOKUP(Logs_reseau[[#This Row],[Cell_ID]],'[1]Registre_Maintenance_combine '!A:F,6,FALSE),"Non trouvé")</f>
        <v>Non trouvé</v>
      </c>
    </row>
    <row r="267" spans="1:10" x14ac:dyDescent="0.25">
      <c r="A267" t="str">
        <f>IFERROR(VLOOKUP(Logs_reseau[[#This Row],[Cell_ID]],'[1]Registre_Maintenance_combine '!A:B,2,FALSE),"Non trouvé")</f>
        <v>Non trouvé</v>
      </c>
      <c r="B267" t="s">
        <v>68</v>
      </c>
      <c r="C267" s="3">
        <v>45227.268750000003</v>
      </c>
      <c r="D267" s="11">
        <f>Logs_reseau[[#This Row],[Duree_Panne_Min]]/1440</f>
        <v>1.1805555555555555E-2</v>
      </c>
      <c r="E267">
        <v>17</v>
      </c>
      <c r="F267" t="s">
        <v>4</v>
      </c>
      <c r="G267" t="str">
        <f>IFERROR(VLOOKUP(Logs_reseau[[#This Row],[Cell_ID]],'[1]Registre_Maintenance_combine '!A:C,3,FALSE),"Non trouvé")</f>
        <v>Non trouvé</v>
      </c>
      <c r="H267" t="str">
        <f>IFERROR(VLOOKUP(Logs_reseau[[#This Row],[Cell_ID]],'[1]Registre_Maintenance_combine '!A:D,4,FALSE),"Non trouvé")</f>
        <v>Non trouvé</v>
      </c>
      <c r="I267" t="str">
        <f>IFERROR(VLOOKUP(Logs_reseau[[#This Row],[Cell_ID]],'[1]Registre_Maintenance_combine '!A:E,5,FALSE),"Non trouvé")</f>
        <v>Non trouvé</v>
      </c>
      <c r="J267" t="str">
        <f>IFERROR(VLOOKUP(Logs_reseau[[#This Row],[Cell_ID]],'[1]Registre_Maintenance_combine '!A:F,6,FALSE),"Non trouvé")</f>
        <v>Non trouvé</v>
      </c>
    </row>
    <row r="268" spans="1:10" x14ac:dyDescent="0.25">
      <c r="A268" t="str">
        <f>IFERROR(VLOOKUP(Logs_reseau[[#This Row],[Cell_ID]],'[1]Registre_Maintenance_combine '!A:B,2,FALSE),"Non trouvé")</f>
        <v>Non trouvé</v>
      </c>
      <c r="B268" t="s">
        <v>69</v>
      </c>
      <c r="C268" s="3">
        <v>45220.11041666667</v>
      </c>
      <c r="D268" s="11">
        <f>Logs_reseau[[#This Row],[Duree_Panne_Min]]/1440</f>
        <v>1.1111111111111112E-2</v>
      </c>
      <c r="E268">
        <v>16</v>
      </c>
      <c r="F268" t="s">
        <v>2</v>
      </c>
      <c r="G268" t="str">
        <f>IFERROR(VLOOKUP(Logs_reseau[[#This Row],[Cell_ID]],'[1]Registre_Maintenance_combine '!A:C,3,FALSE),"Non trouvé")</f>
        <v>Non trouvé</v>
      </c>
      <c r="H268" t="str">
        <f>IFERROR(VLOOKUP(Logs_reseau[[#This Row],[Cell_ID]],'[1]Registre_Maintenance_combine '!A:D,4,FALSE),"Non trouvé")</f>
        <v>Non trouvé</v>
      </c>
      <c r="I268" t="str">
        <f>IFERROR(VLOOKUP(Logs_reseau[[#This Row],[Cell_ID]],'[1]Registre_Maintenance_combine '!A:E,5,FALSE),"Non trouvé")</f>
        <v>Non trouvé</v>
      </c>
      <c r="J268" t="str">
        <f>IFERROR(VLOOKUP(Logs_reseau[[#This Row],[Cell_ID]],'[1]Registre_Maintenance_combine '!A:F,6,FALSE),"Non trouvé")</f>
        <v>Non trouvé</v>
      </c>
    </row>
    <row r="269" spans="1:10" x14ac:dyDescent="0.25">
      <c r="A269" t="str">
        <f>IFERROR(VLOOKUP(Logs_reseau[[#This Row],[Cell_ID]],'[1]Registre_Maintenance_combine '!A:B,2,FALSE),"Non trouvé")</f>
        <v>Non trouvé</v>
      </c>
      <c r="B269" t="s">
        <v>69</v>
      </c>
      <c r="C269" s="3">
        <v>45209.684027777781</v>
      </c>
      <c r="D269" s="11">
        <f>Logs_reseau[[#This Row],[Duree_Panne_Min]]/1440</f>
        <v>3.8194444444444448E-2</v>
      </c>
      <c r="E269">
        <v>55</v>
      </c>
      <c r="F269" t="s">
        <v>4</v>
      </c>
      <c r="G269" t="str">
        <f>IFERROR(VLOOKUP(Logs_reseau[[#This Row],[Cell_ID]],'[1]Registre_Maintenance_combine '!A:C,3,FALSE),"Non trouvé")</f>
        <v>Non trouvé</v>
      </c>
      <c r="H269" t="str">
        <f>IFERROR(VLOOKUP(Logs_reseau[[#This Row],[Cell_ID]],'[1]Registre_Maintenance_combine '!A:D,4,FALSE),"Non trouvé")</f>
        <v>Non trouvé</v>
      </c>
      <c r="I269" t="str">
        <f>IFERROR(VLOOKUP(Logs_reseau[[#This Row],[Cell_ID]],'[1]Registre_Maintenance_combine '!A:E,5,FALSE),"Non trouvé")</f>
        <v>Non trouvé</v>
      </c>
      <c r="J269" t="str">
        <f>IFERROR(VLOOKUP(Logs_reseau[[#This Row],[Cell_ID]],'[1]Registre_Maintenance_combine '!A:F,6,FALSE),"Non trouvé")</f>
        <v>Non trouvé</v>
      </c>
    </row>
    <row r="270" spans="1:10" x14ac:dyDescent="0.25">
      <c r="A270" t="str">
        <f>IFERROR(VLOOKUP(Logs_reseau[[#This Row],[Cell_ID]],'[1]Registre_Maintenance_combine '!A:B,2,FALSE),"Non trouvé")</f>
        <v>Non trouvé</v>
      </c>
      <c r="B270" t="s">
        <v>70</v>
      </c>
      <c r="C270" s="3">
        <v>45220.578472222223</v>
      </c>
      <c r="D270" s="11">
        <f>Logs_reseau[[#This Row],[Duree_Panne_Min]]/1440</f>
        <v>3.5416666666666666E-2</v>
      </c>
      <c r="E270">
        <v>51</v>
      </c>
      <c r="F270" t="s">
        <v>4</v>
      </c>
      <c r="G270" t="str">
        <f>IFERROR(VLOOKUP(Logs_reseau[[#This Row],[Cell_ID]],'[1]Registre_Maintenance_combine '!A:C,3,FALSE),"Non trouvé")</f>
        <v>Non trouvé</v>
      </c>
      <c r="H270" t="str">
        <f>IFERROR(VLOOKUP(Logs_reseau[[#This Row],[Cell_ID]],'[1]Registre_Maintenance_combine '!A:D,4,FALSE),"Non trouvé")</f>
        <v>Non trouvé</v>
      </c>
      <c r="I270" t="str">
        <f>IFERROR(VLOOKUP(Logs_reseau[[#This Row],[Cell_ID]],'[1]Registre_Maintenance_combine '!A:E,5,FALSE),"Non trouvé")</f>
        <v>Non trouvé</v>
      </c>
      <c r="J270" t="str">
        <f>IFERROR(VLOOKUP(Logs_reseau[[#This Row],[Cell_ID]],'[1]Registre_Maintenance_combine '!A:F,6,FALSE),"Non trouvé")</f>
        <v>Non trouvé</v>
      </c>
    </row>
    <row r="271" spans="1:10" x14ac:dyDescent="0.25">
      <c r="A271" t="str">
        <f>IFERROR(VLOOKUP(Logs_reseau[[#This Row],[Cell_ID]],'[1]Registre_Maintenance_combine '!A:B,2,FALSE),"Non trouvé")</f>
        <v>Non trouvé</v>
      </c>
      <c r="B271" t="s">
        <v>70</v>
      </c>
      <c r="C271" s="3">
        <v>45227.577777777777</v>
      </c>
      <c r="D271" s="11">
        <f>Logs_reseau[[#This Row],[Duree_Panne_Min]]/1440</f>
        <v>5.2777777777777778E-2</v>
      </c>
      <c r="E271">
        <v>76</v>
      </c>
      <c r="F271" t="s">
        <v>4</v>
      </c>
      <c r="G271" t="str">
        <f>IFERROR(VLOOKUP(Logs_reseau[[#This Row],[Cell_ID]],'[1]Registre_Maintenance_combine '!A:C,3,FALSE),"Non trouvé")</f>
        <v>Non trouvé</v>
      </c>
      <c r="H271" t="str">
        <f>IFERROR(VLOOKUP(Logs_reseau[[#This Row],[Cell_ID]],'[1]Registre_Maintenance_combine '!A:D,4,FALSE),"Non trouvé")</f>
        <v>Non trouvé</v>
      </c>
      <c r="I271" t="str">
        <f>IFERROR(VLOOKUP(Logs_reseau[[#This Row],[Cell_ID]],'[1]Registre_Maintenance_combine '!A:E,5,FALSE),"Non trouvé")</f>
        <v>Non trouvé</v>
      </c>
      <c r="J271" t="str">
        <f>IFERROR(VLOOKUP(Logs_reseau[[#This Row],[Cell_ID]],'[1]Registre_Maintenance_combine '!A:F,6,FALSE),"Non trouvé")</f>
        <v>Non trouvé</v>
      </c>
    </row>
    <row r="272" spans="1:10" x14ac:dyDescent="0.25">
      <c r="A272" t="str">
        <f>IFERROR(VLOOKUP(Logs_reseau[[#This Row],[Cell_ID]],'[1]Registre_Maintenance_combine '!A:B,2,FALSE),"Non trouvé")</f>
        <v>Non trouvé</v>
      </c>
      <c r="B272" t="s">
        <v>70</v>
      </c>
      <c r="C272" s="3">
        <v>45216.48541666667</v>
      </c>
      <c r="D272" s="11">
        <f>Logs_reseau[[#This Row],[Duree_Panne_Min]]/1440</f>
        <v>5.6944444444444443E-2</v>
      </c>
      <c r="E272">
        <v>82</v>
      </c>
      <c r="F272" t="s">
        <v>1</v>
      </c>
      <c r="G272" t="str">
        <f>IFERROR(VLOOKUP(Logs_reseau[[#This Row],[Cell_ID]],'[1]Registre_Maintenance_combine '!A:C,3,FALSE),"Non trouvé")</f>
        <v>Non trouvé</v>
      </c>
      <c r="H272" t="str">
        <f>IFERROR(VLOOKUP(Logs_reseau[[#This Row],[Cell_ID]],'[1]Registre_Maintenance_combine '!A:D,4,FALSE),"Non trouvé")</f>
        <v>Non trouvé</v>
      </c>
      <c r="I272" t="str">
        <f>IFERROR(VLOOKUP(Logs_reseau[[#This Row],[Cell_ID]],'[1]Registre_Maintenance_combine '!A:E,5,FALSE),"Non trouvé")</f>
        <v>Non trouvé</v>
      </c>
      <c r="J272" t="str">
        <f>IFERROR(VLOOKUP(Logs_reseau[[#This Row],[Cell_ID]],'[1]Registre_Maintenance_combine '!A:F,6,FALSE),"Non trouvé")</f>
        <v>Non trouvé</v>
      </c>
    </row>
    <row r="273" spans="1:10" x14ac:dyDescent="0.25">
      <c r="A273" t="str">
        <f>IFERROR(VLOOKUP(Logs_reseau[[#This Row],[Cell_ID]],'[1]Registre_Maintenance_combine '!A:B,2,FALSE),"Non trouvé")</f>
        <v>Non trouvé</v>
      </c>
      <c r="B273" t="s">
        <v>70</v>
      </c>
      <c r="C273" s="3">
        <v>45221.384722222225</v>
      </c>
      <c r="D273" s="11">
        <f>Logs_reseau[[#This Row],[Duree_Panne_Min]]/1440</f>
        <v>0.05</v>
      </c>
      <c r="E273">
        <v>72</v>
      </c>
      <c r="F273" t="s">
        <v>1</v>
      </c>
      <c r="G273" t="str">
        <f>IFERROR(VLOOKUP(Logs_reseau[[#This Row],[Cell_ID]],'[1]Registre_Maintenance_combine '!A:C,3,FALSE),"Non trouvé")</f>
        <v>Non trouvé</v>
      </c>
      <c r="H273" t="str">
        <f>IFERROR(VLOOKUP(Logs_reseau[[#This Row],[Cell_ID]],'[1]Registre_Maintenance_combine '!A:D,4,FALSE),"Non trouvé")</f>
        <v>Non trouvé</v>
      </c>
      <c r="I273" t="str">
        <f>IFERROR(VLOOKUP(Logs_reseau[[#This Row],[Cell_ID]],'[1]Registre_Maintenance_combine '!A:E,5,FALSE),"Non trouvé")</f>
        <v>Non trouvé</v>
      </c>
      <c r="J273" t="str">
        <f>IFERROR(VLOOKUP(Logs_reseau[[#This Row],[Cell_ID]],'[1]Registre_Maintenance_combine '!A:F,6,FALSE),"Non trouvé")</f>
        <v>Non trouvé</v>
      </c>
    </row>
    <row r="274" spans="1:10" x14ac:dyDescent="0.25">
      <c r="A274" t="str">
        <f>IFERROR(VLOOKUP(Logs_reseau[[#This Row],[Cell_ID]],'[1]Registre_Maintenance_combine '!A:B,2,FALSE),"Non trouvé")</f>
        <v>Non trouvé</v>
      </c>
      <c r="B274" t="s">
        <v>70</v>
      </c>
      <c r="C274" s="3">
        <v>45203.864583333336</v>
      </c>
      <c r="D274" s="11">
        <f>Logs_reseau[[#This Row],[Duree_Panne_Min]]/1440</f>
        <v>6.7361111111111108E-2</v>
      </c>
      <c r="E274">
        <v>97</v>
      </c>
      <c r="F274" t="s">
        <v>4</v>
      </c>
      <c r="G274" t="str">
        <f>IFERROR(VLOOKUP(Logs_reseau[[#This Row],[Cell_ID]],'[1]Registre_Maintenance_combine '!A:C,3,FALSE),"Non trouvé")</f>
        <v>Non trouvé</v>
      </c>
      <c r="H274" t="str">
        <f>IFERROR(VLOOKUP(Logs_reseau[[#This Row],[Cell_ID]],'[1]Registre_Maintenance_combine '!A:D,4,FALSE),"Non trouvé")</f>
        <v>Non trouvé</v>
      </c>
      <c r="I274" t="str">
        <f>IFERROR(VLOOKUP(Logs_reseau[[#This Row],[Cell_ID]],'[1]Registre_Maintenance_combine '!A:E,5,FALSE),"Non trouvé")</f>
        <v>Non trouvé</v>
      </c>
      <c r="J274" t="str">
        <f>IFERROR(VLOOKUP(Logs_reseau[[#This Row],[Cell_ID]],'[1]Registre_Maintenance_combine '!A:F,6,FALSE),"Non trouvé")</f>
        <v>Non trouvé</v>
      </c>
    </row>
    <row r="275" spans="1:10" x14ac:dyDescent="0.25">
      <c r="A275" t="str">
        <f>IFERROR(VLOOKUP(Logs_reseau[[#This Row],[Cell_ID]],'[1]Registre_Maintenance_combine '!A:B,2,FALSE),"Non trouvé")</f>
        <v>Non trouvé</v>
      </c>
      <c r="B275" t="s">
        <v>70</v>
      </c>
      <c r="C275" s="3">
        <v>45221.106249999997</v>
      </c>
      <c r="D275" s="11">
        <f>Logs_reseau[[#This Row],[Duree_Panne_Min]]/1440</f>
        <v>4.6527777777777779E-2</v>
      </c>
      <c r="E275">
        <v>67</v>
      </c>
      <c r="F275" t="s">
        <v>4</v>
      </c>
      <c r="G275" t="str">
        <f>IFERROR(VLOOKUP(Logs_reseau[[#This Row],[Cell_ID]],'[1]Registre_Maintenance_combine '!A:C,3,FALSE),"Non trouvé")</f>
        <v>Non trouvé</v>
      </c>
      <c r="H275" t="str">
        <f>IFERROR(VLOOKUP(Logs_reseau[[#This Row],[Cell_ID]],'[1]Registre_Maintenance_combine '!A:D,4,FALSE),"Non trouvé")</f>
        <v>Non trouvé</v>
      </c>
      <c r="I275" t="str">
        <f>IFERROR(VLOOKUP(Logs_reseau[[#This Row],[Cell_ID]],'[1]Registre_Maintenance_combine '!A:E,5,FALSE),"Non trouvé")</f>
        <v>Non trouvé</v>
      </c>
      <c r="J275" t="str">
        <f>IFERROR(VLOOKUP(Logs_reseau[[#This Row],[Cell_ID]],'[1]Registre_Maintenance_combine '!A:F,6,FALSE),"Non trouvé")</f>
        <v>Non trouvé</v>
      </c>
    </row>
    <row r="276" spans="1:10" x14ac:dyDescent="0.25">
      <c r="A276" t="str">
        <f>IFERROR(VLOOKUP(Logs_reseau[[#This Row],[Cell_ID]],'[1]Registre_Maintenance_combine '!A:B,2,FALSE),"Non trouvé")</f>
        <v>Sankuru</v>
      </c>
      <c r="B276" t="s">
        <v>71</v>
      </c>
      <c r="C276" s="3">
        <v>45209.161805555559</v>
      </c>
      <c r="D276" s="11">
        <f>Logs_reseau[[#This Row],[Duree_Panne_Min]]/1440</f>
        <v>2.2222222222222223E-2</v>
      </c>
      <c r="E276">
        <v>32</v>
      </c>
      <c r="F276" t="s">
        <v>4</v>
      </c>
      <c r="G276">
        <f>IFERROR(VLOOKUP(Logs_reseau[[#This Row],[Cell_ID]],'[1]Registre_Maintenance_combine '!A:C,3,FALSE),"Non trouvé")</f>
        <v>-10.764815</v>
      </c>
      <c r="H276">
        <f>IFERROR(VLOOKUP(Logs_reseau[[#This Row],[Cell_ID]],'[1]Registre_Maintenance_combine '!A:D,4,FALSE),"Non trouvé")</f>
        <v>14.602039</v>
      </c>
      <c r="I276" t="str">
        <f>IFERROR(VLOOKUP(Logs_reseau[[#This Row],[Cell_ID]],'[1]Registre_Maintenance_combine '!A:E,5,FALSE),"Non trouvé")</f>
        <v>4G</v>
      </c>
      <c r="J276" t="str">
        <f>IFERROR(VLOOKUP(Logs_reseau[[#This Row],[Cell_ID]],'[1]Registre_Maintenance_combine '!A:F,6,FALSE),"Non trouvé")</f>
        <v>Nokia</v>
      </c>
    </row>
    <row r="277" spans="1:10" x14ac:dyDescent="0.25">
      <c r="A277" t="str">
        <f>IFERROR(VLOOKUP(Logs_reseau[[#This Row],[Cell_ID]],'[1]Registre_Maintenance_combine '!A:B,2,FALSE),"Non trouvé")</f>
        <v>Sankuru</v>
      </c>
      <c r="B277" t="s">
        <v>71</v>
      </c>
      <c r="C277" s="3">
        <v>45230.911805555559</v>
      </c>
      <c r="D277" s="11">
        <f>Logs_reseau[[#This Row],[Duree_Panne_Min]]/1440</f>
        <v>3.3333333333333333E-2</v>
      </c>
      <c r="E277">
        <v>48</v>
      </c>
      <c r="F277" t="s">
        <v>1</v>
      </c>
      <c r="G277">
        <f>IFERROR(VLOOKUP(Logs_reseau[[#This Row],[Cell_ID]],'[1]Registre_Maintenance_combine '!A:C,3,FALSE),"Non trouvé")</f>
        <v>-10.764815</v>
      </c>
      <c r="H277">
        <f>IFERROR(VLOOKUP(Logs_reseau[[#This Row],[Cell_ID]],'[1]Registre_Maintenance_combine '!A:D,4,FALSE),"Non trouvé")</f>
        <v>14.602039</v>
      </c>
      <c r="I277" t="str">
        <f>IFERROR(VLOOKUP(Logs_reseau[[#This Row],[Cell_ID]],'[1]Registre_Maintenance_combine '!A:E,5,FALSE),"Non trouvé")</f>
        <v>4G</v>
      </c>
      <c r="J277" t="str">
        <f>IFERROR(VLOOKUP(Logs_reseau[[#This Row],[Cell_ID]],'[1]Registre_Maintenance_combine '!A:F,6,FALSE),"Non trouvé")</f>
        <v>Nokia</v>
      </c>
    </row>
    <row r="278" spans="1:10" x14ac:dyDescent="0.25">
      <c r="A278" t="str">
        <f>IFERROR(VLOOKUP(Logs_reseau[[#This Row],[Cell_ID]],'[1]Registre_Maintenance_combine '!A:B,2,FALSE),"Non trouvé")</f>
        <v>Sankuru</v>
      </c>
      <c r="B278" t="s">
        <v>71</v>
      </c>
      <c r="C278" s="3">
        <v>45207.607638888891</v>
      </c>
      <c r="D278" s="11">
        <f>Logs_reseau[[#This Row],[Duree_Panne_Min]]/1440</f>
        <v>4.8611111111111112E-2</v>
      </c>
      <c r="E278">
        <v>70</v>
      </c>
      <c r="F278" t="s">
        <v>2</v>
      </c>
      <c r="G278">
        <f>IFERROR(VLOOKUP(Logs_reseau[[#This Row],[Cell_ID]],'[1]Registre_Maintenance_combine '!A:C,3,FALSE),"Non trouvé")</f>
        <v>-10.764815</v>
      </c>
      <c r="H278">
        <f>IFERROR(VLOOKUP(Logs_reseau[[#This Row],[Cell_ID]],'[1]Registre_Maintenance_combine '!A:D,4,FALSE),"Non trouvé")</f>
        <v>14.602039</v>
      </c>
      <c r="I278" t="str">
        <f>IFERROR(VLOOKUP(Logs_reseau[[#This Row],[Cell_ID]],'[1]Registre_Maintenance_combine '!A:E,5,FALSE),"Non trouvé")</f>
        <v>4G</v>
      </c>
      <c r="J278" t="str">
        <f>IFERROR(VLOOKUP(Logs_reseau[[#This Row],[Cell_ID]],'[1]Registre_Maintenance_combine '!A:F,6,FALSE),"Non trouvé")</f>
        <v>Nokia</v>
      </c>
    </row>
    <row r="279" spans="1:10" x14ac:dyDescent="0.25">
      <c r="A279" t="str">
        <f>IFERROR(VLOOKUP(Logs_reseau[[#This Row],[Cell_ID]],'[1]Registre_Maintenance_combine '!A:B,2,FALSE),"Non trouvé")</f>
        <v>Ituri</v>
      </c>
      <c r="B279" t="s">
        <v>72</v>
      </c>
      <c r="C279" s="3">
        <v>45223.154861111114</v>
      </c>
      <c r="D279" s="11">
        <f>Logs_reseau[[#This Row],[Duree_Panne_Min]]/1440</f>
        <v>4.3055555555555555E-2</v>
      </c>
      <c r="E279">
        <v>62</v>
      </c>
      <c r="F279" t="s">
        <v>1</v>
      </c>
      <c r="G279">
        <f>IFERROR(VLOOKUP(Logs_reseau[[#This Row],[Cell_ID]],'[1]Registre_Maintenance_combine '!A:C,3,FALSE),"Non trouvé")</f>
        <v>-12.595355</v>
      </c>
      <c r="H279">
        <f>IFERROR(VLOOKUP(Logs_reseau[[#This Row],[Cell_ID]],'[1]Registre_Maintenance_combine '!A:D,4,FALSE),"Non trouvé")</f>
        <v>17.897442000000002</v>
      </c>
      <c r="I279" t="str">
        <f>IFERROR(VLOOKUP(Logs_reseau[[#This Row],[Cell_ID]],'[1]Registre_Maintenance_combine '!A:E,5,FALSE),"Non trouvé")</f>
        <v>4G</v>
      </c>
      <c r="J279" t="str">
        <f>IFERROR(VLOOKUP(Logs_reseau[[#This Row],[Cell_ID]],'[1]Registre_Maintenance_combine '!A:F,6,FALSE),"Non trouvé")</f>
        <v>Huawei</v>
      </c>
    </row>
    <row r="280" spans="1:10" x14ac:dyDescent="0.25">
      <c r="A280" t="str">
        <f>IFERROR(VLOOKUP(Logs_reseau[[#This Row],[Cell_ID]],'[1]Registre_Maintenance_combine '!A:B,2,FALSE),"Non trouvé")</f>
        <v>Ituri</v>
      </c>
      <c r="B280" t="s">
        <v>72</v>
      </c>
      <c r="C280" s="3">
        <v>45214.185416666667</v>
      </c>
      <c r="D280" s="11">
        <f>Logs_reseau[[#This Row],[Duree_Panne_Min]]/1440</f>
        <v>3.125E-2</v>
      </c>
      <c r="E280">
        <v>45</v>
      </c>
      <c r="F280" t="s">
        <v>2</v>
      </c>
      <c r="G280">
        <f>IFERROR(VLOOKUP(Logs_reseau[[#This Row],[Cell_ID]],'[1]Registre_Maintenance_combine '!A:C,3,FALSE),"Non trouvé")</f>
        <v>-12.595355</v>
      </c>
      <c r="H280">
        <f>IFERROR(VLOOKUP(Logs_reseau[[#This Row],[Cell_ID]],'[1]Registre_Maintenance_combine '!A:D,4,FALSE),"Non trouvé")</f>
        <v>17.897442000000002</v>
      </c>
      <c r="I280" t="str">
        <f>IFERROR(VLOOKUP(Logs_reseau[[#This Row],[Cell_ID]],'[1]Registre_Maintenance_combine '!A:E,5,FALSE),"Non trouvé")</f>
        <v>4G</v>
      </c>
      <c r="J280" t="str">
        <f>IFERROR(VLOOKUP(Logs_reseau[[#This Row],[Cell_ID]],'[1]Registre_Maintenance_combine '!A:F,6,FALSE),"Non trouvé")</f>
        <v>Huawei</v>
      </c>
    </row>
    <row r="281" spans="1:10" x14ac:dyDescent="0.25">
      <c r="A281" t="str">
        <f>IFERROR(VLOOKUP(Logs_reseau[[#This Row],[Cell_ID]],'[1]Registre_Maintenance_combine '!A:B,2,FALSE),"Non trouvé")</f>
        <v>Ituri</v>
      </c>
      <c r="B281" t="s">
        <v>72</v>
      </c>
      <c r="C281" s="3">
        <v>45215.879861111112</v>
      </c>
      <c r="D281" s="11">
        <f>Logs_reseau[[#This Row],[Duree_Panne_Min]]/1440</f>
        <v>4.027777777777778E-2</v>
      </c>
      <c r="E281">
        <v>58</v>
      </c>
      <c r="F281" t="s">
        <v>2</v>
      </c>
      <c r="G281">
        <f>IFERROR(VLOOKUP(Logs_reseau[[#This Row],[Cell_ID]],'[1]Registre_Maintenance_combine '!A:C,3,FALSE),"Non trouvé")</f>
        <v>-12.595355</v>
      </c>
      <c r="H281">
        <f>IFERROR(VLOOKUP(Logs_reseau[[#This Row],[Cell_ID]],'[1]Registre_Maintenance_combine '!A:D,4,FALSE),"Non trouvé")</f>
        <v>17.897442000000002</v>
      </c>
      <c r="I281" t="str">
        <f>IFERROR(VLOOKUP(Logs_reseau[[#This Row],[Cell_ID]],'[1]Registre_Maintenance_combine '!A:E,5,FALSE),"Non trouvé")</f>
        <v>4G</v>
      </c>
      <c r="J281" t="str">
        <f>IFERROR(VLOOKUP(Logs_reseau[[#This Row],[Cell_ID]],'[1]Registre_Maintenance_combine '!A:F,6,FALSE),"Non trouvé")</f>
        <v>Huawei</v>
      </c>
    </row>
    <row r="282" spans="1:10" x14ac:dyDescent="0.25">
      <c r="A282" t="str">
        <f>IFERROR(VLOOKUP(Logs_reseau[[#This Row],[Cell_ID]],'[1]Registre_Maintenance_combine '!A:B,2,FALSE),"Non trouvé")</f>
        <v>Ituri</v>
      </c>
      <c r="B282" t="s">
        <v>72</v>
      </c>
      <c r="C282" s="3">
        <v>45204.314583333333</v>
      </c>
      <c r="D282" s="11">
        <f>Logs_reseau[[#This Row],[Duree_Panne_Min]]/1440</f>
        <v>7.6388888888888895E-2</v>
      </c>
      <c r="E282">
        <v>110</v>
      </c>
      <c r="F282" t="s">
        <v>1</v>
      </c>
      <c r="G282">
        <f>IFERROR(VLOOKUP(Logs_reseau[[#This Row],[Cell_ID]],'[1]Registre_Maintenance_combine '!A:C,3,FALSE),"Non trouvé")</f>
        <v>-12.595355</v>
      </c>
      <c r="H282">
        <f>IFERROR(VLOOKUP(Logs_reseau[[#This Row],[Cell_ID]],'[1]Registre_Maintenance_combine '!A:D,4,FALSE),"Non trouvé")</f>
        <v>17.897442000000002</v>
      </c>
      <c r="I282" t="str">
        <f>IFERROR(VLOOKUP(Logs_reseau[[#This Row],[Cell_ID]],'[1]Registre_Maintenance_combine '!A:E,5,FALSE),"Non trouvé")</f>
        <v>4G</v>
      </c>
      <c r="J282" t="str">
        <f>IFERROR(VLOOKUP(Logs_reseau[[#This Row],[Cell_ID]],'[1]Registre_Maintenance_combine '!A:F,6,FALSE),"Non trouvé")</f>
        <v>Huawei</v>
      </c>
    </row>
    <row r="283" spans="1:10" x14ac:dyDescent="0.25">
      <c r="A283" t="str">
        <f>IFERROR(VLOOKUP(Logs_reseau[[#This Row],[Cell_ID]],'[1]Registre_Maintenance_combine '!A:B,2,FALSE),"Non trouvé")</f>
        <v>Ituri</v>
      </c>
      <c r="B283" t="s">
        <v>72</v>
      </c>
      <c r="C283" s="3">
        <v>45219.039583333331</v>
      </c>
      <c r="D283" s="11">
        <f>Logs_reseau[[#This Row],[Duree_Panne_Min]]/1440</f>
        <v>5.2083333333333336E-2</v>
      </c>
      <c r="E283">
        <v>75</v>
      </c>
      <c r="F283" t="s">
        <v>4</v>
      </c>
      <c r="G283">
        <f>IFERROR(VLOOKUP(Logs_reseau[[#This Row],[Cell_ID]],'[1]Registre_Maintenance_combine '!A:C,3,FALSE),"Non trouvé")</f>
        <v>-12.595355</v>
      </c>
      <c r="H283">
        <f>IFERROR(VLOOKUP(Logs_reseau[[#This Row],[Cell_ID]],'[1]Registre_Maintenance_combine '!A:D,4,FALSE),"Non trouvé")</f>
        <v>17.897442000000002</v>
      </c>
      <c r="I283" t="str">
        <f>IFERROR(VLOOKUP(Logs_reseau[[#This Row],[Cell_ID]],'[1]Registre_Maintenance_combine '!A:E,5,FALSE),"Non trouvé")</f>
        <v>4G</v>
      </c>
      <c r="J283" t="str">
        <f>IFERROR(VLOOKUP(Logs_reseau[[#This Row],[Cell_ID]],'[1]Registre_Maintenance_combine '!A:F,6,FALSE),"Non trouvé")</f>
        <v>Huawei</v>
      </c>
    </row>
    <row r="284" spans="1:10" x14ac:dyDescent="0.25">
      <c r="A284" t="str">
        <f>IFERROR(VLOOKUP(Logs_reseau[[#This Row],[Cell_ID]],'[1]Registre_Maintenance_combine '!A:B,2,FALSE),"Non trouvé")</f>
        <v>Non trouvé</v>
      </c>
      <c r="B284" t="s">
        <v>73</v>
      </c>
      <c r="C284" s="3">
        <v>45204.334722222222</v>
      </c>
      <c r="D284" s="11">
        <f>Logs_reseau[[#This Row],[Duree_Panne_Min]]/1440</f>
        <v>7.6388888888888886E-3</v>
      </c>
      <c r="E284">
        <v>11</v>
      </c>
      <c r="F284" t="s">
        <v>1</v>
      </c>
      <c r="G284" t="str">
        <f>IFERROR(VLOOKUP(Logs_reseau[[#This Row],[Cell_ID]],'[1]Registre_Maintenance_combine '!A:C,3,FALSE),"Non trouvé")</f>
        <v>Non trouvé</v>
      </c>
      <c r="H284" t="str">
        <f>IFERROR(VLOOKUP(Logs_reseau[[#This Row],[Cell_ID]],'[1]Registre_Maintenance_combine '!A:D,4,FALSE),"Non trouvé")</f>
        <v>Non trouvé</v>
      </c>
      <c r="I284" t="str">
        <f>IFERROR(VLOOKUP(Logs_reseau[[#This Row],[Cell_ID]],'[1]Registre_Maintenance_combine '!A:E,5,FALSE),"Non trouvé")</f>
        <v>Non trouvé</v>
      </c>
      <c r="J284" t="str">
        <f>IFERROR(VLOOKUP(Logs_reseau[[#This Row],[Cell_ID]],'[1]Registre_Maintenance_combine '!A:F,6,FALSE),"Non trouvé")</f>
        <v>Non trouvé</v>
      </c>
    </row>
    <row r="285" spans="1:10" x14ac:dyDescent="0.25">
      <c r="A285" t="str">
        <f>IFERROR(VLOOKUP(Logs_reseau[[#This Row],[Cell_ID]],'[1]Registre_Maintenance_combine '!A:B,2,FALSE),"Non trouvé")</f>
        <v>Non trouvé</v>
      </c>
      <c r="B285" t="s">
        <v>73</v>
      </c>
      <c r="C285" s="3">
        <v>45212.724305555559</v>
      </c>
      <c r="D285" s="11">
        <f>Logs_reseau[[#This Row],[Duree_Panne_Min]]/1440</f>
        <v>7.4305555555555555E-2</v>
      </c>
      <c r="E285">
        <v>107</v>
      </c>
      <c r="F285" t="s">
        <v>1</v>
      </c>
      <c r="G285" t="str">
        <f>IFERROR(VLOOKUP(Logs_reseau[[#This Row],[Cell_ID]],'[1]Registre_Maintenance_combine '!A:C,3,FALSE),"Non trouvé")</f>
        <v>Non trouvé</v>
      </c>
      <c r="H285" t="str">
        <f>IFERROR(VLOOKUP(Logs_reseau[[#This Row],[Cell_ID]],'[1]Registre_Maintenance_combine '!A:D,4,FALSE),"Non trouvé")</f>
        <v>Non trouvé</v>
      </c>
      <c r="I285" t="str">
        <f>IFERROR(VLOOKUP(Logs_reseau[[#This Row],[Cell_ID]],'[1]Registre_Maintenance_combine '!A:E,5,FALSE),"Non trouvé")</f>
        <v>Non trouvé</v>
      </c>
      <c r="J285" t="str">
        <f>IFERROR(VLOOKUP(Logs_reseau[[#This Row],[Cell_ID]],'[1]Registre_Maintenance_combine '!A:F,6,FALSE),"Non trouvé")</f>
        <v>Non trouvé</v>
      </c>
    </row>
    <row r="286" spans="1:10" x14ac:dyDescent="0.25">
      <c r="A286" t="str">
        <f>IFERROR(VLOOKUP(Logs_reseau[[#This Row],[Cell_ID]],'[1]Registre_Maintenance_combine '!A:B,2,FALSE),"Non trouvé")</f>
        <v>Non trouvé</v>
      </c>
      <c r="B286" t="s">
        <v>73</v>
      </c>
      <c r="C286" s="3">
        <v>45205.854861111111</v>
      </c>
      <c r="D286" s="11">
        <f>Logs_reseau[[#This Row],[Duree_Panne_Min]]/1440</f>
        <v>6.3194444444444442E-2</v>
      </c>
      <c r="E286">
        <v>91</v>
      </c>
      <c r="F286" t="s">
        <v>4</v>
      </c>
      <c r="G286" t="str">
        <f>IFERROR(VLOOKUP(Logs_reseau[[#This Row],[Cell_ID]],'[1]Registre_Maintenance_combine '!A:C,3,FALSE),"Non trouvé")</f>
        <v>Non trouvé</v>
      </c>
      <c r="H286" t="str">
        <f>IFERROR(VLOOKUP(Logs_reseau[[#This Row],[Cell_ID]],'[1]Registre_Maintenance_combine '!A:D,4,FALSE),"Non trouvé")</f>
        <v>Non trouvé</v>
      </c>
      <c r="I286" t="str">
        <f>IFERROR(VLOOKUP(Logs_reseau[[#This Row],[Cell_ID]],'[1]Registre_Maintenance_combine '!A:E,5,FALSE),"Non trouvé")</f>
        <v>Non trouvé</v>
      </c>
      <c r="J286" t="str">
        <f>IFERROR(VLOOKUP(Logs_reseau[[#This Row],[Cell_ID]],'[1]Registre_Maintenance_combine '!A:F,6,FALSE),"Non trouvé")</f>
        <v>Non trouvé</v>
      </c>
    </row>
    <row r="287" spans="1:10" x14ac:dyDescent="0.25">
      <c r="A287" t="str">
        <f>IFERROR(VLOOKUP(Logs_reseau[[#This Row],[Cell_ID]],'[1]Registre_Maintenance_combine '!A:B,2,FALSE),"Non trouvé")</f>
        <v>Non trouvé</v>
      </c>
      <c r="B287" t="s">
        <v>74</v>
      </c>
      <c r="C287" s="3">
        <v>45228.34097222222</v>
      </c>
      <c r="D287" s="11">
        <f>Logs_reseau[[#This Row],[Duree_Panne_Min]]/1440</f>
        <v>3.125E-2</v>
      </c>
      <c r="E287">
        <v>45</v>
      </c>
      <c r="F287" t="s">
        <v>4</v>
      </c>
      <c r="G287" t="str">
        <f>IFERROR(VLOOKUP(Logs_reseau[[#This Row],[Cell_ID]],'[1]Registre_Maintenance_combine '!A:C,3,FALSE),"Non trouvé")</f>
        <v>Non trouvé</v>
      </c>
      <c r="H287" t="str">
        <f>IFERROR(VLOOKUP(Logs_reseau[[#This Row],[Cell_ID]],'[1]Registre_Maintenance_combine '!A:D,4,FALSE),"Non trouvé")</f>
        <v>Non trouvé</v>
      </c>
      <c r="I287" t="str">
        <f>IFERROR(VLOOKUP(Logs_reseau[[#This Row],[Cell_ID]],'[1]Registre_Maintenance_combine '!A:E,5,FALSE),"Non trouvé")</f>
        <v>Non trouvé</v>
      </c>
      <c r="J287" t="str">
        <f>IFERROR(VLOOKUP(Logs_reseau[[#This Row],[Cell_ID]],'[1]Registre_Maintenance_combine '!A:F,6,FALSE),"Non trouvé")</f>
        <v>Non trouvé</v>
      </c>
    </row>
    <row r="288" spans="1:10" x14ac:dyDescent="0.25">
      <c r="A288" t="str">
        <f>IFERROR(VLOOKUP(Logs_reseau[[#This Row],[Cell_ID]],'[1]Registre_Maintenance_combine '!A:B,2,FALSE),"Non trouvé")</f>
        <v>Non trouvé</v>
      </c>
      <c r="B288" t="s">
        <v>75</v>
      </c>
      <c r="C288" s="3">
        <v>45210.128472222219</v>
      </c>
      <c r="D288" s="11">
        <f>Logs_reseau[[#This Row],[Duree_Panne_Min]]/1440</f>
        <v>2.7083333333333334E-2</v>
      </c>
      <c r="E288">
        <v>39</v>
      </c>
      <c r="F288" t="s">
        <v>1</v>
      </c>
      <c r="G288" t="str">
        <f>IFERROR(VLOOKUP(Logs_reseau[[#This Row],[Cell_ID]],'[1]Registre_Maintenance_combine '!A:C,3,FALSE),"Non trouvé")</f>
        <v>Non trouvé</v>
      </c>
      <c r="H288" t="str">
        <f>IFERROR(VLOOKUP(Logs_reseau[[#This Row],[Cell_ID]],'[1]Registre_Maintenance_combine '!A:D,4,FALSE),"Non trouvé")</f>
        <v>Non trouvé</v>
      </c>
      <c r="I288" t="str">
        <f>IFERROR(VLOOKUP(Logs_reseau[[#This Row],[Cell_ID]],'[1]Registre_Maintenance_combine '!A:E,5,FALSE),"Non trouvé")</f>
        <v>Non trouvé</v>
      </c>
      <c r="J288" t="str">
        <f>IFERROR(VLOOKUP(Logs_reseau[[#This Row],[Cell_ID]],'[1]Registre_Maintenance_combine '!A:F,6,FALSE),"Non trouvé")</f>
        <v>Non trouvé</v>
      </c>
    </row>
    <row r="289" spans="1:10" x14ac:dyDescent="0.25">
      <c r="A289" t="str">
        <f>IFERROR(VLOOKUP(Logs_reseau[[#This Row],[Cell_ID]],'[1]Registre_Maintenance_combine '!A:B,2,FALSE),"Non trouvé")</f>
        <v>Non trouvé</v>
      </c>
      <c r="B289" t="s">
        <v>75</v>
      </c>
      <c r="C289" s="3">
        <v>45222.367361111108</v>
      </c>
      <c r="D289" s="11">
        <f>Logs_reseau[[#This Row],[Duree_Panne_Min]]/1440</f>
        <v>4.4444444444444446E-2</v>
      </c>
      <c r="E289">
        <v>64</v>
      </c>
      <c r="F289" t="s">
        <v>2</v>
      </c>
      <c r="G289" t="str">
        <f>IFERROR(VLOOKUP(Logs_reseau[[#This Row],[Cell_ID]],'[1]Registre_Maintenance_combine '!A:C,3,FALSE),"Non trouvé")</f>
        <v>Non trouvé</v>
      </c>
      <c r="H289" t="str">
        <f>IFERROR(VLOOKUP(Logs_reseau[[#This Row],[Cell_ID]],'[1]Registre_Maintenance_combine '!A:D,4,FALSE),"Non trouvé")</f>
        <v>Non trouvé</v>
      </c>
      <c r="I289" t="str">
        <f>IFERROR(VLOOKUP(Logs_reseau[[#This Row],[Cell_ID]],'[1]Registre_Maintenance_combine '!A:E,5,FALSE),"Non trouvé")</f>
        <v>Non trouvé</v>
      </c>
      <c r="J289" t="str">
        <f>IFERROR(VLOOKUP(Logs_reseau[[#This Row],[Cell_ID]],'[1]Registre_Maintenance_combine '!A:F,6,FALSE),"Non trouvé")</f>
        <v>Non trouvé</v>
      </c>
    </row>
    <row r="290" spans="1:10" x14ac:dyDescent="0.25">
      <c r="A290" t="str">
        <f>IFERROR(VLOOKUP(Logs_reseau[[#This Row],[Cell_ID]],'[1]Registre_Maintenance_combine '!A:B,2,FALSE),"Non trouvé")</f>
        <v>Non trouvé</v>
      </c>
      <c r="B290" t="s">
        <v>75</v>
      </c>
      <c r="C290" s="3">
        <v>45207.61041666667</v>
      </c>
      <c r="D290" s="11">
        <f>Logs_reseau[[#This Row],[Duree_Panne_Min]]/1440</f>
        <v>4.3749999999999997E-2</v>
      </c>
      <c r="E290">
        <v>63</v>
      </c>
      <c r="F290" t="s">
        <v>4</v>
      </c>
      <c r="G290" t="str">
        <f>IFERROR(VLOOKUP(Logs_reseau[[#This Row],[Cell_ID]],'[1]Registre_Maintenance_combine '!A:C,3,FALSE),"Non trouvé")</f>
        <v>Non trouvé</v>
      </c>
      <c r="H290" t="str">
        <f>IFERROR(VLOOKUP(Logs_reseau[[#This Row],[Cell_ID]],'[1]Registre_Maintenance_combine '!A:D,4,FALSE),"Non trouvé")</f>
        <v>Non trouvé</v>
      </c>
      <c r="I290" t="str">
        <f>IFERROR(VLOOKUP(Logs_reseau[[#This Row],[Cell_ID]],'[1]Registre_Maintenance_combine '!A:E,5,FALSE),"Non trouvé")</f>
        <v>Non trouvé</v>
      </c>
      <c r="J290" t="str">
        <f>IFERROR(VLOOKUP(Logs_reseau[[#This Row],[Cell_ID]],'[1]Registre_Maintenance_combine '!A:F,6,FALSE),"Non trouvé")</f>
        <v>Non trouvé</v>
      </c>
    </row>
    <row r="291" spans="1:10" x14ac:dyDescent="0.25">
      <c r="A291" t="str">
        <f>IFERROR(VLOOKUP(Logs_reseau[[#This Row],[Cell_ID]],'[1]Registre_Maintenance_combine '!A:B,2,FALSE),"Non trouvé")</f>
        <v>Non trouvé</v>
      </c>
      <c r="B291" t="s">
        <v>75</v>
      </c>
      <c r="C291" s="3">
        <v>45230.984722222223</v>
      </c>
      <c r="D291" s="11">
        <f>Logs_reseau[[#This Row],[Duree_Panne_Min]]/1440</f>
        <v>2.0833333333333332E-2</v>
      </c>
      <c r="E291">
        <v>30</v>
      </c>
      <c r="F291" t="s">
        <v>4</v>
      </c>
      <c r="G291" t="str">
        <f>IFERROR(VLOOKUP(Logs_reseau[[#This Row],[Cell_ID]],'[1]Registre_Maintenance_combine '!A:C,3,FALSE),"Non trouvé")</f>
        <v>Non trouvé</v>
      </c>
      <c r="H291" t="str">
        <f>IFERROR(VLOOKUP(Logs_reseau[[#This Row],[Cell_ID]],'[1]Registre_Maintenance_combine '!A:D,4,FALSE),"Non trouvé")</f>
        <v>Non trouvé</v>
      </c>
      <c r="I291" t="str">
        <f>IFERROR(VLOOKUP(Logs_reseau[[#This Row],[Cell_ID]],'[1]Registre_Maintenance_combine '!A:E,5,FALSE),"Non trouvé")</f>
        <v>Non trouvé</v>
      </c>
      <c r="J291" t="str">
        <f>IFERROR(VLOOKUP(Logs_reseau[[#This Row],[Cell_ID]],'[1]Registre_Maintenance_combine '!A:F,6,FALSE),"Non trouvé")</f>
        <v>Non trouvé</v>
      </c>
    </row>
    <row r="292" spans="1:10" x14ac:dyDescent="0.25">
      <c r="A292" t="str">
        <f>IFERROR(VLOOKUP(Logs_reseau[[#This Row],[Cell_ID]],'[1]Registre_Maintenance_combine '!A:B,2,FALSE),"Non trouvé")</f>
        <v>Kasai-Central</v>
      </c>
      <c r="B292" t="s">
        <v>76</v>
      </c>
      <c r="C292" s="3">
        <v>45202.944444444445</v>
      </c>
      <c r="D292" s="11">
        <f>Logs_reseau[[#This Row],[Duree_Panne_Min]]/1440</f>
        <v>3.5416666666666666E-2</v>
      </c>
      <c r="E292">
        <v>51</v>
      </c>
      <c r="F292" t="s">
        <v>4</v>
      </c>
      <c r="G292">
        <f>IFERROR(VLOOKUP(Logs_reseau[[#This Row],[Cell_ID]],'[1]Registre_Maintenance_combine '!A:C,3,FALSE),"Non trouvé")</f>
        <v>-8.0800809999999998</v>
      </c>
      <c r="H292">
        <f>IFERROR(VLOOKUP(Logs_reseau[[#This Row],[Cell_ID]],'[1]Registre_Maintenance_combine '!A:D,4,FALSE),"Non trouvé")</f>
        <v>30.147970999999998</v>
      </c>
      <c r="I292" t="str">
        <f>IFERROR(VLOOKUP(Logs_reseau[[#This Row],[Cell_ID]],'[1]Registre_Maintenance_combine '!A:E,5,FALSE),"Non trouvé")</f>
        <v>5G</v>
      </c>
      <c r="J292" t="str">
        <f>IFERROR(VLOOKUP(Logs_reseau[[#This Row],[Cell_ID]],'[1]Registre_Maintenance_combine '!A:F,6,FALSE),"Non trouvé")</f>
        <v>Huawei</v>
      </c>
    </row>
    <row r="293" spans="1:10" x14ac:dyDescent="0.25">
      <c r="A293" t="str">
        <f>IFERROR(VLOOKUP(Logs_reseau[[#This Row],[Cell_ID]],'[1]Registre_Maintenance_combine '!A:B,2,FALSE),"Non trouvé")</f>
        <v>Kasai-Central</v>
      </c>
      <c r="B293" t="s">
        <v>76</v>
      </c>
      <c r="C293" s="3">
        <v>45216.76458333333</v>
      </c>
      <c r="D293" s="11">
        <f>Logs_reseau[[#This Row],[Duree_Panne_Min]]/1440</f>
        <v>5.5555555555555558E-3</v>
      </c>
      <c r="E293">
        <v>8</v>
      </c>
      <c r="F293" t="s">
        <v>4</v>
      </c>
      <c r="G293">
        <f>IFERROR(VLOOKUP(Logs_reseau[[#This Row],[Cell_ID]],'[1]Registre_Maintenance_combine '!A:C,3,FALSE),"Non trouvé")</f>
        <v>-8.0800809999999998</v>
      </c>
      <c r="H293">
        <f>IFERROR(VLOOKUP(Logs_reseau[[#This Row],[Cell_ID]],'[1]Registre_Maintenance_combine '!A:D,4,FALSE),"Non trouvé")</f>
        <v>30.147970999999998</v>
      </c>
      <c r="I293" t="str">
        <f>IFERROR(VLOOKUP(Logs_reseau[[#This Row],[Cell_ID]],'[1]Registre_Maintenance_combine '!A:E,5,FALSE),"Non trouvé")</f>
        <v>5G</v>
      </c>
      <c r="J293" t="str">
        <f>IFERROR(VLOOKUP(Logs_reseau[[#This Row],[Cell_ID]],'[1]Registre_Maintenance_combine '!A:F,6,FALSE),"Non trouvé")</f>
        <v>Huawei</v>
      </c>
    </row>
    <row r="294" spans="1:10" x14ac:dyDescent="0.25">
      <c r="A294" t="str">
        <f>IFERROR(VLOOKUP(Logs_reseau[[#This Row],[Cell_ID]],'[1]Registre_Maintenance_combine '!A:B,2,FALSE),"Non trouvé")</f>
        <v>Kasai-Central</v>
      </c>
      <c r="B294" t="s">
        <v>76</v>
      </c>
      <c r="C294" s="3">
        <v>45217.481249999997</v>
      </c>
      <c r="D294" s="11">
        <f>Logs_reseau[[#This Row],[Duree_Panne_Min]]/1440</f>
        <v>3.3333333333333333E-2</v>
      </c>
      <c r="E294">
        <v>48</v>
      </c>
      <c r="F294" t="s">
        <v>4</v>
      </c>
      <c r="G294">
        <f>IFERROR(VLOOKUP(Logs_reseau[[#This Row],[Cell_ID]],'[1]Registre_Maintenance_combine '!A:C,3,FALSE),"Non trouvé")</f>
        <v>-8.0800809999999998</v>
      </c>
      <c r="H294">
        <f>IFERROR(VLOOKUP(Logs_reseau[[#This Row],[Cell_ID]],'[1]Registre_Maintenance_combine '!A:D,4,FALSE),"Non trouvé")</f>
        <v>30.147970999999998</v>
      </c>
      <c r="I294" t="str">
        <f>IFERROR(VLOOKUP(Logs_reseau[[#This Row],[Cell_ID]],'[1]Registre_Maintenance_combine '!A:E,5,FALSE),"Non trouvé")</f>
        <v>5G</v>
      </c>
      <c r="J294" t="str">
        <f>IFERROR(VLOOKUP(Logs_reseau[[#This Row],[Cell_ID]],'[1]Registre_Maintenance_combine '!A:F,6,FALSE),"Non trouvé")</f>
        <v>Huawei</v>
      </c>
    </row>
    <row r="295" spans="1:10" x14ac:dyDescent="0.25">
      <c r="A295" t="str">
        <f>IFERROR(VLOOKUP(Logs_reseau[[#This Row],[Cell_ID]],'[1]Registre_Maintenance_combine '!A:B,2,FALSE),"Non trouvé")</f>
        <v>Kasai-Central</v>
      </c>
      <c r="B295" t="s">
        <v>76</v>
      </c>
      <c r="C295" s="3">
        <v>45212.599305555559</v>
      </c>
      <c r="D295" s="11">
        <f>Logs_reseau[[#This Row],[Duree_Panne_Min]]/1440</f>
        <v>4.6527777777777779E-2</v>
      </c>
      <c r="E295">
        <v>67</v>
      </c>
      <c r="F295" t="s">
        <v>4</v>
      </c>
      <c r="G295">
        <f>IFERROR(VLOOKUP(Logs_reseau[[#This Row],[Cell_ID]],'[1]Registre_Maintenance_combine '!A:C,3,FALSE),"Non trouvé")</f>
        <v>-8.0800809999999998</v>
      </c>
      <c r="H295">
        <f>IFERROR(VLOOKUP(Logs_reseau[[#This Row],[Cell_ID]],'[1]Registre_Maintenance_combine '!A:D,4,FALSE),"Non trouvé")</f>
        <v>30.147970999999998</v>
      </c>
      <c r="I295" t="str">
        <f>IFERROR(VLOOKUP(Logs_reseau[[#This Row],[Cell_ID]],'[1]Registre_Maintenance_combine '!A:E,5,FALSE),"Non trouvé")</f>
        <v>5G</v>
      </c>
      <c r="J295" t="str">
        <f>IFERROR(VLOOKUP(Logs_reseau[[#This Row],[Cell_ID]],'[1]Registre_Maintenance_combine '!A:F,6,FALSE),"Non trouvé")</f>
        <v>Huawei</v>
      </c>
    </row>
    <row r="296" spans="1:10" x14ac:dyDescent="0.25">
      <c r="A296" t="str">
        <f>IFERROR(VLOOKUP(Logs_reseau[[#This Row],[Cell_ID]],'[1]Registre_Maintenance_combine '!A:B,2,FALSE),"Non trouvé")</f>
        <v>Kasai-Central</v>
      </c>
      <c r="B296" t="s">
        <v>76</v>
      </c>
      <c r="C296" s="3">
        <v>45226.2</v>
      </c>
      <c r="D296" s="11">
        <f>Logs_reseau[[#This Row],[Duree_Panne_Min]]/1440</f>
        <v>8.3333333333333332E-3</v>
      </c>
      <c r="E296">
        <v>12</v>
      </c>
      <c r="F296" t="s">
        <v>2</v>
      </c>
      <c r="G296">
        <f>IFERROR(VLOOKUP(Logs_reseau[[#This Row],[Cell_ID]],'[1]Registre_Maintenance_combine '!A:C,3,FALSE),"Non trouvé")</f>
        <v>-8.0800809999999998</v>
      </c>
      <c r="H296">
        <f>IFERROR(VLOOKUP(Logs_reseau[[#This Row],[Cell_ID]],'[1]Registre_Maintenance_combine '!A:D,4,FALSE),"Non trouvé")</f>
        <v>30.147970999999998</v>
      </c>
      <c r="I296" t="str">
        <f>IFERROR(VLOOKUP(Logs_reseau[[#This Row],[Cell_ID]],'[1]Registre_Maintenance_combine '!A:E,5,FALSE),"Non trouvé")</f>
        <v>5G</v>
      </c>
      <c r="J296" t="str">
        <f>IFERROR(VLOOKUP(Logs_reseau[[#This Row],[Cell_ID]],'[1]Registre_Maintenance_combine '!A:F,6,FALSE),"Non trouvé")</f>
        <v>Huawei</v>
      </c>
    </row>
    <row r="297" spans="1:10" x14ac:dyDescent="0.25">
      <c r="A297" t="str">
        <f>IFERROR(VLOOKUP(Logs_reseau[[#This Row],[Cell_ID]],'[1]Registre_Maintenance_combine '!A:B,2,FALSE),"Non trouvé")</f>
        <v>Non trouvé</v>
      </c>
      <c r="B297" t="s">
        <v>77</v>
      </c>
      <c r="C297" s="3">
        <v>45219.420138888891</v>
      </c>
      <c r="D297" s="11">
        <f>Logs_reseau[[#This Row],[Duree_Panne_Min]]/1440</f>
        <v>4.9305555555555554E-2</v>
      </c>
      <c r="E297">
        <v>71</v>
      </c>
      <c r="F297" t="s">
        <v>2</v>
      </c>
      <c r="G297" t="str">
        <f>IFERROR(VLOOKUP(Logs_reseau[[#This Row],[Cell_ID]],'[1]Registre_Maintenance_combine '!A:C,3,FALSE),"Non trouvé")</f>
        <v>Non trouvé</v>
      </c>
      <c r="H297" t="str">
        <f>IFERROR(VLOOKUP(Logs_reseau[[#This Row],[Cell_ID]],'[1]Registre_Maintenance_combine '!A:D,4,FALSE),"Non trouvé")</f>
        <v>Non trouvé</v>
      </c>
      <c r="I297" t="str">
        <f>IFERROR(VLOOKUP(Logs_reseau[[#This Row],[Cell_ID]],'[1]Registre_Maintenance_combine '!A:E,5,FALSE),"Non trouvé")</f>
        <v>Non trouvé</v>
      </c>
      <c r="J297" t="str">
        <f>IFERROR(VLOOKUP(Logs_reseau[[#This Row],[Cell_ID]],'[1]Registre_Maintenance_combine '!A:F,6,FALSE),"Non trouvé")</f>
        <v>Non trouvé</v>
      </c>
    </row>
    <row r="298" spans="1:10" x14ac:dyDescent="0.25">
      <c r="A298" t="str">
        <f>IFERROR(VLOOKUP(Logs_reseau[[#This Row],[Cell_ID]],'[1]Registre_Maintenance_combine '!A:B,2,FALSE),"Non trouvé")</f>
        <v>Non trouvé</v>
      </c>
      <c r="B298" t="s">
        <v>77</v>
      </c>
      <c r="C298" s="3">
        <v>45208.421527777777</v>
      </c>
      <c r="D298" s="11">
        <f>Logs_reseau[[#This Row],[Duree_Panne_Min]]/1440</f>
        <v>7.4305555555555555E-2</v>
      </c>
      <c r="E298">
        <v>107</v>
      </c>
      <c r="F298" t="s">
        <v>2</v>
      </c>
      <c r="G298" t="str">
        <f>IFERROR(VLOOKUP(Logs_reseau[[#This Row],[Cell_ID]],'[1]Registre_Maintenance_combine '!A:C,3,FALSE),"Non trouvé")</f>
        <v>Non trouvé</v>
      </c>
      <c r="H298" t="str">
        <f>IFERROR(VLOOKUP(Logs_reseau[[#This Row],[Cell_ID]],'[1]Registre_Maintenance_combine '!A:D,4,FALSE),"Non trouvé")</f>
        <v>Non trouvé</v>
      </c>
      <c r="I298" t="str">
        <f>IFERROR(VLOOKUP(Logs_reseau[[#This Row],[Cell_ID]],'[1]Registre_Maintenance_combine '!A:E,5,FALSE),"Non trouvé")</f>
        <v>Non trouvé</v>
      </c>
      <c r="J298" t="str">
        <f>IFERROR(VLOOKUP(Logs_reseau[[#This Row],[Cell_ID]],'[1]Registre_Maintenance_combine '!A:F,6,FALSE),"Non trouvé")</f>
        <v>Non trouvé</v>
      </c>
    </row>
    <row r="299" spans="1:10" x14ac:dyDescent="0.25">
      <c r="A299" t="str">
        <f>IFERROR(VLOOKUP(Logs_reseau[[#This Row],[Cell_ID]],'[1]Registre_Maintenance_combine '!A:B,2,FALSE),"Non trouvé")</f>
        <v>Non trouvé</v>
      </c>
      <c r="B299" t="s">
        <v>77</v>
      </c>
      <c r="C299" s="3">
        <v>45207.57916666667</v>
      </c>
      <c r="D299" s="11">
        <f>Logs_reseau[[#This Row],[Duree_Panne_Min]]/1440</f>
        <v>6.0416666666666667E-2</v>
      </c>
      <c r="E299">
        <v>87</v>
      </c>
      <c r="F299" t="s">
        <v>4</v>
      </c>
      <c r="G299" t="str">
        <f>IFERROR(VLOOKUP(Logs_reseau[[#This Row],[Cell_ID]],'[1]Registre_Maintenance_combine '!A:C,3,FALSE),"Non trouvé")</f>
        <v>Non trouvé</v>
      </c>
      <c r="H299" t="str">
        <f>IFERROR(VLOOKUP(Logs_reseau[[#This Row],[Cell_ID]],'[1]Registre_Maintenance_combine '!A:D,4,FALSE),"Non trouvé")</f>
        <v>Non trouvé</v>
      </c>
      <c r="I299" t="str">
        <f>IFERROR(VLOOKUP(Logs_reseau[[#This Row],[Cell_ID]],'[1]Registre_Maintenance_combine '!A:E,5,FALSE),"Non trouvé")</f>
        <v>Non trouvé</v>
      </c>
      <c r="J299" t="str">
        <f>IFERROR(VLOOKUP(Logs_reseau[[#This Row],[Cell_ID]],'[1]Registre_Maintenance_combine '!A:F,6,FALSE),"Non trouvé")</f>
        <v>Non trouvé</v>
      </c>
    </row>
    <row r="300" spans="1:10" x14ac:dyDescent="0.25">
      <c r="A300" t="str">
        <f>IFERROR(VLOOKUP(Logs_reseau[[#This Row],[Cell_ID]],'[1]Registre_Maintenance_combine '!A:B,2,FALSE),"Non trouvé")</f>
        <v>Non trouvé</v>
      </c>
      <c r="B300" t="s">
        <v>78</v>
      </c>
      <c r="C300" s="3">
        <v>45207.982638888891</v>
      </c>
      <c r="D300" s="11">
        <f>Logs_reseau[[#This Row],[Duree_Panne_Min]]/1440</f>
        <v>1.0416666666666666E-2</v>
      </c>
      <c r="E300">
        <v>15</v>
      </c>
      <c r="F300" t="s">
        <v>2</v>
      </c>
      <c r="G300" t="str">
        <f>IFERROR(VLOOKUP(Logs_reseau[[#This Row],[Cell_ID]],'[1]Registre_Maintenance_combine '!A:C,3,FALSE),"Non trouvé")</f>
        <v>Non trouvé</v>
      </c>
      <c r="H300" t="str">
        <f>IFERROR(VLOOKUP(Logs_reseau[[#This Row],[Cell_ID]],'[1]Registre_Maintenance_combine '!A:D,4,FALSE),"Non trouvé")</f>
        <v>Non trouvé</v>
      </c>
      <c r="I300" t="str">
        <f>IFERROR(VLOOKUP(Logs_reseau[[#This Row],[Cell_ID]],'[1]Registre_Maintenance_combine '!A:E,5,FALSE),"Non trouvé")</f>
        <v>Non trouvé</v>
      </c>
      <c r="J300" t="str">
        <f>IFERROR(VLOOKUP(Logs_reseau[[#This Row],[Cell_ID]],'[1]Registre_Maintenance_combine '!A:F,6,FALSE),"Non trouvé")</f>
        <v>Non trouvé</v>
      </c>
    </row>
    <row r="301" spans="1:10" x14ac:dyDescent="0.25">
      <c r="A301" t="str">
        <f>IFERROR(VLOOKUP(Logs_reseau[[#This Row],[Cell_ID]],'[1]Registre_Maintenance_combine '!A:B,2,FALSE),"Non trouvé")</f>
        <v>Non trouvé</v>
      </c>
      <c r="B301" t="s">
        <v>78</v>
      </c>
      <c r="C301" s="3">
        <v>45206.273611111108</v>
      </c>
      <c r="D301" s="11">
        <f>Logs_reseau[[#This Row],[Duree_Panne_Min]]/1440</f>
        <v>3.8194444444444448E-2</v>
      </c>
      <c r="E301">
        <v>55</v>
      </c>
      <c r="F301" t="s">
        <v>1</v>
      </c>
      <c r="G301" t="str">
        <f>IFERROR(VLOOKUP(Logs_reseau[[#This Row],[Cell_ID]],'[1]Registre_Maintenance_combine '!A:C,3,FALSE),"Non trouvé")</f>
        <v>Non trouvé</v>
      </c>
      <c r="H301" t="str">
        <f>IFERROR(VLOOKUP(Logs_reseau[[#This Row],[Cell_ID]],'[1]Registre_Maintenance_combine '!A:D,4,FALSE),"Non trouvé")</f>
        <v>Non trouvé</v>
      </c>
      <c r="I301" t="str">
        <f>IFERROR(VLOOKUP(Logs_reseau[[#This Row],[Cell_ID]],'[1]Registre_Maintenance_combine '!A:E,5,FALSE),"Non trouvé")</f>
        <v>Non trouvé</v>
      </c>
      <c r="J301" t="str">
        <f>IFERROR(VLOOKUP(Logs_reseau[[#This Row],[Cell_ID]],'[1]Registre_Maintenance_combine '!A:F,6,FALSE),"Non trouvé")</f>
        <v>Non trouvé</v>
      </c>
    </row>
    <row r="302" spans="1:10" x14ac:dyDescent="0.25">
      <c r="A302" t="str">
        <f>IFERROR(VLOOKUP(Logs_reseau[[#This Row],[Cell_ID]],'[1]Registre_Maintenance_combine '!A:B,2,FALSE),"Non trouvé")</f>
        <v>Non trouvé</v>
      </c>
      <c r="B302" t="s">
        <v>78</v>
      </c>
      <c r="C302" s="3">
        <v>45227.211111111108</v>
      </c>
      <c r="D302" s="11">
        <f>Logs_reseau[[#This Row],[Duree_Panne_Min]]/1440</f>
        <v>4.6527777777777779E-2</v>
      </c>
      <c r="E302">
        <v>67</v>
      </c>
      <c r="F302" t="s">
        <v>1</v>
      </c>
      <c r="G302" t="str">
        <f>IFERROR(VLOOKUP(Logs_reseau[[#This Row],[Cell_ID]],'[1]Registre_Maintenance_combine '!A:C,3,FALSE),"Non trouvé")</f>
        <v>Non trouvé</v>
      </c>
      <c r="H302" t="str">
        <f>IFERROR(VLOOKUP(Logs_reseau[[#This Row],[Cell_ID]],'[1]Registre_Maintenance_combine '!A:D,4,FALSE),"Non trouvé")</f>
        <v>Non trouvé</v>
      </c>
      <c r="I302" t="str">
        <f>IFERROR(VLOOKUP(Logs_reseau[[#This Row],[Cell_ID]],'[1]Registre_Maintenance_combine '!A:E,5,FALSE),"Non trouvé")</f>
        <v>Non trouvé</v>
      </c>
      <c r="J302" t="str">
        <f>IFERROR(VLOOKUP(Logs_reseau[[#This Row],[Cell_ID]],'[1]Registre_Maintenance_combine '!A:F,6,FALSE),"Non trouvé")</f>
        <v>Non trouvé</v>
      </c>
    </row>
    <row r="303" spans="1:10" x14ac:dyDescent="0.25">
      <c r="A303" t="str">
        <f>IFERROR(VLOOKUP(Logs_reseau[[#This Row],[Cell_ID]],'[1]Registre_Maintenance_combine '!A:B,2,FALSE),"Non trouvé")</f>
        <v>Non trouvé</v>
      </c>
      <c r="B303" t="s">
        <v>78</v>
      </c>
      <c r="C303" s="3">
        <v>45208.279166666667</v>
      </c>
      <c r="D303" s="11">
        <f>Logs_reseau[[#This Row],[Duree_Panne_Min]]/1440</f>
        <v>8.3333333333333329E-2</v>
      </c>
      <c r="E303">
        <v>120</v>
      </c>
      <c r="F303" t="s">
        <v>2</v>
      </c>
      <c r="G303" t="str">
        <f>IFERROR(VLOOKUP(Logs_reseau[[#This Row],[Cell_ID]],'[1]Registre_Maintenance_combine '!A:C,3,FALSE),"Non trouvé")</f>
        <v>Non trouvé</v>
      </c>
      <c r="H303" t="str">
        <f>IFERROR(VLOOKUP(Logs_reseau[[#This Row],[Cell_ID]],'[1]Registre_Maintenance_combine '!A:D,4,FALSE),"Non trouvé")</f>
        <v>Non trouvé</v>
      </c>
      <c r="I303" t="str">
        <f>IFERROR(VLOOKUP(Logs_reseau[[#This Row],[Cell_ID]],'[1]Registre_Maintenance_combine '!A:E,5,FALSE),"Non trouvé")</f>
        <v>Non trouvé</v>
      </c>
      <c r="J303" t="str">
        <f>IFERROR(VLOOKUP(Logs_reseau[[#This Row],[Cell_ID]],'[1]Registre_Maintenance_combine '!A:F,6,FALSE),"Non trouvé")</f>
        <v>Non trouvé</v>
      </c>
    </row>
    <row r="304" spans="1:10" x14ac:dyDescent="0.25">
      <c r="A304" t="str">
        <f>IFERROR(VLOOKUP(Logs_reseau[[#This Row],[Cell_ID]],'[1]Registre_Maintenance_combine '!A:B,2,FALSE),"Non trouvé")</f>
        <v>Non trouvé</v>
      </c>
      <c r="B304" t="s">
        <v>78</v>
      </c>
      <c r="C304" s="3">
        <v>45208.45416666667</v>
      </c>
      <c r="D304" s="11">
        <f>Logs_reseau[[#This Row],[Duree_Panne_Min]]/1440</f>
        <v>1.1805555555555555E-2</v>
      </c>
      <c r="E304">
        <v>17</v>
      </c>
      <c r="F304" t="s">
        <v>2</v>
      </c>
      <c r="G304" t="str">
        <f>IFERROR(VLOOKUP(Logs_reseau[[#This Row],[Cell_ID]],'[1]Registre_Maintenance_combine '!A:C,3,FALSE),"Non trouvé")</f>
        <v>Non trouvé</v>
      </c>
      <c r="H304" t="str">
        <f>IFERROR(VLOOKUP(Logs_reseau[[#This Row],[Cell_ID]],'[1]Registre_Maintenance_combine '!A:D,4,FALSE),"Non trouvé")</f>
        <v>Non trouvé</v>
      </c>
      <c r="I304" t="str">
        <f>IFERROR(VLOOKUP(Logs_reseau[[#This Row],[Cell_ID]],'[1]Registre_Maintenance_combine '!A:E,5,FALSE),"Non trouvé")</f>
        <v>Non trouvé</v>
      </c>
      <c r="J304" t="str">
        <f>IFERROR(VLOOKUP(Logs_reseau[[#This Row],[Cell_ID]],'[1]Registre_Maintenance_combine '!A:F,6,FALSE),"Non trouvé")</f>
        <v>Non trouvé</v>
      </c>
    </row>
    <row r="305" spans="1:10" x14ac:dyDescent="0.25">
      <c r="A305" t="str">
        <f>IFERROR(VLOOKUP(Logs_reseau[[#This Row],[Cell_ID]],'[1]Registre_Maintenance_combine '!A:B,2,FALSE),"Non trouvé")</f>
        <v>Non trouvé</v>
      </c>
      <c r="B305" t="s">
        <v>78</v>
      </c>
      <c r="C305" s="3">
        <v>45224.568055555559</v>
      </c>
      <c r="D305" s="11">
        <f>Logs_reseau[[#This Row],[Duree_Panne_Min]]/1440</f>
        <v>1.5277777777777777E-2</v>
      </c>
      <c r="E305">
        <v>22</v>
      </c>
      <c r="F305" t="s">
        <v>4</v>
      </c>
      <c r="G305" t="str">
        <f>IFERROR(VLOOKUP(Logs_reseau[[#This Row],[Cell_ID]],'[1]Registre_Maintenance_combine '!A:C,3,FALSE),"Non trouvé")</f>
        <v>Non trouvé</v>
      </c>
      <c r="H305" t="str">
        <f>IFERROR(VLOOKUP(Logs_reseau[[#This Row],[Cell_ID]],'[1]Registre_Maintenance_combine '!A:D,4,FALSE),"Non trouvé")</f>
        <v>Non trouvé</v>
      </c>
      <c r="I305" t="str">
        <f>IFERROR(VLOOKUP(Logs_reseau[[#This Row],[Cell_ID]],'[1]Registre_Maintenance_combine '!A:E,5,FALSE),"Non trouvé")</f>
        <v>Non trouvé</v>
      </c>
      <c r="J305" t="str">
        <f>IFERROR(VLOOKUP(Logs_reseau[[#This Row],[Cell_ID]],'[1]Registre_Maintenance_combine '!A:F,6,FALSE),"Non trouvé")</f>
        <v>Non trouvé</v>
      </c>
    </row>
    <row r="306" spans="1:10" x14ac:dyDescent="0.25">
      <c r="A306" t="str">
        <f>IFERROR(VLOOKUP(Logs_reseau[[#This Row],[Cell_ID]],'[1]Registre_Maintenance_combine '!A:B,2,FALSE),"Non trouvé")</f>
        <v>Non trouvé</v>
      </c>
      <c r="B306" t="s">
        <v>78</v>
      </c>
      <c r="C306" s="3">
        <v>45225.215277777781</v>
      </c>
      <c r="D306" s="11">
        <f>Logs_reseau[[#This Row],[Duree_Panne_Min]]/1440</f>
        <v>2.5000000000000001E-2</v>
      </c>
      <c r="E306">
        <v>36</v>
      </c>
      <c r="F306" t="s">
        <v>1</v>
      </c>
      <c r="G306" t="str">
        <f>IFERROR(VLOOKUP(Logs_reseau[[#This Row],[Cell_ID]],'[1]Registre_Maintenance_combine '!A:C,3,FALSE),"Non trouvé")</f>
        <v>Non trouvé</v>
      </c>
      <c r="H306" t="str">
        <f>IFERROR(VLOOKUP(Logs_reseau[[#This Row],[Cell_ID]],'[1]Registre_Maintenance_combine '!A:D,4,FALSE),"Non trouvé")</f>
        <v>Non trouvé</v>
      </c>
      <c r="I306" t="str">
        <f>IFERROR(VLOOKUP(Logs_reseau[[#This Row],[Cell_ID]],'[1]Registre_Maintenance_combine '!A:E,5,FALSE),"Non trouvé")</f>
        <v>Non trouvé</v>
      </c>
      <c r="J306" t="str">
        <f>IFERROR(VLOOKUP(Logs_reseau[[#This Row],[Cell_ID]],'[1]Registre_Maintenance_combine '!A:F,6,FALSE),"Non trouvé")</f>
        <v>Non trouvé</v>
      </c>
    </row>
    <row r="307" spans="1:10" x14ac:dyDescent="0.25">
      <c r="A307" t="str">
        <f>IFERROR(VLOOKUP(Logs_reseau[[#This Row],[Cell_ID]],'[1]Registre_Maintenance_combine '!A:B,2,FALSE),"Non trouvé")</f>
        <v>Non trouvé</v>
      </c>
      <c r="B307" t="s">
        <v>78</v>
      </c>
      <c r="C307" s="3">
        <v>45208.908333333333</v>
      </c>
      <c r="D307" s="11">
        <f>Logs_reseau[[#This Row],[Duree_Panne_Min]]/1440</f>
        <v>5.2777777777777778E-2</v>
      </c>
      <c r="E307">
        <v>76</v>
      </c>
      <c r="F307" t="s">
        <v>1</v>
      </c>
      <c r="G307" t="str">
        <f>IFERROR(VLOOKUP(Logs_reseau[[#This Row],[Cell_ID]],'[1]Registre_Maintenance_combine '!A:C,3,FALSE),"Non trouvé")</f>
        <v>Non trouvé</v>
      </c>
      <c r="H307" t="str">
        <f>IFERROR(VLOOKUP(Logs_reseau[[#This Row],[Cell_ID]],'[1]Registre_Maintenance_combine '!A:D,4,FALSE),"Non trouvé")</f>
        <v>Non trouvé</v>
      </c>
      <c r="I307" t="str">
        <f>IFERROR(VLOOKUP(Logs_reseau[[#This Row],[Cell_ID]],'[1]Registre_Maintenance_combine '!A:E,5,FALSE),"Non trouvé")</f>
        <v>Non trouvé</v>
      </c>
      <c r="J307" t="str">
        <f>IFERROR(VLOOKUP(Logs_reseau[[#This Row],[Cell_ID]],'[1]Registre_Maintenance_combine '!A:F,6,FALSE),"Non trouvé")</f>
        <v>Non trouvé</v>
      </c>
    </row>
    <row r="308" spans="1:10" x14ac:dyDescent="0.25">
      <c r="A308" t="str">
        <f>IFERROR(VLOOKUP(Logs_reseau[[#This Row],[Cell_ID]],'[1]Registre_Maintenance_combine '!A:B,2,FALSE),"Non trouvé")</f>
        <v>Non trouvé</v>
      </c>
      <c r="B308" t="s">
        <v>78</v>
      </c>
      <c r="C308" s="3">
        <v>45213.342361111114</v>
      </c>
      <c r="D308" s="11">
        <f>Logs_reseau[[#This Row],[Duree_Panne_Min]]/1440</f>
        <v>1.9444444444444445E-2</v>
      </c>
      <c r="E308">
        <v>28</v>
      </c>
      <c r="F308" t="s">
        <v>1</v>
      </c>
      <c r="G308" t="str">
        <f>IFERROR(VLOOKUP(Logs_reseau[[#This Row],[Cell_ID]],'[1]Registre_Maintenance_combine '!A:C,3,FALSE),"Non trouvé")</f>
        <v>Non trouvé</v>
      </c>
      <c r="H308" t="str">
        <f>IFERROR(VLOOKUP(Logs_reseau[[#This Row],[Cell_ID]],'[1]Registre_Maintenance_combine '!A:D,4,FALSE),"Non trouvé")</f>
        <v>Non trouvé</v>
      </c>
      <c r="I308" t="str">
        <f>IFERROR(VLOOKUP(Logs_reseau[[#This Row],[Cell_ID]],'[1]Registre_Maintenance_combine '!A:E,5,FALSE),"Non trouvé")</f>
        <v>Non trouvé</v>
      </c>
      <c r="J308" t="str">
        <f>IFERROR(VLOOKUP(Logs_reseau[[#This Row],[Cell_ID]],'[1]Registre_Maintenance_combine '!A:F,6,FALSE),"Non trouvé")</f>
        <v>Non trouvé</v>
      </c>
    </row>
    <row r="309" spans="1:10" x14ac:dyDescent="0.25">
      <c r="A309" t="str">
        <f>IFERROR(VLOOKUP(Logs_reseau[[#This Row],[Cell_ID]],'[1]Registre_Maintenance_combine '!A:B,2,FALSE),"Non trouvé")</f>
        <v>Non trouvé</v>
      </c>
      <c r="B309" t="s">
        <v>78</v>
      </c>
      <c r="C309" s="3">
        <v>45202.42083333333</v>
      </c>
      <c r="D309" s="11">
        <f>Logs_reseau[[#This Row],[Duree_Panne_Min]]/1440</f>
        <v>6.7361111111111108E-2</v>
      </c>
      <c r="E309">
        <v>97</v>
      </c>
      <c r="F309" t="s">
        <v>1</v>
      </c>
      <c r="G309" t="str">
        <f>IFERROR(VLOOKUP(Logs_reseau[[#This Row],[Cell_ID]],'[1]Registre_Maintenance_combine '!A:C,3,FALSE),"Non trouvé")</f>
        <v>Non trouvé</v>
      </c>
      <c r="H309" t="str">
        <f>IFERROR(VLOOKUP(Logs_reseau[[#This Row],[Cell_ID]],'[1]Registre_Maintenance_combine '!A:D,4,FALSE),"Non trouvé")</f>
        <v>Non trouvé</v>
      </c>
      <c r="I309" t="str">
        <f>IFERROR(VLOOKUP(Logs_reseau[[#This Row],[Cell_ID]],'[1]Registre_Maintenance_combine '!A:E,5,FALSE),"Non trouvé")</f>
        <v>Non trouvé</v>
      </c>
      <c r="J309" t="str">
        <f>IFERROR(VLOOKUP(Logs_reseau[[#This Row],[Cell_ID]],'[1]Registre_Maintenance_combine '!A:F,6,FALSE),"Non trouvé")</f>
        <v>Non trouvé</v>
      </c>
    </row>
    <row r="310" spans="1:10" x14ac:dyDescent="0.25">
      <c r="A310" t="str">
        <f>IFERROR(VLOOKUP(Logs_reseau[[#This Row],[Cell_ID]],'[1]Registre_Maintenance_combine '!A:B,2,FALSE),"Non trouvé")</f>
        <v>Non trouvé</v>
      </c>
      <c r="B310" t="s">
        <v>78</v>
      </c>
      <c r="C310" s="3">
        <v>45209.251388888886</v>
      </c>
      <c r="D310" s="11">
        <f>Logs_reseau[[#This Row],[Duree_Panne_Min]]/1440</f>
        <v>3.0555555555555555E-2</v>
      </c>
      <c r="E310">
        <v>44</v>
      </c>
      <c r="F310" t="s">
        <v>1</v>
      </c>
      <c r="G310" t="str">
        <f>IFERROR(VLOOKUP(Logs_reseau[[#This Row],[Cell_ID]],'[1]Registre_Maintenance_combine '!A:C,3,FALSE),"Non trouvé")</f>
        <v>Non trouvé</v>
      </c>
      <c r="H310" t="str">
        <f>IFERROR(VLOOKUP(Logs_reseau[[#This Row],[Cell_ID]],'[1]Registre_Maintenance_combine '!A:D,4,FALSE),"Non trouvé")</f>
        <v>Non trouvé</v>
      </c>
      <c r="I310" t="str">
        <f>IFERROR(VLOOKUP(Logs_reseau[[#This Row],[Cell_ID]],'[1]Registre_Maintenance_combine '!A:E,5,FALSE),"Non trouvé")</f>
        <v>Non trouvé</v>
      </c>
      <c r="J310" t="str">
        <f>IFERROR(VLOOKUP(Logs_reseau[[#This Row],[Cell_ID]],'[1]Registre_Maintenance_combine '!A:F,6,FALSE),"Non trouvé")</f>
        <v>Non trouvé</v>
      </c>
    </row>
    <row r="311" spans="1:10" x14ac:dyDescent="0.25">
      <c r="A311" t="str">
        <f>IFERROR(VLOOKUP(Logs_reseau[[#This Row],[Cell_ID]],'[1]Registre_Maintenance_combine '!A:B,2,FALSE),"Non trouvé")</f>
        <v>Sud-Ubangi</v>
      </c>
      <c r="B311" t="s">
        <v>79</v>
      </c>
      <c r="C311" s="3">
        <v>45213.477083333331</v>
      </c>
      <c r="D311" s="11">
        <f>Logs_reseau[[#This Row],[Duree_Panne_Min]]/1440</f>
        <v>7.0833333333333331E-2</v>
      </c>
      <c r="E311">
        <v>102</v>
      </c>
      <c r="F311" t="s">
        <v>4</v>
      </c>
      <c r="G311">
        <f>IFERROR(VLOOKUP(Logs_reseau[[#This Row],[Cell_ID]],'[1]Registre_Maintenance_combine '!A:C,3,FALSE),"Non trouvé")</f>
        <v>-12.141233</v>
      </c>
      <c r="H311">
        <f>IFERROR(VLOOKUP(Logs_reseau[[#This Row],[Cell_ID]],'[1]Registre_Maintenance_combine '!A:D,4,FALSE),"Non trouvé")</f>
        <v>15.179043999999999</v>
      </c>
      <c r="I311" t="str">
        <f>IFERROR(VLOOKUP(Logs_reseau[[#This Row],[Cell_ID]],'[1]Registre_Maintenance_combine '!A:E,5,FALSE),"Non trouvé")</f>
        <v>5G</v>
      </c>
      <c r="J311" t="str">
        <f>IFERROR(VLOOKUP(Logs_reseau[[#This Row],[Cell_ID]],'[1]Registre_Maintenance_combine '!A:F,6,FALSE),"Non trouvé")</f>
        <v>Ericsson</v>
      </c>
    </row>
    <row r="312" spans="1:10" x14ac:dyDescent="0.25">
      <c r="A312" t="str">
        <f>IFERROR(VLOOKUP(Logs_reseau[[#This Row],[Cell_ID]],'[1]Registre_Maintenance_combine '!A:B,2,FALSE),"Non trouvé")</f>
        <v>Sud-Ubangi</v>
      </c>
      <c r="B312" t="s">
        <v>79</v>
      </c>
      <c r="C312" s="3">
        <v>45229.329861111109</v>
      </c>
      <c r="D312" s="11">
        <f>Logs_reseau[[#This Row],[Duree_Panne_Min]]/1440</f>
        <v>5.2083333333333336E-2</v>
      </c>
      <c r="E312">
        <v>75</v>
      </c>
      <c r="F312" t="s">
        <v>2</v>
      </c>
      <c r="G312">
        <f>IFERROR(VLOOKUP(Logs_reseau[[#This Row],[Cell_ID]],'[1]Registre_Maintenance_combine '!A:C,3,FALSE),"Non trouvé")</f>
        <v>-12.141233</v>
      </c>
      <c r="H312">
        <f>IFERROR(VLOOKUP(Logs_reseau[[#This Row],[Cell_ID]],'[1]Registre_Maintenance_combine '!A:D,4,FALSE),"Non trouvé")</f>
        <v>15.179043999999999</v>
      </c>
      <c r="I312" t="str">
        <f>IFERROR(VLOOKUP(Logs_reseau[[#This Row],[Cell_ID]],'[1]Registre_Maintenance_combine '!A:E,5,FALSE),"Non trouvé")</f>
        <v>5G</v>
      </c>
      <c r="J312" t="str">
        <f>IFERROR(VLOOKUP(Logs_reseau[[#This Row],[Cell_ID]],'[1]Registre_Maintenance_combine '!A:F,6,FALSE),"Non trouvé")</f>
        <v>Ericsson</v>
      </c>
    </row>
    <row r="313" spans="1:10" x14ac:dyDescent="0.25">
      <c r="A313" t="str">
        <f>IFERROR(VLOOKUP(Logs_reseau[[#This Row],[Cell_ID]],'[1]Registre_Maintenance_combine '!A:B,2,FALSE),"Non trouvé")</f>
        <v>Sud-Ubangi</v>
      </c>
      <c r="B313" t="s">
        <v>79</v>
      </c>
      <c r="C313" s="3">
        <v>45223.102083333331</v>
      </c>
      <c r="D313" s="11">
        <f>Logs_reseau[[#This Row],[Duree_Panne_Min]]/1440</f>
        <v>5.9027777777777776E-2</v>
      </c>
      <c r="E313">
        <v>85</v>
      </c>
      <c r="F313" t="s">
        <v>2</v>
      </c>
      <c r="G313">
        <f>IFERROR(VLOOKUP(Logs_reseau[[#This Row],[Cell_ID]],'[1]Registre_Maintenance_combine '!A:C,3,FALSE),"Non trouvé")</f>
        <v>-12.141233</v>
      </c>
      <c r="H313">
        <f>IFERROR(VLOOKUP(Logs_reseau[[#This Row],[Cell_ID]],'[1]Registre_Maintenance_combine '!A:D,4,FALSE),"Non trouvé")</f>
        <v>15.179043999999999</v>
      </c>
      <c r="I313" t="str">
        <f>IFERROR(VLOOKUP(Logs_reseau[[#This Row],[Cell_ID]],'[1]Registre_Maintenance_combine '!A:E,5,FALSE),"Non trouvé")</f>
        <v>5G</v>
      </c>
      <c r="J313" t="str">
        <f>IFERROR(VLOOKUP(Logs_reseau[[#This Row],[Cell_ID]],'[1]Registre_Maintenance_combine '!A:F,6,FALSE),"Non trouvé")</f>
        <v>Ericsson</v>
      </c>
    </row>
    <row r="314" spans="1:10" x14ac:dyDescent="0.25">
      <c r="A314" t="str">
        <f>IFERROR(VLOOKUP(Logs_reseau[[#This Row],[Cell_ID]],'[1]Registre_Maintenance_combine '!A:B,2,FALSE),"Non trouvé")</f>
        <v>Sud-Ubangi</v>
      </c>
      <c r="B314" t="s">
        <v>79</v>
      </c>
      <c r="C314" s="3">
        <v>45212.629166666666</v>
      </c>
      <c r="D314" s="11">
        <f>Logs_reseau[[#This Row],[Duree_Panne_Min]]/1440</f>
        <v>4.791666666666667E-2</v>
      </c>
      <c r="E314">
        <v>69</v>
      </c>
      <c r="F314" t="s">
        <v>2</v>
      </c>
      <c r="G314">
        <f>IFERROR(VLOOKUP(Logs_reseau[[#This Row],[Cell_ID]],'[1]Registre_Maintenance_combine '!A:C,3,FALSE),"Non trouvé")</f>
        <v>-12.141233</v>
      </c>
      <c r="H314">
        <f>IFERROR(VLOOKUP(Logs_reseau[[#This Row],[Cell_ID]],'[1]Registre_Maintenance_combine '!A:D,4,FALSE),"Non trouvé")</f>
        <v>15.179043999999999</v>
      </c>
      <c r="I314" t="str">
        <f>IFERROR(VLOOKUP(Logs_reseau[[#This Row],[Cell_ID]],'[1]Registre_Maintenance_combine '!A:E,5,FALSE),"Non trouvé")</f>
        <v>5G</v>
      </c>
      <c r="J314" t="str">
        <f>IFERROR(VLOOKUP(Logs_reseau[[#This Row],[Cell_ID]],'[1]Registre_Maintenance_combine '!A:F,6,FALSE),"Non trouvé")</f>
        <v>Ericsson</v>
      </c>
    </row>
    <row r="315" spans="1:10" x14ac:dyDescent="0.25">
      <c r="A315" t="str">
        <f>IFERROR(VLOOKUP(Logs_reseau[[#This Row],[Cell_ID]],'[1]Registre_Maintenance_combine '!A:B,2,FALSE),"Non trouvé")</f>
        <v>Sud-Ubangi</v>
      </c>
      <c r="B315" t="s">
        <v>79</v>
      </c>
      <c r="C315" s="3">
        <v>45214.59375</v>
      </c>
      <c r="D315" s="11">
        <f>Logs_reseau[[#This Row],[Duree_Panne_Min]]/1440</f>
        <v>2.8472222222222222E-2</v>
      </c>
      <c r="E315">
        <v>41</v>
      </c>
      <c r="F315" t="s">
        <v>1</v>
      </c>
      <c r="G315">
        <f>IFERROR(VLOOKUP(Logs_reseau[[#This Row],[Cell_ID]],'[1]Registre_Maintenance_combine '!A:C,3,FALSE),"Non trouvé")</f>
        <v>-12.141233</v>
      </c>
      <c r="H315">
        <f>IFERROR(VLOOKUP(Logs_reseau[[#This Row],[Cell_ID]],'[1]Registre_Maintenance_combine '!A:D,4,FALSE),"Non trouvé")</f>
        <v>15.179043999999999</v>
      </c>
      <c r="I315" t="str">
        <f>IFERROR(VLOOKUP(Logs_reseau[[#This Row],[Cell_ID]],'[1]Registre_Maintenance_combine '!A:E,5,FALSE),"Non trouvé")</f>
        <v>5G</v>
      </c>
      <c r="J315" t="str">
        <f>IFERROR(VLOOKUP(Logs_reseau[[#This Row],[Cell_ID]],'[1]Registre_Maintenance_combine '!A:F,6,FALSE),"Non trouvé")</f>
        <v>Ericsson</v>
      </c>
    </row>
    <row r="316" spans="1:10" x14ac:dyDescent="0.25">
      <c r="A316" t="str">
        <f>IFERROR(VLOOKUP(Logs_reseau[[#This Row],[Cell_ID]],'[1]Registre_Maintenance_combine '!A:B,2,FALSE),"Non trouvé")</f>
        <v>Maniema</v>
      </c>
      <c r="B316" t="s">
        <v>80</v>
      </c>
      <c r="C316" s="3">
        <v>45228.758333333331</v>
      </c>
      <c r="D316" s="11">
        <f>Logs_reseau[[#This Row],[Duree_Panne_Min]]/1440</f>
        <v>4.9305555555555554E-2</v>
      </c>
      <c r="E316">
        <v>71</v>
      </c>
      <c r="F316" t="s">
        <v>2</v>
      </c>
      <c r="G316">
        <f>IFERROR(VLOOKUP(Logs_reseau[[#This Row],[Cell_ID]],'[1]Registre_Maintenance_combine '!A:C,3,FALSE),"Non trouvé")</f>
        <v>-8.4824669999999998</v>
      </c>
      <c r="H316">
        <f>IFERROR(VLOOKUP(Logs_reseau[[#This Row],[Cell_ID]],'[1]Registre_Maintenance_combine '!A:D,4,FALSE),"Non trouvé")</f>
        <v>21.897777999999999</v>
      </c>
      <c r="I316" t="str">
        <f>IFERROR(VLOOKUP(Logs_reseau[[#This Row],[Cell_ID]],'[1]Registre_Maintenance_combine '!A:E,5,FALSE),"Non trouvé")</f>
        <v>5G</v>
      </c>
      <c r="J316" t="str">
        <f>IFERROR(VLOOKUP(Logs_reseau[[#This Row],[Cell_ID]],'[1]Registre_Maintenance_combine '!A:F,6,FALSE),"Non trouvé")</f>
        <v>Ericsson</v>
      </c>
    </row>
    <row r="317" spans="1:10" x14ac:dyDescent="0.25">
      <c r="A317" t="str">
        <f>IFERROR(VLOOKUP(Logs_reseau[[#This Row],[Cell_ID]],'[1]Registre_Maintenance_combine '!A:B,2,FALSE),"Non trouvé")</f>
        <v>Maniema</v>
      </c>
      <c r="B317" t="s">
        <v>80</v>
      </c>
      <c r="C317" s="3">
        <v>45219.920138888891</v>
      </c>
      <c r="D317" s="11">
        <f>Logs_reseau[[#This Row],[Duree_Panne_Min]]/1440</f>
        <v>6.25E-2</v>
      </c>
      <c r="E317">
        <v>90</v>
      </c>
      <c r="F317" t="s">
        <v>1</v>
      </c>
      <c r="G317">
        <f>IFERROR(VLOOKUP(Logs_reseau[[#This Row],[Cell_ID]],'[1]Registre_Maintenance_combine '!A:C,3,FALSE),"Non trouvé")</f>
        <v>-8.4824669999999998</v>
      </c>
      <c r="H317">
        <f>IFERROR(VLOOKUP(Logs_reseau[[#This Row],[Cell_ID]],'[1]Registre_Maintenance_combine '!A:D,4,FALSE),"Non trouvé")</f>
        <v>21.897777999999999</v>
      </c>
      <c r="I317" t="str">
        <f>IFERROR(VLOOKUP(Logs_reseau[[#This Row],[Cell_ID]],'[1]Registre_Maintenance_combine '!A:E,5,FALSE),"Non trouvé")</f>
        <v>5G</v>
      </c>
      <c r="J317" t="str">
        <f>IFERROR(VLOOKUP(Logs_reseau[[#This Row],[Cell_ID]],'[1]Registre_Maintenance_combine '!A:F,6,FALSE),"Non trouvé")</f>
        <v>Ericsson</v>
      </c>
    </row>
    <row r="318" spans="1:10" x14ac:dyDescent="0.25">
      <c r="A318" t="str">
        <f>IFERROR(VLOOKUP(Logs_reseau[[#This Row],[Cell_ID]],'[1]Registre_Maintenance_combine '!A:B,2,FALSE),"Non trouvé")</f>
        <v>Ituri</v>
      </c>
      <c r="B318" t="s">
        <v>81</v>
      </c>
      <c r="C318" s="3">
        <v>45210.458333333336</v>
      </c>
      <c r="D318" s="11">
        <f>Logs_reseau[[#This Row],[Duree_Panne_Min]]/1440</f>
        <v>5.0694444444444445E-2</v>
      </c>
      <c r="E318">
        <v>73</v>
      </c>
      <c r="F318" t="s">
        <v>2</v>
      </c>
      <c r="G318">
        <f>IFERROR(VLOOKUP(Logs_reseau[[#This Row],[Cell_ID]],'[1]Registre_Maintenance_combine '!A:C,3,FALSE),"Non trouvé")</f>
        <v>0.24202000000000001</v>
      </c>
      <c r="H318">
        <f>IFERROR(VLOOKUP(Logs_reseau[[#This Row],[Cell_ID]],'[1]Registre_Maintenance_combine '!A:D,4,FALSE),"Non trouvé")</f>
        <v>17.396256999999999</v>
      </c>
      <c r="I318" t="str">
        <f>IFERROR(VLOOKUP(Logs_reseau[[#This Row],[Cell_ID]],'[1]Registre_Maintenance_combine '!A:E,5,FALSE),"Non trouvé")</f>
        <v>4G</v>
      </c>
      <c r="J318" t="str">
        <f>IFERROR(VLOOKUP(Logs_reseau[[#This Row],[Cell_ID]],'[1]Registre_Maintenance_combine '!A:F,6,FALSE),"Non trouvé")</f>
        <v>Huawei</v>
      </c>
    </row>
    <row r="319" spans="1:10" x14ac:dyDescent="0.25">
      <c r="A319" t="str">
        <f>IFERROR(VLOOKUP(Logs_reseau[[#This Row],[Cell_ID]],'[1]Registre_Maintenance_combine '!A:B,2,FALSE),"Non trouvé")</f>
        <v>Tshuapa</v>
      </c>
      <c r="B319" t="s">
        <v>82</v>
      </c>
      <c r="C319" s="3">
        <v>45217.175000000003</v>
      </c>
      <c r="D319" s="11">
        <f>Logs_reseau[[#This Row],[Duree_Panne_Min]]/1440</f>
        <v>4.791666666666667E-2</v>
      </c>
      <c r="E319">
        <v>69</v>
      </c>
      <c r="F319" t="s">
        <v>2</v>
      </c>
      <c r="G319">
        <f>IFERROR(VLOOKUP(Logs_reseau[[#This Row],[Cell_ID]],'[1]Registre_Maintenance_combine '!A:C,3,FALSE),"Non trouvé")</f>
        <v>-10.577049000000001</v>
      </c>
      <c r="H319">
        <f>IFERROR(VLOOKUP(Logs_reseau[[#This Row],[Cell_ID]],'[1]Registre_Maintenance_combine '!A:D,4,FALSE),"Non trouvé")</f>
        <v>23.721854</v>
      </c>
      <c r="I319" t="str">
        <f>IFERROR(VLOOKUP(Logs_reseau[[#This Row],[Cell_ID]],'[1]Registre_Maintenance_combine '!A:E,5,FALSE),"Non trouvé")</f>
        <v>4G</v>
      </c>
      <c r="J319" t="str">
        <f>IFERROR(VLOOKUP(Logs_reseau[[#This Row],[Cell_ID]],'[1]Registre_Maintenance_combine '!A:F,6,FALSE),"Non trouvé")</f>
        <v>ZTE</v>
      </c>
    </row>
    <row r="320" spans="1:10" x14ac:dyDescent="0.25">
      <c r="A320" t="str">
        <f>IFERROR(VLOOKUP(Logs_reseau[[#This Row],[Cell_ID]],'[1]Registre_Maintenance_combine '!A:B,2,FALSE),"Non trouvé")</f>
        <v>Tshuapa</v>
      </c>
      <c r="B320" t="s">
        <v>82</v>
      </c>
      <c r="C320" s="3">
        <v>45211.963888888888</v>
      </c>
      <c r="D320" s="11">
        <f>Logs_reseau[[#This Row],[Duree_Panne_Min]]/1440</f>
        <v>3.125E-2</v>
      </c>
      <c r="E320">
        <v>45</v>
      </c>
      <c r="F320" t="s">
        <v>1</v>
      </c>
      <c r="G320">
        <f>IFERROR(VLOOKUP(Logs_reseau[[#This Row],[Cell_ID]],'[1]Registre_Maintenance_combine '!A:C,3,FALSE),"Non trouvé")</f>
        <v>-10.577049000000001</v>
      </c>
      <c r="H320">
        <f>IFERROR(VLOOKUP(Logs_reseau[[#This Row],[Cell_ID]],'[1]Registre_Maintenance_combine '!A:D,4,FALSE),"Non trouvé")</f>
        <v>23.721854</v>
      </c>
      <c r="I320" t="str">
        <f>IFERROR(VLOOKUP(Logs_reseau[[#This Row],[Cell_ID]],'[1]Registre_Maintenance_combine '!A:E,5,FALSE),"Non trouvé")</f>
        <v>4G</v>
      </c>
      <c r="J320" t="str">
        <f>IFERROR(VLOOKUP(Logs_reseau[[#This Row],[Cell_ID]],'[1]Registre_Maintenance_combine '!A:F,6,FALSE),"Non trouvé")</f>
        <v>ZTE</v>
      </c>
    </row>
    <row r="321" spans="1:10" x14ac:dyDescent="0.25">
      <c r="A321" t="str">
        <f>IFERROR(VLOOKUP(Logs_reseau[[#This Row],[Cell_ID]],'[1]Registre_Maintenance_combine '!A:B,2,FALSE),"Non trouvé")</f>
        <v>Tshuapa</v>
      </c>
      <c r="B321" t="s">
        <v>82</v>
      </c>
      <c r="C321" s="3">
        <v>45225.77847222222</v>
      </c>
      <c r="D321" s="11">
        <f>Logs_reseau[[#This Row],[Duree_Panne_Min]]/1440</f>
        <v>1.5277777777777777E-2</v>
      </c>
      <c r="E321">
        <v>22</v>
      </c>
      <c r="F321" t="s">
        <v>2</v>
      </c>
      <c r="G321">
        <f>IFERROR(VLOOKUP(Logs_reseau[[#This Row],[Cell_ID]],'[1]Registre_Maintenance_combine '!A:C,3,FALSE),"Non trouvé")</f>
        <v>-10.577049000000001</v>
      </c>
      <c r="H321">
        <f>IFERROR(VLOOKUP(Logs_reseau[[#This Row],[Cell_ID]],'[1]Registre_Maintenance_combine '!A:D,4,FALSE),"Non trouvé")</f>
        <v>23.721854</v>
      </c>
      <c r="I321" t="str">
        <f>IFERROR(VLOOKUP(Logs_reseau[[#This Row],[Cell_ID]],'[1]Registre_Maintenance_combine '!A:E,5,FALSE),"Non trouvé")</f>
        <v>4G</v>
      </c>
      <c r="J321" t="str">
        <f>IFERROR(VLOOKUP(Logs_reseau[[#This Row],[Cell_ID]],'[1]Registre_Maintenance_combine '!A:F,6,FALSE),"Non trouvé")</f>
        <v>ZTE</v>
      </c>
    </row>
    <row r="322" spans="1:10" x14ac:dyDescent="0.25">
      <c r="A322" t="str">
        <f>IFERROR(VLOOKUP(Logs_reseau[[#This Row],[Cell_ID]],'[1]Registre_Maintenance_combine '!A:B,2,FALSE),"Non trouvé")</f>
        <v>Tshuapa</v>
      </c>
      <c r="B322" t="s">
        <v>82</v>
      </c>
      <c r="C322" s="3">
        <v>45204.47152777778</v>
      </c>
      <c r="D322" s="11">
        <f>Logs_reseau[[#This Row],[Duree_Panne_Min]]/1440</f>
        <v>6.458333333333334E-2</v>
      </c>
      <c r="E322">
        <v>93</v>
      </c>
      <c r="F322" t="s">
        <v>1</v>
      </c>
      <c r="G322">
        <f>IFERROR(VLOOKUP(Logs_reseau[[#This Row],[Cell_ID]],'[1]Registre_Maintenance_combine '!A:C,3,FALSE),"Non trouvé")</f>
        <v>-10.577049000000001</v>
      </c>
      <c r="H322">
        <f>IFERROR(VLOOKUP(Logs_reseau[[#This Row],[Cell_ID]],'[1]Registre_Maintenance_combine '!A:D,4,FALSE),"Non trouvé")</f>
        <v>23.721854</v>
      </c>
      <c r="I322" t="str">
        <f>IFERROR(VLOOKUP(Logs_reseau[[#This Row],[Cell_ID]],'[1]Registre_Maintenance_combine '!A:E,5,FALSE),"Non trouvé")</f>
        <v>4G</v>
      </c>
      <c r="J322" t="str">
        <f>IFERROR(VLOOKUP(Logs_reseau[[#This Row],[Cell_ID]],'[1]Registre_Maintenance_combine '!A:F,6,FALSE),"Non trouvé")</f>
        <v>ZTE</v>
      </c>
    </row>
    <row r="323" spans="1:10" x14ac:dyDescent="0.25">
      <c r="A323" t="str">
        <f>IFERROR(VLOOKUP(Logs_reseau[[#This Row],[Cell_ID]],'[1]Registre_Maintenance_combine '!A:B,2,FALSE),"Non trouvé")</f>
        <v>Tshuapa</v>
      </c>
      <c r="B323" t="s">
        <v>82</v>
      </c>
      <c r="C323" s="3">
        <v>45207.410416666666</v>
      </c>
      <c r="D323" s="11">
        <f>Logs_reseau[[#This Row],[Duree_Panne_Min]]/1440</f>
        <v>3.6111111111111108E-2</v>
      </c>
      <c r="E323">
        <v>52</v>
      </c>
      <c r="F323" t="s">
        <v>4</v>
      </c>
      <c r="G323">
        <f>IFERROR(VLOOKUP(Logs_reseau[[#This Row],[Cell_ID]],'[1]Registre_Maintenance_combine '!A:C,3,FALSE),"Non trouvé")</f>
        <v>-10.577049000000001</v>
      </c>
      <c r="H323">
        <f>IFERROR(VLOOKUP(Logs_reseau[[#This Row],[Cell_ID]],'[1]Registre_Maintenance_combine '!A:D,4,FALSE),"Non trouvé")</f>
        <v>23.721854</v>
      </c>
      <c r="I323" t="str">
        <f>IFERROR(VLOOKUP(Logs_reseau[[#This Row],[Cell_ID]],'[1]Registre_Maintenance_combine '!A:E,5,FALSE),"Non trouvé")</f>
        <v>4G</v>
      </c>
      <c r="J323" t="str">
        <f>IFERROR(VLOOKUP(Logs_reseau[[#This Row],[Cell_ID]],'[1]Registre_Maintenance_combine '!A:F,6,FALSE),"Non trouvé")</f>
        <v>ZTE</v>
      </c>
    </row>
    <row r="324" spans="1:10" x14ac:dyDescent="0.25">
      <c r="A324" t="str">
        <f>IFERROR(VLOOKUP(Logs_reseau[[#This Row],[Cell_ID]],'[1]Registre_Maintenance_combine '!A:B,2,FALSE),"Non trouvé")</f>
        <v>Haut-Katanga</v>
      </c>
      <c r="B324" t="s">
        <v>83</v>
      </c>
      <c r="C324" s="3">
        <v>45207.362500000003</v>
      </c>
      <c r="D324" s="11">
        <f>Logs_reseau[[#This Row],[Duree_Panne_Min]]/1440</f>
        <v>5.6944444444444443E-2</v>
      </c>
      <c r="E324">
        <v>82</v>
      </c>
      <c r="F324" t="s">
        <v>1</v>
      </c>
      <c r="G324">
        <f>IFERROR(VLOOKUP(Logs_reseau[[#This Row],[Cell_ID]],'[1]Registre_Maintenance_combine '!A:C,3,FALSE),"Non trouvé")</f>
        <v>-12.776386</v>
      </c>
      <c r="H324">
        <f>IFERROR(VLOOKUP(Logs_reseau[[#This Row],[Cell_ID]],'[1]Registre_Maintenance_combine '!A:D,4,FALSE),"Non trouvé")</f>
        <v>14.157596</v>
      </c>
      <c r="I324" t="str">
        <f>IFERROR(VLOOKUP(Logs_reseau[[#This Row],[Cell_ID]],'[1]Registre_Maintenance_combine '!A:E,5,FALSE),"Non trouvé")</f>
        <v>3G</v>
      </c>
      <c r="J324" t="str">
        <f>IFERROR(VLOOKUP(Logs_reseau[[#This Row],[Cell_ID]],'[1]Registre_Maintenance_combine '!A:F,6,FALSE),"Non trouvé")</f>
        <v>Nokia</v>
      </c>
    </row>
    <row r="325" spans="1:10" x14ac:dyDescent="0.25">
      <c r="A325" t="str">
        <f>IFERROR(VLOOKUP(Logs_reseau[[#This Row],[Cell_ID]],'[1]Registre_Maintenance_combine '!A:B,2,FALSE),"Non trouvé")</f>
        <v>Haut-Katanga</v>
      </c>
      <c r="B325" t="s">
        <v>83</v>
      </c>
      <c r="C325" s="3">
        <v>45223.710416666669</v>
      </c>
      <c r="D325" s="11">
        <f>Logs_reseau[[#This Row],[Duree_Panne_Min]]/1440</f>
        <v>4.3055555555555555E-2</v>
      </c>
      <c r="E325">
        <v>62</v>
      </c>
      <c r="F325" t="s">
        <v>2</v>
      </c>
      <c r="G325">
        <f>IFERROR(VLOOKUP(Logs_reseau[[#This Row],[Cell_ID]],'[1]Registre_Maintenance_combine '!A:C,3,FALSE),"Non trouvé")</f>
        <v>-12.776386</v>
      </c>
      <c r="H325">
        <f>IFERROR(VLOOKUP(Logs_reseau[[#This Row],[Cell_ID]],'[1]Registre_Maintenance_combine '!A:D,4,FALSE),"Non trouvé")</f>
        <v>14.157596</v>
      </c>
      <c r="I325" t="str">
        <f>IFERROR(VLOOKUP(Logs_reseau[[#This Row],[Cell_ID]],'[1]Registre_Maintenance_combine '!A:E,5,FALSE),"Non trouvé")</f>
        <v>3G</v>
      </c>
      <c r="J325" t="str">
        <f>IFERROR(VLOOKUP(Logs_reseau[[#This Row],[Cell_ID]],'[1]Registre_Maintenance_combine '!A:F,6,FALSE),"Non trouvé")</f>
        <v>Nokia</v>
      </c>
    </row>
    <row r="326" spans="1:10" x14ac:dyDescent="0.25">
      <c r="A326" t="str">
        <f>IFERROR(VLOOKUP(Logs_reseau[[#This Row],[Cell_ID]],'[1]Registre_Maintenance_combine '!A:B,2,FALSE),"Non trouvé")</f>
        <v>Haut-Katanga</v>
      </c>
      <c r="B326" t="s">
        <v>83</v>
      </c>
      <c r="C326" s="3">
        <v>45209.679861111108</v>
      </c>
      <c r="D326" s="11">
        <f>Logs_reseau[[#This Row],[Duree_Panne_Min]]/1440</f>
        <v>7.1527777777777773E-2</v>
      </c>
      <c r="E326">
        <v>103</v>
      </c>
      <c r="F326" t="s">
        <v>2</v>
      </c>
      <c r="G326">
        <f>IFERROR(VLOOKUP(Logs_reseau[[#This Row],[Cell_ID]],'[1]Registre_Maintenance_combine '!A:C,3,FALSE),"Non trouvé")</f>
        <v>-12.776386</v>
      </c>
      <c r="H326">
        <f>IFERROR(VLOOKUP(Logs_reseau[[#This Row],[Cell_ID]],'[1]Registre_Maintenance_combine '!A:D,4,FALSE),"Non trouvé")</f>
        <v>14.157596</v>
      </c>
      <c r="I326" t="str">
        <f>IFERROR(VLOOKUP(Logs_reseau[[#This Row],[Cell_ID]],'[1]Registre_Maintenance_combine '!A:E,5,FALSE),"Non trouvé")</f>
        <v>3G</v>
      </c>
      <c r="J326" t="str">
        <f>IFERROR(VLOOKUP(Logs_reseau[[#This Row],[Cell_ID]],'[1]Registre_Maintenance_combine '!A:F,6,FALSE),"Non trouvé")</f>
        <v>Nokia</v>
      </c>
    </row>
    <row r="327" spans="1:10" x14ac:dyDescent="0.25">
      <c r="A327" t="str">
        <f>IFERROR(VLOOKUP(Logs_reseau[[#This Row],[Cell_ID]],'[1]Registre_Maintenance_combine '!A:B,2,FALSE),"Non trouvé")</f>
        <v>Haut-Katanga</v>
      </c>
      <c r="B327" t="s">
        <v>83</v>
      </c>
      <c r="C327" s="3">
        <v>45205.399305555555</v>
      </c>
      <c r="D327" s="11">
        <f>Logs_reseau[[#This Row],[Duree_Panne_Min]]/1440</f>
        <v>3.8194444444444448E-2</v>
      </c>
      <c r="E327">
        <v>55</v>
      </c>
      <c r="F327" t="s">
        <v>1</v>
      </c>
      <c r="G327">
        <f>IFERROR(VLOOKUP(Logs_reseau[[#This Row],[Cell_ID]],'[1]Registre_Maintenance_combine '!A:C,3,FALSE),"Non trouvé")</f>
        <v>-12.776386</v>
      </c>
      <c r="H327">
        <f>IFERROR(VLOOKUP(Logs_reseau[[#This Row],[Cell_ID]],'[1]Registre_Maintenance_combine '!A:D,4,FALSE),"Non trouvé")</f>
        <v>14.157596</v>
      </c>
      <c r="I327" t="str">
        <f>IFERROR(VLOOKUP(Logs_reseau[[#This Row],[Cell_ID]],'[1]Registre_Maintenance_combine '!A:E,5,FALSE),"Non trouvé")</f>
        <v>3G</v>
      </c>
      <c r="J327" t="str">
        <f>IFERROR(VLOOKUP(Logs_reseau[[#This Row],[Cell_ID]],'[1]Registre_Maintenance_combine '!A:F,6,FALSE),"Non trouvé")</f>
        <v>Nokia</v>
      </c>
    </row>
    <row r="328" spans="1:10" x14ac:dyDescent="0.25">
      <c r="A328" t="str">
        <f>IFERROR(VLOOKUP(Logs_reseau[[#This Row],[Cell_ID]],'[1]Registre_Maintenance_combine '!A:B,2,FALSE),"Non trouvé")</f>
        <v>Haut-Katanga</v>
      </c>
      <c r="B328" t="s">
        <v>83</v>
      </c>
      <c r="C328" s="3">
        <v>45206.201388888891</v>
      </c>
      <c r="D328" s="11">
        <f>Logs_reseau[[#This Row],[Duree_Panne_Min]]/1440</f>
        <v>5.0694444444444445E-2</v>
      </c>
      <c r="E328">
        <v>73</v>
      </c>
      <c r="F328" t="s">
        <v>1</v>
      </c>
      <c r="G328">
        <f>IFERROR(VLOOKUP(Logs_reseau[[#This Row],[Cell_ID]],'[1]Registre_Maintenance_combine '!A:C,3,FALSE),"Non trouvé")</f>
        <v>-12.776386</v>
      </c>
      <c r="H328">
        <f>IFERROR(VLOOKUP(Logs_reseau[[#This Row],[Cell_ID]],'[1]Registre_Maintenance_combine '!A:D,4,FALSE),"Non trouvé")</f>
        <v>14.157596</v>
      </c>
      <c r="I328" t="str">
        <f>IFERROR(VLOOKUP(Logs_reseau[[#This Row],[Cell_ID]],'[1]Registre_Maintenance_combine '!A:E,5,FALSE),"Non trouvé")</f>
        <v>3G</v>
      </c>
      <c r="J328" t="str">
        <f>IFERROR(VLOOKUP(Logs_reseau[[#This Row],[Cell_ID]],'[1]Registre_Maintenance_combine '!A:F,6,FALSE),"Non trouvé")</f>
        <v>Nokia</v>
      </c>
    </row>
    <row r="329" spans="1:10" x14ac:dyDescent="0.25">
      <c r="A329" t="str">
        <f>IFERROR(VLOOKUP(Logs_reseau[[#This Row],[Cell_ID]],'[1]Registre_Maintenance_combine '!A:B,2,FALSE),"Non trouvé")</f>
        <v>Haut-Katanga</v>
      </c>
      <c r="B329" t="s">
        <v>83</v>
      </c>
      <c r="C329" s="3">
        <v>45214.893750000003</v>
      </c>
      <c r="D329" s="11">
        <f>Logs_reseau[[#This Row],[Duree_Panne_Min]]/1440</f>
        <v>7.2916666666666671E-2</v>
      </c>
      <c r="E329">
        <v>105</v>
      </c>
      <c r="F329" t="s">
        <v>1</v>
      </c>
      <c r="G329">
        <f>IFERROR(VLOOKUP(Logs_reseau[[#This Row],[Cell_ID]],'[1]Registre_Maintenance_combine '!A:C,3,FALSE),"Non trouvé")</f>
        <v>-12.776386</v>
      </c>
      <c r="H329">
        <f>IFERROR(VLOOKUP(Logs_reseau[[#This Row],[Cell_ID]],'[1]Registre_Maintenance_combine '!A:D,4,FALSE),"Non trouvé")</f>
        <v>14.157596</v>
      </c>
      <c r="I329" t="str">
        <f>IFERROR(VLOOKUP(Logs_reseau[[#This Row],[Cell_ID]],'[1]Registre_Maintenance_combine '!A:E,5,FALSE),"Non trouvé")</f>
        <v>3G</v>
      </c>
      <c r="J329" t="str">
        <f>IFERROR(VLOOKUP(Logs_reseau[[#This Row],[Cell_ID]],'[1]Registre_Maintenance_combine '!A:F,6,FALSE),"Non trouvé")</f>
        <v>Nokia</v>
      </c>
    </row>
    <row r="330" spans="1:10" x14ac:dyDescent="0.25">
      <c r="A330" t="str">
        <f>IFERROR(VLOOKUP(Logs_reseau[[#This Row],[Cell_ID]],'[1]Registre_Maintenance_combine '!A:B,2,FALSE),"Non trouvé")</f>
        <v>Non trouvé</v>
      </c>
      <c r="B330" t="s">
        <v>84</v>
      </c>
      <c r="C330" s="3">
        <v>45215.55</v>
      </c>
      <c r="D330" s="11">
        <f>Logs_reseau[[#This Row],[Duree_Panne_Min]]/1440</f>
        <v>3.6111111111111108E-2</v>
      </c>
      <c r="E330">
        <v>52</v>
      </c>
      <c r="F330" t="s">
        <v>1</v>
      </c>
      <c r="G330" t="str">
        <f>IFERROR(VLOOKUP(Logs_reseau[[#This Row],[Cell_ID]],'[1]Registre_Maintenance_combine '!A:C,3,FALSE),"Non trouvé")</f>
        <v>Non trouvé</v>
      </c>
      <c r="H330" t="str">
        <f>IFERROR(VLOOKUP(Logs_reseau[[#This Row],[Cell_ID]],'[1]Registre_Maintenance_combine '!A:D,4,FALSE),"Non trouvé")</f>
        <v>Non trouvé</v>
      </c>
      <c r="I330" t="str">
        <f>IFERROR(VLOOKUP(Logs_reseau[[#This Row],[Cell_ID]],'[1]Registre_Maintenance_combine '!A:E,5,FALSE),"Non trouvé")</f>
        <v>Non trouvé</v>
      </c>
      <c r="J330" t="str">
        <f>IFERROR(VLOOKUP(Logs_reseau[[#This Row],[Cell_ID]],'[1]Registre_Maintenance_combine '!A:F,6,FALSE),"Non trouvé")</f>
        <v>Non trouvé</v>
      </c>
    </row>
    <row r="331" spans="1:10" x14ac:dyDescent="0.25">
      <c r="A331" t="str">
        <f>IFERROR(VLOOKUP(Logs_reseau[[#This Row],[Cell_ID]],'[1]Registre_Maintenance_combine '!A:B,2,FALSE),"Non trouvé")</f>
        <v>Non trouvé</v>
      </c>
      <c r="B331" t="s">
        <v>84</v>
      </c>
      <c r="C331" s="3">
        <v>45223.904861111114</v>
      </c>
      <c r="D331" s="11">
        <f>Logs_reseau[[#This Row],[Duree_Panne_Min]]/1440</f>
        <v>3.1944444444444442E-2</v>
      </c>
      <c r="E331">
        <v>46</v>
      </c>
      <c r="F331" t="s">
        <v>4</v>
      </c>
      <c r="G331" t="str">
        <f>IFERROR(VLOOKUP(Logs_reseau[[#This Row],[Cell_ID]],'[1]Registre_Maintenance_combine '!A:C,3,FALSE),"Non trouvé")</f>
        <v>Non trouvé</v>
      </c>
      <c r="H331" t="str">
        <f>IFERROR(VLOOKUP(Logs_reseau[[#This Row],[Cell_ID]],'[1]Registre_Maintenance_combine '!A:D,4,FALSE),"Non trouvé")</f>
        <v>Non trouvé</v>
      </c>
      <c r="I331" t="str">
        <f>IFERROR(VLOOKUP(Logs_reseau[[#This Row],[Cell_ID]],'[1]Registre_Maintenance_combine '!A:E,5,FALSE),"Non trouvé")</f>
        <v>Non trouvé</v>
      </c>
      <c r="J331" t="str">
        <f>IFERROR(VLOOKUP(Logs_reseau[[#This Row],[Cell_ID]],'[1]Registre_Maintenance_combine '!A:F,6,FALSE),"Non trouvé")</f>
        <v>Non trouvé</v>
      </c>
    </row>
    <row r="332" spans="1:10" x14ac:dyDescent="0.25">
      <c r="A332" t="str">
        <f>IFERROR(VLOOKUP(Logs_reseau[[#This Row],[Cell_ID]],'[1]Registre_Maintenance_combine '!A:B,2,FALSE),"Non trouvé")</f>
        <v>Kwilu</v>
      </c>
      <c r="B332" t="s">
        <v>85</v>
      </c>
      <c r="C332" s="3">
        <v>45201.574305555558</v>
      </c>
      <c r="D332" s="11">
        <f>Logs_reseau[[#This Row],[Duree_Panne_Min]]/1440</f>
        <v>3.8194444444444448E-2</v>
      </c>
      <c r="E332">
        <v>55</v>
      </c>
      <c r="F332" t="s">
        <v>1</v>
      </c>
      <c r="G332">
        <f>IFERROR(VLOOKUP(Logs_reseau[[#This Row],[Cell_ID]],'[1]Registre_Maintenance_combine '!A:C,3,FALSE),"Non trouvé")</f>
        <v>2.413557</v>
      </c>
      <c r="H332">
        <f>IFERROR(VLOOKUP(Logs_reseau[[#This Row],[Cell_ID]],'[1]Registre_Maintenance_combine '!A:D,4,FALSE),"Non trouvé")</f>
        <v>19.690681999999999</v>
      </c>
      <c r="I332" t="str">
        <f>IFERROR(VLOOKUP(Logs_reseau[[#This Row],[Cell_ID]],'[1]Registre_Maintenance_combine '!A:E,5,FALSE),"Non trouvé")</f>
        <v>4G</v>
      </c>
      <c r="J332" t="str">
        <f>IFERROR(VLOOKUP(Logs_reseau[[#This Row],[Cell_ID]],'[1]Registre_Maintenance_combine '!A:F,6,FALSE),"Non trouvé")</f>
        <v>Huawei</v>
      </c>
    </row>
    <row r="333" spans="1:10" x14ac:dyDescent="0.25">
      <c r="A333" t="str">
        <f>IFERROR(VLOOKUP(Logs_reseau[[#This Row],[Cell_ID]],'[1]Registre_Maintenance_combine '!A:B,2,FALSE),"Non trouvé")</f>
        <v>Kwilu</v>
      </c>
      <c r="B333" t="s">
        <v>85</v>
      </c>
      <c r="C333" s="3">
        <v>45222.51666666667</v>
      </c>
      <c r="D333" s="11">
        <f>Logs_reseau[[#This Row],[Duree_Panne_Min]]/1440</f>
        <v>8.0555555555555561E-2</v>
      </c>
      <c r="E333">
        <v>116</v>
      </c>
      <c r="F333" t="s">
        <v>2</v>
      </c>
      <c r="G333">
        <f>IFERROR(VLOOKUP(Logs_reseau[[#This Row],[Cell_ID]],'[1]Registre_Maintenance_combine '!A:C,3,FALSE),"Non trouvé")</f>
        <v>2.413557</v>
      </c>
      <c r="H333">
        <f>IFERROR(VLOOKUP(Logs_reseau[[#This Row],[Cell_ID]],'[1]Registre_Maintenance_combine '!A:D,4,FALSE),"Non trouvé")</f>
        <v>19.690681999999999</v>
      </c>
      <c r="I333" t="str">
        <f>IFERROR(VLOOKUP(Logs_reseau[[#This Row],[Cell_ID]],'[1]Registre_Maintenance_combine '!A:E,5,FALSE),"Non trouvé")</f>
        <v>4G</v>
      </c>
      <c r="J333" t="str">
        <f>IFERROR(VLOOKUP(Logs_reseau[[#This Row],[Cell_ID]],'[1]Registre_Maintenance_combine '!A:F,6,FALSE),"Non trouvé")</f>
        <v>Huawei</v>
      </c>
    </row>
    <row r="334" spans="1:10" x14ac:dyDescent="0.25">
      <c r="A334" t="str">
        <f>IFERROR(VLOOKUP(Logs_reseau[[#This Row],[Cell_ID]],'[1]Registre_Maintenance_combine '!A:B,2,FALSE),"Non trouvé")</f>
        <v>Kwilu</v>
      </c>
      <c r="B334" t="s">
        <v>85</v>
      </c>
      <c r="C334" s="3">
        <v>45224.329861111109</v>
      </c>
      <c r="D334" s="11">
        <f>Logs_reseau[[#This Row],[Duree_Panne_Min]]/1440</f>
        <v>6.3888888888888884E-2</v>
      </c>
      <c r="E334">
        <v>92</v>
      </c>
      <c r="F334" t="s">
        <v>2</v>
      </c>
      <c r="G334">
        <f>IFERROR(VLOOKUP(Logs_reseau[[#This Row],[Cell_ID]],'[1]Registre_Maintenance_combine '!A:C,3,FALSE),"Non trouvé")</f>
        <v>2.413557</v>
      </c>
      <c r="H334">
        <f>IFERROR(VLOOKUP(Logs_reseau[[#This Row],[Cell_ID]],'[1]Registre_Maintenance_combine '!A:D,4,FALSE),"Non trouvé")</f>
        <v>19.690681999999999</v>
      </c>
      <c r="I334" t="str">
        <f>IFERROR(VLOOKUP(Logs_reseau[[#This Row],[Cell_ID]],'[1]Registre_Maintenance_combine '!A:E,5,FALSE),"Non trouvé")</f>
        <v>4G</v>
      </c>
      <c r="J334" t="str">
        <f>IFERROR(VLOOKUP(Logs_reseau[[#This Row],[Cell_ID]],'[1]Registre_Maintenance_combine '!A:F,6,FALSE),"Non trouvé")</f>
        <v>Huawei</v>
      </c>
    </row>
    <row r="335" spans="1:10" x14ac:dyDescent="0.25">
      <c r="A335" t="str">
        <f>IFERROR(VLOOKUP(Logs_reseau[[#This Row],[Cell_ID]],'[1]Registre_Maintenance_combine '!A:B,2,FALSE),"Non trouvé")</f>
        <v>Kwilu</v>
      </c>
      <c r="B335" t="s">
        <v>85</v>
      </c>
      <c r="C335" s="3">
        <v>45201.480555555558</v>
      </c>
      <c r="D335" s="11">
        <f>Logs_reseau[[#This Row],[Duree_Panne_Min]]/1440</f>
        <v>7.6388888888888895E-2</v>
      </c>
      <c r="E335">
        <v>110</v>
      </c>
      <c r="F335" t="s">
        <v>2</v>
      </c>
      <c r="G335">
        <f>IFERROR(VLOOKUP(Logs_reseau[[#This Row],[Cell_ID]],'[1]Registre_Maintenance_combine '!A:C,3,FALSE),"Non trouvé")</f>
        <v>2.413557</v>
      </c>
      <c r="H335">
        <f>IFERROR(VLOOKUP(Logs_reseau[[#This Row],[Cell_ID]],'[1]Registre_Maintenance_combine '!A:D,4,FALSE),"Non trouvé")</f>
        <v>19.690681999999999</v>
      </c>
      <c r="I335" t="str">
        <f>IFERROR(VLOOKUP(Logs_reseau[[#This Row],[Cell_ID]],'[1]Registre_Maintenance_combine '!A:E,5,FALSE),"Non trouvé")</f>
        <v>4G</v>
      </c>
      <c r="J335" t="str">
        <f>IFERROR(VLOOKUP(Logs_reseau[[#This Row],[Cell_ID]],'[1]Registre_Maintenance_combine '!A:F,6,FALSE),"Non trouvé")</f>
        <v>Huawei</v>
      </c>
    </row>
    <row r="336" spans="1:10" x14ac:dyDescent="0.25">
      <c r="A336" t="str">
        <f>IFERROR(VLOOKUP(Logs_reseau[[#This Row],[Cell_ID]],'[1]Registre_Maintenance_combine '!A:B,2,FALSE),"Non trouvé")</f>
        <v>Non trouvé</v>
      </c>
      <c r="B336" t="s">
        <v>86</v>
      </c>
      <c r="C336" s="3">
        <v>45221.72152777778</v>
      </c>
      <c r="D336" s="11">
        <f>Logs_reseau[[#This Row],[Duree_Panne_Min]]/1440</f>
        <v>8.2638888888888887E-2</v>
      </c>
      <c r="E336">
        <v>119</v>
      </c>
      <c r="F336" t="s">
        <v>1</v>
      </c>
      <c r="G336" t="str">
        <f>IFERROR(VLOOKUP(Logs_reseau[[#This Row],[Cell_ID]],'[1]Registre_Maintenance_combine '!A:C,3,FALSE),"Non trouvé")</f>
        <v>Non trouvé</v>
      </c>
      <c r="H336" t="str">
        <f>IFERROR(VLOOKUP(Logs_reseau[[#This Row],[Cell_ID]],'[1]Registre_Maintenance_combine '!A:D,4,FALSE),"Non trouvé")</f>
        <v>Non trouvé</v>
      </c>
      <c r="I336" t="str">
        <f>IFERROR(VLOOKUP(Logs_reseau[[#This Row],[Cell_ID]],'[1]Registre_Maintenance_combine '!A:E,5,FALSE),"Non trouvé")</f>
        <v>Non trouvé</v>
      </c>
      <c r="J336" t="str">
        <f>IFERROR(VLOOKUP(Logs_reseau[[#This Row],[Cell_ID]],'[1]Registre_Maintenance_combine '!A:F,6,FALSE),"Non trouvé")</f>
        <v>Non trouvé</v>
      </c>
    </row>
    <row r="337" spans="1:10" x14ac:dyDescent="0.25">
      <c r="A337" t="str">
        <f>IFERROR(VLOOKUP(Logs_reseau[[#This Row],[Cell_ID]],'[1]Registre_Maintenance_combine '!A:B,2,FALSE),"Non trouvé")</f>
        <v>Non trouvé</v>
      </c>
      <c r="B337" t="s">
        <v>86</v>
      </c>
      <c r="C337" s="3">
        <v>45206.167361111111</v>
      </c>
      <c r="D337" s="11">
        <f>Logs_reseau[[#This Row],[Duree_Panne_Min]]/1440</f>
        <v>7.8472222222222221E-2</v>
      </c>
      <c r="E337">
        <v>113</v>
      </c>
      <c r="F337" t="s">
        <v>4</v>
      </c>
      <c r="G337" t="str">
        <f>IFERROR(VLOOKUP(Logs_reseau[[#This Row],[Cell_ID]],'[1]Registre_Maintenance_combine '!A:C,3,FALSE),"Non trouvé")</f>
        <v>Non trouvé</v>
      </c>
      <c r="H337" t="str">
        <f>IFERROR(VLOOKUP(Logs_reseau[[#This Row],[Cell_ID]],'[1]Registre_Maintenance_combine '!A:D,4,FALSE),"Non trouvé")</f>
        <v>Non trouvé</v>
      </c>
      <c r="I337" t="str">
        <f>IFERROR(VLOOKUP(Logs_reseau[[#This Row],[Cell_ID]],'[1]Registre_Maintenance_combine '!A:E,5,FALSE),"Non trouvé")</f>
        <v>Non trouvé</v>
      </c>
      <c r="J337" t="str">
        <f>IFERROR(VLOOKUP(Logs_reseau[[#This Row],[Cell_ID]],'[1]Registre_Maintenance_combine '!A:F,6,FALSE),"Non trouvé")</f>
        <v>Non trouvé</v>
      </c>
    </row>
    <row r="338" spans="1:10" x14ac:dyDescent="0.25">
      <c r="A338" t="str">
        <f>IFERROR(VLOOKUP(Logs_reseau[[#This Row],[Cell_ID]],'[1]Registre_Maintenance_combine '!A:B,2,FALSE),"Non trouvé")</f>
        <v>Non trouvé</v>
      </c>
      <c r="B338" t="s">
        <v>86</v>
      </c>
      <c r="C338" s="3">
        <v>45213.982638888891</v>
      </c>
      <c r="D338" s="11">
        <f>Logs_reseau[[#This Row],[Duree_Panne_Min]]/1440</f>
        <v>4.7222222222222221E-2</v>
      </c>
      <c r="E338">
        <v>68</v>
      </c>
      <c r="F338" t="s">
        <v>1</v>
      </c>
      <c r="G338" t="str">
        <f>IFERROR(VLOOKUP(Logs_reseau[[#This Row],[Cell_ID]],'[1]Registre_Maintenance_combine '!A:C,3,FALSE),"Non trouvé")</f>
        <v>Non trouvé</v>
      </c>
      <c r="H338" t="str">
        <f>IFERROR(VLOOKUP(Logs_reseau[[#This Row],[Cell_ID]],'[1]Registre_Maintenance_combine '!A:D,4,FALSE),"Non trouvé")</f>
        <v>Non trouvé</v>
      </c>
      <c r="I338" t="str">
        <f>IFERROR(VLOOKUP(Logs_reseau[[#This Row],[Cell_ID]],'[1]Registre_Maintenance_combine '!A:E,5,FALSE),"Non trouvé")</f>
        <v>Non trouvé</v>
      </c>
      <c r="J338" t="str">
        <f>IFERROR(VLOOKUP(Logs_reseau[[#This Row],[Cell_ID]],'[1]Registre_Maintenance_combine '!A:F,6,FALSE),"Non trouvé")</f>
        <v>Non trouvé</v>
      </c>
    </row>
    <row r="339" spans="1:10" x14ac:dyDescent="0.25">
      <c r="A339" t="str">
        <f>IFERROR(VLOOKUP(Logs_reseau[[#This Row],[Cell_ID]],'[1]Registre_Maintenance_combine '!A:B,2,FALSE),"Non trouvé")</f>
        <v>Non trouvé</v>
      </c>
      <c r="B339" t="s">
        <v>86</v>
      </c>
      <c r="C339" s="3">
        <v>45206.362500000003</v>
      </c>
      <c r="D339" s="11">
        <f>Logs_reseau[[#This Row],[Duree_Panne_Min]]/1440</f>
        <v>6.9444444444444441E-3</v>
      </c>
      <c r="E339">
        <v>10</v>
      </c>
      <c r="F339" t="s">
        <v>1</v>
      </c>
      <c r="G339" t="str">
        <f>IFERROR(VLOOKUP(Logs_reseau[[#This Row],[Cell_ID]],'[1]Registre_Maintenance_combine '!A:C,3,FALSE),"Non trouvé")</f>
        <v>Non trouvé</v>
      </c>
      <c r="H339" t="str">
        <f>IFERROR(VLOOKUP(Logs_reseau[[#This Row],[Cell_ID]],'[1]Registre_Maintenance_combine '!A:D,4,FALSE),"Non trouvé")</f>
        <v>Non trouvé</v>
      </c>
      <c r="I339" t="str">
        <f>IFERROR(VLOOKUP(Logs_reseau[[#This Row],[Cell_ID]],'[1]Registre_Maintenance_combine '!A:E,5,FALSE),"Non trouvé")</f>
        <v>Non trouvé</v>
      </c>
      <c r="J339" t="str">
        <f>IFERROR(VLOOKUP(Logs_reseau[[#This Row],[Cell_ID]],'[1]Registre_Maintenance_combine '!A:F,6,FALSE),"Non trouvé")</f>
        <v>Non trouvé</v>
      </c>
    </row>
    <row r="340" spans="1:10" x14ac:dyDescent="0.25">
      <c r="A340" t="str">
        <f>IFERROR(VLOOKUP(Logs_reseau[[#This Row],[Cell_ID]],'[1]Registre_Maintenance_combine '!A:B,2,FALSE),"Non trouvé")</f>
        <v>Non trouvé</v>
      </c>
      <c r="B340" t="s">
        <v>86</v>
      </c>
      <c r="C340" s="3">
        <v>45227.90902777778</v>
      </c>
      <c r="D340" s="11">
        <f>Logs_reseau[[#This Row],[Duree_Panne_Min]]/1440</f>
        <v>6.8750000000000006E-2</v>
      </c>
      <c r="E340">
        <v>99</v>
      </c>
      <c r="F340" t="s">
        <v>1</v>
      </c>
      <c r="G340" t="str">
        <f>IFERROR(VLOOKUP(Logs_reseau[[#This Row],[Cell_ID]],'[1]Registre_Maintenance_combine '!A:C,3,FALSE),"Non trouvé")</f>
        <v>Non trouvé</v>
      </c>
      <c r="H340" t="str">
        <f>IFERROR(VLOOKUP(Logs_reseau[[#This Row],[Cell_ID]],'[1]Registre_Maintenance_combine '!A:D,4,FALSE),"Non trouvé")</f>
        <v>Non trouvé</v>
      </c>
      <c r="I340" t="str">
        <f>IFERROR(VLOOKUP(Logs_reseau[[#This Row],[Cell_ID]],'[1]Registre_Maintenance_combine '!A:E,5,FALSE),"Non trouvé")</f>
        <v>Non trouvé</v>
      </c>
      <c r="J340" t="str">
        <f>IFERROR(VLOOKUP(Logs_reseau[[#This Row],[Cell_ID]],'[1]Registre_Maintenance_combine '!A:F,6,FALSE),"Non trouvé")</f>
        <v>Non trouvé</v>
      </c>
    </row>
    <row r="341" spans="1:10" x14ac:dyDescent="0.25">
      <c r="A341" t="str">
        <f>IFERROR(VLOOKUP(Logs_reseau[[#This Row],[Cell_ID]],'[1]Registre_Maintenance_combine '!A:B,2,FALSE),"Non trouvé")</f>
        <v>Non trouvé</v>
      </c>
      <c r="B341" t="s">
        <v>86</v>
      </c>
      <c r="C341" s="3">
        <v>45214.693055555559</v>
      </c>
      <c r="D341" s="11">
        <f>Logs_reseau[[#This Row],[Duree_Panne_Min]]/1440</f>
        <v>0.05</v>
      </c>
      <c r="E341">
        <v>72</v>
      </c>
      <c r="F341" t="s">
        <v>1</v>
      </c>
      <c r="G341" t="str">
        <f>IFERROR(VLOOKUP(Logs_reseau[[#This Row],[Cell_ID]],'[1]Registre_Maintenance_combine '!A:C,3,FALSE),"Non trouvé")</f>
        <v>Non trouvé</v>
      </c>
      <c r="H341" t="str">
        <f>IFERROR(VLOOKUP(Logs_reseau[[#This Row],[Cell_ID]],'[1]Registre_Maintenance_combine '!A:D,4,FALSE),"Non trouvé")</f>
        <v>Non trouvé</v>
      </c>
      <c r="I341" t="str">
        <f>IFERROR(VLOOKUP(Logs_reseau[[#This Row],[Cell_ID]],'[1]Registre_Maintenance_combine '!A:E,5,FALSE),"Non trouvé")</f>
        <v>Non trouvé</v>
      </c>
      <c r="J341" t="str">
        <f>IFERROR(VLOOKUP(Logs_reseau[[#This Row],[Cell_ID]],'[1]Registre_Maintenance_combine '!A:F,6,FALSE),"Non trouvé")</f>
        <v>Non trouvé</v>
      </c>
    </row>
    <row r="342" spans="1:10" x14ac:dyDescent="0.25">
      <c r="A342" t="str">
        <f>IFERROR(VLOOKUP(Logs_reseau[[#This Row],[Cell_ID]],'[1]Registre_Maintenance_combine '!A:B,2,FALSE),"Non trouvé")</f>
        <v>Non trouvé</v>
      </c>
      <c r="B342" t="s">
        <v>86</v>
      </c>
      <c r="C342" s="3">
        <v>45212.959722222222</v>
      </c>
      <c r="D342" s="11">
        <f>Logs_reseau[[#This Row],[Duree_Panne_Min]]/1440</f>
        <v>0.05</v>
      </c>
      <c r="E342">
        <v>72</v>
      </c>
      <c r="F342" t="s">
        <v>1</v>
      </c>
      <c r="G342" t="str">
        <f>IFERROR(VLOOKUP(Logs_reseau[[#This Row],[Cell_ID]],'[1]Registre_Maintenance_combine '!A:C,3,FALSE),"Non trouvé")</f>
        <v>Non trouvé</v>
      </c>
      <c r="H342" t="str">
        <f>IFERROR(VLOOKUP(Logs_reseau[[#This Row],[Cell_ID]],'[1]Registre_Maintenance_combine '!A:D,4,FALSE),"Non trouvé")</f>
        <v>Non trouvé</v>
      </c>
      <c r="I342" t="str">
        <f>IFERROR(VLOOKUP(Logs_reseau[[#This Row],[Cell_ID]],'[1]Registre_Maintenance_combine '!A:E,5,FALSE),"Non trouvé")</f>
        <v>Non trouvé</v>
      </c>
      <c r="J342" t="str">
        <f>IFERROR(VLOOKUP(Logs_reseau[[#This Row],[Cell_ID]],'[1]Registre_Maintenance_combine '!A:F,6,FALSE),"Non trouvé")</f>
        <v>Non trouvé</v>
      </c>
    </row>
    <row r="343" spans="1:10" x14ac:dyDescent="0.25">
      <c r="A343" t="str">
        <f>IFERROR(VLOOKUP(Logs_reseau[[#This Row],[Cell_ID]],'[1]Registre_Maintenance_combine '!A:B,2,FALSE),"Non trouvé")</f>
        <v>Sud-Kivu</v>
      </c>
      <c r="B343" t="s">
        <v>87</v>
      </c>
      <c r="C343" s="3">
        <v>45223.207638888889</v>
      </c>
      <c r="D343" s="11">
        <f>Logs_reseau[[#This Row],[Duree_Panne_Min]]/1440</f>
        <v>7.4305555555555555E-2</v>
      </c>
      <c r="E343">
        <v>107</v>
      </c>
      <c r="F343" t="s">
        <v>2</v>
      </c>
      <c r="G343">
        <f>IFERROR(VLOOKUP(Logs_reseau[[#This Row],[Cell_ID]],'[1]Registre_Maintenance_combine '!A:C,3,FALSE),"Non trouvé")</f>
        <v>4.2904629999999999</v>
      </c>
      <c r="H343">
        <f>IFERROR(VLOOKUP(Logs_reseau[[#This Row],[Cell_ID]],'[1]Registre_Maintenance_combine '!A:D,4,FALSE),"Non trouvé")</f>
        <v>26.354195000000001</v>
      </c>
      <c r="I343" t="str">
        <f>IFERROR(VLOOKUP(Logs_reseau[[#This Row],[Cell_ID]],'[1]Registre_Maintenance_combine '!A:E,5,FALSE),"Non trouvé")</f>
        <v>3G</v>
      </c>
      <c r="J343" t="str">
        <f>IFERROR(VLOOKUP(Logs_reseau[[#This Row],[Cell_ID]],'[1]Registre_Maintenance_combine '!A:F,6,FALSE),"Non trouvé")</f>
        <v>Ericsson</v>
      </c>
    </row>
    <row r="344" spans="1:10" x14ac:dyDescent="0.25">
      <c r="A344" t="str">
        <f>IFERROR(VLOOKUP(Logs_reseau[[#This Row],[Cell_ID]],'[1]Registre_Maintenance_combine '!A:B,2,FALSE),"Non trouvé")</f>
        <v>Sud-Kivu</v>
      </c>
      <c r="B344" t="s">
        <v>87</v>
      </c>
      <c r="C344" s="3">
        <v>45222.375694444447</v>
      </c>
      <c r="D344" s="11">
        <f>Logs_reseau[[#This Row],[Duree_Panne_Min]]/1440</f>
        <v>4.5138888888888888E-2</v>
      </c>
      <c r="E344">
        <v>65</v>
      </c>
      <c r="F344" t="s">
        <v>4</v>
      </c>
      <c r="G344">
        <f>IFERROR(VLOOKUP(Logs_reseau[[#This Row],[Cell_ID]],'[1]Registre_Maintenance_combine '!A:C,3,FALSE),"Non trouvé")</f>
        <v>4.2904629999999999</v>
      </c>
      <c r="H344">
        <f>IFERROR(VLOOKUP(Logs_reseau[[#This Row],[Cell_ID]],'[1]Registre_Maintenance_combine '!A:D,4,FALSE),"Non trouvé")</f>
        <v>26.354195000000001</v>
      </c>
      <c r="I344" t="str">
        <f>IFERROR(VLOOKUP(Logs_reseau[[#This Row],[Cell_ID]],'[1]Registre_Maintenance_combine '!A:E,5,FALSE),"Non trouvé")</f>
        <v>3G</v>
      </c>
      <c r="J344" t="str">
        <f>IFERROR(VLOOKUP(Logs_reseau[[#This Row],[Cell_ID]],'[1]Registre_Maintenance_combine '!A:F,6,FALSE),"Non trouvé")</f>
        <v>Ericsson</v>
      </c>
    </row>
    <row r="345" spans="1:10" x14ac:dyDescent="0.25">
      <c r="A345" t="str">
        <f>IFERROR(VLOOKUP(Logs_reseau[[#This Row],[Cell_ID]],'[1]Registre_Maintenance_combine '!A:B,2,FALSE),"Non trouvé")</f>
        <v>Sud-Kivu</v>
      </c>
      <c r="B345" t="s">
        <v>87</v>
      </c>
      <c r="C345" s="3">
        <v>45219.979861111111</v>
      </c>
      <c r="D345" s="11">
        <f>Logs_reseau[[#This Row],[Duree_Panne_Min]]/1440</f>
        <v>8.3333333333333332E-3</v>
      </c>
      <c r="E345">
        <v>12</v>
      </c>
      <c r="F345" t="s">
        <v>4</v>
      </c>
      <c r="G345">
        <f>IFERROR(VLOOKUP(Logs_reseau[[#This Row],[Cell_ID]],'[1]Registre_Maintenance_combine '!A:C,3,FALSE),"Non trouvé")</f>
        <v>4.2904629999999999</v>
      </c>
      <c r="H345">
        <f>IFERROR(VLOOKUP(Logs_reseau[[#This Row],[Cell_ID]],'[1]Registre_Maintenance_combine '!A:D,4,FALSE),"Non trouvé")</f>
        <v>26.354195000000001</v>
      </c>
      <c r="I345" t="str">
        <f>IFERROR(VLOOKUP(Logs_reseau[[#This Row],[Cell_ID]],'[1]Registre_Maintenance_combine '!A:E,5,FALSE),"Non trouvé")</f>
        <v>3G</v>
      </c>
      <c r="J345" t="str">
        <f>IFERROR(VLOOKUP(Logs_reseau[[#This Row],[Cell_ID]],'[1]Registre_Maintenance_combine '!A:F,6,FALSE),"Non trouvé")</f>
        <v>Ericsson</v>
      </c>
    </row>
    <row r="346" spans="1:10" x14ac:dyDescent="0.25">
      <c r="A346" t="str">
        <f>IFERROR(VLOOKUP(Logs_reseau[[#This Row],[Cell_ID]],'[1]Registre_Maintenance_combine '!A:B,2,FALSE),"Non trouvé")</f>
        <v>Non trouvé</v>
      </c>
      <c r="B346" t="s">
        <v>88</v>
      </c>
      <c r="C346" s="3">
        <v>45213.299305555556</v>
      </c>
      <c r="D346" s="11">
        <f>Logs_reseau[[#This Row],[Duree_Panne_Min]]/1440</f>
        <v>2.9861111111111113E-2</v>
      </c>
      <c r="E346">
        <v>43</v>
      </c>
      <c r="F346" t="s">
        <v>4</v>
      </c>
      <c r="G346" t="str">
        <f>IFERROR(VLOOKUP(Logs_reseau[[#This Row],[Cell_ID]],'[1]Registre_Maintenance_combine '!A:C,3,FALSE),"Non trouvé")</f>
        <v>Non trouvé</v>
      </c>
      <c r="H346" t="str">
        <f>IFERROR(VLOOKUP(Logs_reseau[[#This Row],[Cell_ID]],'[1]Registre_Maintenance_combine '!A:D,4,FALSE),"Non trouvé")</f>
        <v>Non trouvé</v>
      </c>
      <c r="I346" t="str">
        <f>IFERROR(VLOOKUP(Logs_reseau[[#This Row],[Cell_ID]],'[1]Registre_Maintenance_combine '!A:E,5,FALSE),"Non trouvé")</f>
        <v>Non trouvé</v>
      </c>
      <c r="J346" t="str">
        <f>IFERROR(VLOOKUP(Logs_reseau[[#This Row],[Cell_ID]],'[1]Registre_Maintenance_combine '!A:F,6,FALSE),"Non trouvé")</f>
        <v>Non trouvé</v>
      </c>
    </row>
    <row r="347" spans="1:10" x14ac:dyDescent="0.25">
      <c r="A347" t="str">
        <f>IFERROR(VLOOKUP(Logs_reseau[[#This Row],[Cell_ID]],'[1]Registre_Maintenance_combine '!A:B,2,FALSE),"Non trouvé")</f>
        <v>Lualaba</v>
      </c>
      <c r="B347" t="s">
        <v>89</v>
      </c>
      <c r="C347" s="3">
        <v>45209.824305555558</v>
      </c>
      <c r="D347" s="11">
        <f>Logs_reseau[[#This Row],[Duree_Panne_Min]]/1440</f>
        <v>7.6388888888888895E-2</v>
      </c>
      <c r="E347">
        <v>110</v>
      </c>
      <c r="F347" t="s">
        <v>2</v>
      </c>
      <c r="G347">
        <f>IFERROR(VLOOKUP(Logs_reseau[[#This Row],[Cell_ID]],'[1]Registre_Maintenance_combine '!A:C,3,FALSE),"Non trouvé")</f>
        <v>-9.7803979999999999</v>
      </c>
      <c r="H347">
        <f>IFERROR(VLOOKUP(Logs_reseau[[#This Row],[Cell_ID]],'[1]Registre_Maintenance_combine '!A:D,4,FALSE),"Non trouvé")</f>
        <v>17.686595000000001</v>
      </c>
      <c r="I347" t="str">
        <f>IFERROR(VLOOKUP(Logs_reseau[[#This Row],[Cell_ID]],'[1]Registre_Maintenance_combine '!A:E,5,FALSE),"Non trouvé")</f>
        <v>4G</v>
      </c>
      <c r="J347" t="str">
        <f>IFERROR(VLOOKUP(Logs_reseau[[#This Row],[Cell_ID]],'[1]Registre_Maintenance_combine '!A:F,6,FALSE),"Non trouvé")</f>
        <v>Ericsson</v>
      </c>
    </row>
    <row r="348" spans="1:10" x14ac:dyDescent="0.25">
      <c r="A348" t="str">
        <f>IFERROR(VLOOKUP(Logs_reseau[[#This Row],[Cell_ID]],'[1]Registre_Maintenance_combine '!A:B,2,FALSE),"Non trouvé")</f>
        <v>Lualaba</v>
      </c>
      <c r="B348" t="s">
        <v>89</v>
      </c>
      <c r="C348" s="3">
        <v>45205.191666666666</v>
      </c>
      <c r="D348" s="11">
        <f>Logs_reseau[[#This Row],[Duree_Panne_Min]]/1440</f>
        <v>6.8750000000000006E-2</v>
      </c>
      <c r="E348">
        <v>99</v>
      </c>
      <c r="F348" t="s">
        <v>4</v>
      </c>
      <c r="G348">
        <f>IFERROR(VLOOKUP(Logs_reseau[[#This Row],[Cell_ID]],'[1]Registre_Maintenance_combine '!A:C,3,FALSE),"Non trouvé")</f>
        <v>-9.7803979999999999</v>
      </c>
      <c r="H348">
        <f>IFERROR(VLOOKUP(Logs_reseau[[#This Row],[Cell_ID]],'[1]Registre_Maintenance_combine '!A:D,4,FALSE),"Non trouvé")</f>
        <v>17.686595000000001</v>
      </c>
      <c r="I348" t="str">
        <f>IFERROR(VLOOKUP(Logs_reseau[[#This Row],[Cell_ID]],'[1]Registre_Maintenance_combine '!A:E,5,FALSE),"Non trouvé")</f>
        <v>4G</v>
      </c>
      <c r="J348" t="str">
        <f>IFERROR(VLOOKUP(Logs_reseau[[#This Row],[Cell_ID]],'[1]Registre_Maintenance_combine '!A:F,6,FALSE),"Non trouvé")</f>
        <v>Ericsson</v>
      </c>
    </row>
    <row r="349" spans="1:10" x14ac:dyDescent="0.25">
      <c r="A349" t="str">
        <f>IFERROR(VLOOKUP(Logs_reseau[[#This Row],[Cell_ID]],'[1]Registre_Maintenance_combine '!A:B,2,FALSE),"Non trouvé")</f>
        <v>Lualaba</v>
      </c>
      <c r="B349" t="s">
        <v>89</v>
      </c>
      <c r="C349" s="3">
        <v>45221.376388888886</v>
      </c>
      <c r="D349" s="11">
        <f>Logs_reseau[[#This Row],[Duree_Panne_Min]]/1440</f>
        <v>6.2500000000000003E-3</v>
      </c>
      <c r="E349">
        <v>9</v>
      </c>
      <c r="F349" t="s">
        <v>4</v>
      </c>
      <c r="G349">
        <f>IFERROR(VLOOKUP(Logs_reseau[[#This Row],[Cell_ID]],'[1]Registre_Maintenance_combine '!A:C,3,FALSE),"Non trouvé")</f>
        <v>-9.7803979999999999</v>
      </c>
      <c r="H349">
        <f>IFERROR(VLOOKUP(Logs_reseau[[#This Row],[Cell_ID]],'[1]Registre_Maintenance_combine '!A:D,4,FALSE),"Non trouvé")</f>
        <v>17.686595000000001</v>
      </c>
      <c r="I349" t="str">
        <f>IFERROR(VLOOKUP(Logs_reseau[[#This Row],[Cell_ID]],'[1]Registre_Maintenance_combine '!A:E,5,FALSE),"Non trouvé")</f>
        <v>4G</v>
      </c>
      <c r="J349" t="str">
        <f>IFERROR(VLOOKUP(Logs_reseau[[#This Row],[Cell_ID]],'[1]Registre_Maintenance_combine '!A:F,6,FALSE),"Non trouvé")</f>
        <v>Ericsson</v>
      </c>
    </row>
    <row r="350" spans="1:10" x14ac:dyDescent="0.25">
      <c r="A350" t="str">
        <f>IFERROR(VLOOKUP(Logs_reseau[[#This Row],[Cell_ID]],'[1]Registre_Maintenance_combine '!A:B,2,FALSE),"Non trouvé")</f>
        <v>Non trouvé</v>
      </c>
      <c r="B350" t="s">
        <v>90</v>
      </c>
      <c r="C350" s="3">
        <v>45200.716666666667</v>
      </c>
      <c r="D350" s="11">
        <f>Logs_reseau[[#This Row],[Duree_Panne_Min]]/1440</f>
        <v>2.8472222222222222E-2</v>
      </c>
      <c r="E350">
        <v>41</v>
      </c>
      <c r="F350" t="s">
        <v>2</v>
      </c>
      <c r="G350" t="str">
        <f>IFERROR(VLOOKUP(Logs_reseau[[#This Row],[Cell_ID]],'[1]Registre_Maintenance_combine '!A:C,3,FALSE),"Non trouvé")</f>
        <v>Non trouvé</v>
      </c>
      <c r="H350" t="str">
        <f>IFERROR(VLOOKUP(Logs_reseau[[#This Row],[Cell_ID]],'[1]Registre_Maintenance_combine '!A:D,4,FALSE),"Non trouvé")</f>
        <v>Non trouvé</v>
      </c>
      <c r="I350" t="str">
        <f>IFERROR(VLOOKUP(Logs_reseau[[#This Row],[Cell_ID]],'[1]Registre_Maintenance_combine '!A:E,5,FALSE),"Non trouvé")</f>
        <v>Non trouvé</v>
      </c>
      <c r="J350" t="str">
        <f>IFERROR(VLOOKUP(Logs_reseau[[#This Row],[Cell_ID]],'[1]Registre_Maintenance_combine '!A:F,6,FALSE),"Non trouvé")</f>
        <v>Non trouvé</v>
      </c>
    </row>
    <row r="351" spans="1:10" x14ac:dyDescent="0.25">
      <c r="A351" t="str">
        <f>IFERROR(VLOOKUP(Logs_reseau[[#This Row],[Cell_ID]],'[1]Registre_Maintenance_combine '!A:B,2,FALSE),"Non trouvé")</f>
        <v>Non trouvé</v>
      </c>
      <c r="B351" t="s">
        <v>90</v>
      </c>
      <c r="C351" s="3">
        <v>45208.746527777781</v>
      </c>
      <c r="D351" s="11">
        <f>Logs_reseau[[#This Row],[Duree_Panne_Min]]/1440</f>
        <v>4.2361111111111113E-2</v>
      </c>
      <c r="E351">
        <v>61</v>
      </c>
      <c r="F351" t="s">
        <v>1</v>
      </c>
      <c r="G351" t="str">
        <f>IFERROR(VLOOKUP(Logs_reseau[[#This Row],[Cell_ID]],'[1]Registre_Maintenance_combine '!A:C,3,FALSE),"Non trouvé")</f>
        <v>Non trouvé</v>
      </c>
      <c r="H351" t="str">
        <f>IFERROR(VLOOKUP(Logs_reseau[[#This Row],[Cell_ID]],'[1]Registre_Maintenance_combine '!A:D,4,FALSE),"Non trouvé")</f>
        <v>Non trouvé</v>
      </c>
      <c r="I351" t="str">
        <f>IFERROR(VLOOKUP(Logs_reseau[[#This Row],[Cell_ID]],'[1]Registre_Maintenance_combine '!A:E,5,FALSE),"Non trouvé")</f>
        <v>Non trouvé</v>
      </c>
      <c r="J351" t="str">
        <f>IFERROR(VLOOKUP(Logs_reseau[[#This Row],[Cell_ID]],'[1]Registre_Maintenance_combine '!A:F,6,FALSE),"Non trouvé")</f>
        <v>Non trouvé</v>
      </c>
    </row>
    <row r="352" spans="1:10" x14ac:dyDescent="0.25">
      <c r="A352" t="str">
        <f>IFERROR(VLOOKUP(Logs_reseau[[#This Row],[Cell_ID]],'[1]Registre_Maintenance_combine '!A:B,2,FALSE),"Non trouvé")</f>
        <v>Non trouvé</v>
      </c>
      <c r="B352" t="s">
        <v>90</v>
      </c>
      <c r="C352" s="3">
        <v>45213.948611111111</v>
      </c>
      <c r="D352" s="11">
        <f>Logs_reseau[[#This Row],[Duree_Panne_Min]]/1440</f>
        <v>1.3888888888888888E-2</v>
      </c>
      <c r="E352">
        <v>20</v>
      </c>
      <c r="F352" t="s">
        <v>1</v>
      </c>
      <c r="G352" t="str">
        <f>IFERROR(VLOOKUP(Logs_reseau[[#This Row],[Cell_ID]],'[1]Registre_Maintenance_combine '!A:C,3,FALSE),"Non trouvé")</f>
        <v>Non trouvé</v>
      </c>
      <c r="H352" t="str">
        <f>IFERROR(VLOOKUP(Logs_reseau[[#This Row],[Cell_ID]],'[1]Registre_Maintenance_combine '!A:D,4,FALSE),"Non trouvé")</f>
        <v>Non trouvé</v>
      </c>
      <c r="I352" t="str">
        <f>IFERROR(VLOOKUP(Logs_reseau[[#This Row],[Cell_ID]],'[1]Registre_Maintenance_combine '!A:E,5,FALSE),"Non trouvé")</f>
        <v>Non trouvé</v>
      </c>
      <c r="J352" t="str">
        <f>IFERROR(VLOOKUP(Logs_reseau[[#This Row],[Cell_ID]],'[1]Registre_Maintenance_combine '!A:F,6,FALSE),"Non trouvé")</f>
        <v>Non trouvé</v>
      </c>
    </row>
    <row r="353" spans="1:10" x14ac:dyDescent="0.25">
      <c r="A353" t="str">
        <f>IFERROR(VLOOKUP(Logs_reseau[[#This Row],[Cell_ID]],'[1]Registre_Maintenance_combine '!A:B,2,FALSE),"Non trouvé")</f>
        <v>Non trouvé</v>
      </c>
      <c r="B353" t="s">
        <v>90</v>
      </c>
      <c r="C353" s="3">
        <v>45225.859027777777</v>
      </c>
      <c r="D353" s="11">
        <f>Logs_reseau[[#This Row],[Duree_Panne_Min]]/1440</f>
        <v>3.7499999999999999E-2</v>
      </c>
      <c r="E353">
        <v>54</v>
      </c>
      <c r="F353" t="s">
        <v>1</v>
      </c>
      <c r="G353" t="str">
        <f>IFERROR(VLOOKUP(Logs_reseau[[#This Row],[Cell_ID]],'[1]Registre_Maintenance_combine '!A:C,3,FALSE),"Non trouvé")</f>
        <v>Non trouvé</v>
      </c>
      <c r="H353" t="str">
        <f>IFERROR(VLOOKUP(Logs_reseau[[#This Row],[Cell_ID]],'[1]Registre_Maintenance_combine '!A:D,4,FALSE),"Non trouvé")</f>
        <v>Non trouvé</v>
      </c>
      <c r="I353" t="str">
        <f>IFERROR(VLOOKUP(Logs_reseau[[#This Row],[Cell_ID]],'[1]Registre_Maintenance_combine '!A:E,5,FALSE),"Non trouvé")</f>
        <v>Non trouvé</v>
      </c>
      <c r="J353" t="str">
        <f>IFERROR(VLOOKUP(Logs_reseau[[#This Row],[Cell_ID]],'[1]Registre_Maintenance_combine '!A:F,6,FALSE),"Non trouvé")</f>
        <v>Non trouvé</v>
      </c>
    </row>
    <row r="354" spans="1:10" x14ac:dyDescent="0.25">
      <c r="A354" t="str">
        <f>IFERROR(VLOOKUP(Logs_reseau[[#This Row],[Cell_ID]],'[1]Registre_Maintenance_combine '!A:B,2,FALSE),"Non trouvé")</f>
        <v>Non trouvé</v>
      </c>
      <c r="B354" t="s">
        <v>90</v>
      </c>
      <c r="C354" s="3">
        <v>45204.895833333336</v>
      </c>
      <c r="D354" s="11">
        <f>Logs_reseau[[#This Row],[Duree_Panne_Min]]/1440</f>
        <v>7.013888888888889E-2</v>
      </c>
      <c r="E354">
        <v>101</v>
      </c>
      <c r="F354" t="s">
        <v>1</v>
      </c>
      <c r="G354" t="str">
        <f>IFERROR(VLOOKUP(Logs_reseau[[#This Row],[Cell_ID]],'[1]Registre_Maintenance_combine '!A:C,3,FALSE),"Non trouvé")</f>
        <v>Non trouvé</v>
      </c>
      <c r="H354" t="str">
        <f>IFERROR(VLOOKUP(Logs_reseau[[#This Row],[Cell_ID]],'[1]Registre_Maintenance_combine '!A:D,4,FALSE),"Non trouvé")</f>
        <v>Non trouvé</v>
      </c>
      <c r="I354" t="str">
        <f>IFERROR(VLOOKUP(Logs_reseau[[#This Row],[Cell_ID]],'[1]Registre_Maintenance_combine '!A:E,5,FALSE),"Non trouvé")</f>
        <v>Non trouvé</v>
      </c>
      <c r="J354" t="str">
        <f>IFERROR(VLOOKUP(Logs_reseau[[#This Row],[Cell_ID]],'[1]Registre_Maintenance_combine '!A:F,6,FALSE),"Non trouvé")</f>
        <v>Non trouvé</v>
      </c>
    </row>
    <row r="355" spans="1:10" x14ac:dyDescent="0.25">
      <c r="A355" t="str">
        <f>IFERROR(VLOOKUP(Logs_reseau[[#This Row],[Cell_ID]],'[1]Registre_Maintenance_combine '!A:B,2,FALSE),"Non trouvé")</f>
        <v>Kasai-Central</v>
      </c>
      <c r="B355" t="s">
        <v>91</v>
      </c>
      <c r="C355" s="3">
        <v>45205.599999999999</v>
      </c>
      <c r="D355" s="11">
        <f>Logs_reseau[[#This Row],[Duree_Panne_Min]]/1440</f>
        <v>1.0416666666666666E-2</v>
      </c>
      <c r="E355">
        <v>15</v>
      </c>
      <c r="F355" t="s">
        <v>4</v>
      </c>
      <c r="G355">
        <f>IFERROR(VLOOKUP(Logs_reseau[[#This Row],[Cell_ID]],'[1]Registre_Maintenance_combine '!A:C,3,FALSE),"Non trouvé")</f>
        <v>-7.3379339999999997</v>
      </c>
      <c r="H355">
        <f>IFERROR(VLOOKUP(Logs_reseau[[#This Row],[Cell_ID]],'[1]Registre_Maintenance_combine '!A:D,4,FALSE),"Non trouvé")</f>
        <v>28.404001999999998</v>
      </c>
      <c r="I355" t="str">
        <f>IFERROR(VLOOKUP(Logs_reseau[[#This Row],[Cell_ID]],'[1]Registre_Maintenance_combine '!A:E,5,FALSE),"Non trouvé")</f>
        <v>3G</v>
      </c>
      <c r="J355" t="str">
        <f>IFERROR(VLOOKUP(Logs_reseau[[#This Row],[Cell_ID]],'[1]Registre_Maintenance_combine '!A:F,6,FALSE),"Non trouvé")</f>
        <v>Nokia</v>
      </c>
    </row>
    <row r="356" spans="1:10" x14ac:dyDescent="0.25">
      <c r="A356" t="str">
        <f>IFERROR(VLOOKUP(Logs_reseau[[#This Row],[Cell_ID]],'[1]Registre_Maintenance_combine '!A:B,2,FALSE),"Non trouvé")</f>
        <v>Kasai-Central</v>
      </c>
      <c r="B356" t="s">
        <v>91</v>
      </c>
      <c r="C356" s="3">
        <v>45222.415277777778</v>
      </c>
      <c r="D356" s="11">
        <f>Logs_reseau[[#This Row],[Duree_Panne_Min]]/1440</f>
        <v>2.361111111111111E-2</v>
      </c>
      <c r="E356">
        <v>34</v>
      </c>
      <c r="F356" t="s">
        <v>2</v>
      </c>
      <c r="G356">
        <f>IFERROR(VLOOKUP(Logs_reseau[[#This Row],[Cell_ID]],'[1]Registre_Maintenance_combine '!A:C,3,FALSE),"Non trouvé")</f>
        <v>-7.3379339999999997</v>
      </c>
      <c r="H356">
        <f>IFERROR(VLOOKUP(Logs_reseau[[#This Row],[Cell_ID]],'[1]Registre_Maintenance_combine '!A:D,4,FALSE),"Non trouvé")</f>
        <v>28.404001999999998</v>
      </c>
      <c r="I356" t="str">
        <f>IFERROR(VLOOKUP(Logs_reseau[[#This Row],[Cell_ID]],'[1]Registre_Maintenance_combine '!A:E,5,FALSE),"Non trouvé")</f>
        <v>3G</v>
      </c>
      <c r="J356" t="str">
        <f>IFERROR(VLOOKUP(Logs_reseau[[#This Row],[Cell_ID]],'[1]Registre_Maintenance_combine '!A:F,6,FALSE),"Non trouvé")</f>
        <v>Nokia</v>
      </c>
    </row>
    <row r="357" spans="1:10" x14ac:dyDescent="0.25">
      <c r="A357" t="str">
        <f>IFERROR(VLOOKUP(Logs_reseau[[#This Row],[Cell_ID]],'[1]Registre_Maintenance_combine '!A:B,2,FALSE),"Non trouvé")</f>
        <v>Kasai-Central</v>
      </c>
      <c r="B357" t="s">
        <v>91</v>
      </c>
      <c r="C357" s="3">
        <v>45213.597916666666</v>
      </c>
      <c r="D357" s="11">
        <f>Logs_reseau[[#This Row],[Duree_Panne_Min]]/1440</f>
        <v>4.027777777777778E-2</v>
      </c>
      <c r="E357">
        <v>58</v>
      </c>
      <c r="F357" t="s">
        <v>1</v>
      </c>
      <c r="G357">
        <f>IFERROR(VLOOKUP(Logs_reseau[[#This Row],[Cell_ID]],'[1]Registre_Maintenance_combine '!A:C,3,FALSE),"Non trouvé")</f>
        <v>-7.3379339999999997</v>
      </c>
      <c r="H357">
        <f>IFERROR(VLOOKUP(Logs_reseau[[#This Row],[Cell_ID]],'[1]Registre_Maintenance_combine '!A:D,4,FALSE),"Non trouvé")</f>
        <v>28.404001999999998</v>
      </c>
      <c r="I357" t="str">
        <f>IFERROR(VLOOKUP(Logs_reseau[[#This Row],[Cell_ID]],'[1]Registre_Maintenance_combine '!A:E,5,FALSE),"Non trouvé")</f>
        <v>3G</v>
      </c>
      <c r="J357" t="str">
        <f>IFERROR(VLOOKUP(Logs_reseau[[#This Row],[Cell_ID]],'[1]Registre_Maintenance_combine '!A:F,6,FALSE),"Non trouvé")</f>
        <v>Nokia</v>
      </c>
    </row>
    <row r="358" spans="1:10" x14ac:dyDescent="0.25">
      <c r="A358" t="str">
        <f>IFERROR(VLOOKUP(Logs_reseau[[#This Row],[Cell_ID]],'[1]Registre_Maintenance_combine '!A:B,2,FALSE),"Non trouvé")</f>
        <v>Kasai-Central</v>
      </c>
      <c r="B358" t="s">
        <v>91</v>
      </c>
      <c r="C358" s="3">
        <v>45222.602777777778</v>
      </c>
      <c r="D358" s="11">
        <f>Logs_reseau[[#This Row],[Duree_Panne_Min]]/1440</f>
        <v>2.4305555555555556E-2</v>
      </c>
      <c r="E358">
        <v>35</v>
      </c>
      <c r="F358" t="s">
        <v>1</v>
      </c>
      <c r="G358">
        <f>IFERROR(VLOOKUP(Logs_reseau[[#This Row],[Cell_ID]],'[1]Registre_Maintenance_combine '!A:C,3,FALSE),"Non trouvé")</f>
        <v>-7.3379339999999997</v>
      </c>
      <c r="H358">
        <f>IFERROR(VLOOKUP(Logs_reseau[[#This Row],[Cell_ID]],'[1]Registre_Maintenance_combine '!A:D,4,FALSE),"Non trouvé")</f>
        <v>28.404001999999998</v>
      </c>
      <c r="I358" t="str">
        <f>IFERROR(VLOOKUP(Logs_reseau[[#This Row],[Cell_ID]],'[1]Registre_Maintenance_combine '!A:E,5,FALSE),"Non trouvé")</f>
        <v>3G</v>
      </c>
      <c r="J358" t="str">
        <f>IFERROR(VLOOKUP(Logs_reseau[[#This Row],[Cell_ID]],'[1]Registre_Maintenance_combine '!A:F,6,FALSE),"Non trouvé")</f>
        <v>Nokia</v>
      </c>
    </row>
    <row r="359" spans="1:10" x14ac:dyDescent="0.25">
      <c r="A359" t="str">
        <f>IFERROR(VLOOKUP(Logs_reseau[[#This Row],[Cell_ID]],'[1]Registre_Maintenance_combine '!A:B,2,FALSE),"Non trouvé")</f>
        <v>Sankuru</v>
      </c>
      <c r="B359" t="s">
        <v>92</v>
      </c>
      <c r="C359" s="3">
        <v>45227.644444444442</v>
      </c>
      <c r="D359" s="11">
        <f>Logs_reseau[[#This Row],[Duree_Panne_Min]]/1440</f>
        <v>6.1805555555555558E-2</v>
      </c>
      <c r="E359">
        <v>89</v>
      </c>
      <c r="F359" t="s">
        <v>2</v>
      </c>
      <c r="G359">
        <f>IFERROR(VLOOKUP(Logs_reseau[[#This Row],[Cell_ID]],'[1]Registre_Maintenance_combine '!A:C,3,FALSE),"Non trouvé")</f>
        <v>-4.7886769999999999</v>
      </c>
      <c r="H359">
        <f>IFERROR(VLOOKUP(Logs_reseau[[#This Row],[Cell_ID]],'[1]Registre_Maintenance_combine '!A:D,4,FALSE),"Non trouvé")</f>
        <v>23.600221999999999</v>
      </c>
      <c r="I359" t="str">
        <f>IFERROR(VLOOKUP(Logs_reseau[[#This Row],[Cell_ID]],'[1]Registre_Maintenance_combine '!A:E,5,FALSE),"Non trouvé")</f>
        <v>3G</v>
      </c>
      <c r="J359" t="str">
        <f>IFERROR(VLOOKUP(Logs_reseau[[#This Row],[Cell_ID]],'[1]Registre_Maintenance_combine '!A:F,6,FALSE),"Non trouvé")</f>
        <v>ZTE</v>
      </c>
    </row>
    <row r="360" spans="1:10" x14ac:dyDescent="0.25">
      <c r="A360" t="str">
        <f>IFERROR(VLOOKUP(Logs_reseau[[#This Row],[Cell_ID]],'[1]Registre_Maintenance_combine '!A:B,2,FALSE),"Non trouvé")</f>
        <v>Sankuru</v>
      </c>
      <c r="B360" t="s">
        <v>92</v>
      </c>
      <c r="C360" s="3">
        <v>45220.416666666664</v>
      </c>
      <c r="D360" s="11">
        <f>Logs_reseau[[#This Row],[Duree_Panne_Min]]/1440</f>
        <v>4.8611111111111112E-2</v>
      </c>
      <c r="E360">
        <v>70</v>
      </c>
      <c r="F360" t="s">
        <v>1</v>
      </c>
      <c r="G360">
        <f>IFERROR(VLOOKUP(Logs_reseau[[#This Row],[Cell_ID]],'[1]Registre_Maintenance_combine '!A:C,3,FALSE),"Non trouvé")</f>
        <v>-4.7886769999999999</v>
      </c>
      <c r="H360">
        <f>IFERROR(VLOOKUP(Logs_reseau[[#This Row],[Cell_ID]],'[1]Registre_Maintenance_combine '!A:D,4,FALSE),"Non trouvé")</f>
        <v>23.600221999999999</v>
      </c>
      <c r="I360" t="str">
        <f>IFERROR(VLOOKUP(Logs_reseau[[#This Row],[Cell_ID]],'[1]Registre_Maintenance_combine '!A:E,5,FALSE),"Non trouvé")</f>
        <v>3G</v>
      </c>
      <c r="J360" t="str">
        <f>IFERROR(VLOOKUP(Logs_reseau[[#This Row],[Cell_ID]],'[1]Registre_Maintenance_combine '!A:F,6,FALSE),"Non trouvé")</f>
        <v>ZTE</v>
      </c>
    </row>
    <row r="361" spans="1:10" x14ac:dyDescent="0.25">
      <c r="A361" t="str">
        <f>IFERROR(VLOOKUP(Logs_reseau[[#This Row],[Cell_ID]],'[1]Registre_Maintenance_combine '!A:B,2,FALSE),"Non trouvé")</f>
        <v>Sankuru</v>
      </c>
      <c r="B361" t="s">
        <v>92</v>
      </c>
      <c r="C361" s="3">
        <v>45229.454861111109</v>
      </c>
      <c r="D361" s="11">
        <f>Logs_reseau[[#This Row],[Duree_Panne_Min]]/1440</f>
        <v>5.486111111111111E-2</v>
      </c>
      <c r="E361">
        <v>79</v>
      </c>
      <c r="F361" t="s">
        <v>4</v>
      </c>
      <c r="G361">
        <f>IFERROR(VLOOKUP(Logs_reseau[[#This Row],[Cell_ID]],'[1]Registre_Maintenance_combine '!A:C,3,FALSE),"Non trouvé")</f>
        <v>-4.7886769999999999</v>
      </c>
      <c r="H361">
        <f>IFERROR(VLOOKUP(Logs_reseau[[#This Row],[Cell_ID]],'[1]Registre_Maintenance_combine '!A:D,4,FALSE),"Non trouvé")</f>
        <v>23.600221999999999</v>
      </c>
      <c r="I361" t="str">
        <f>IFERROR(VLOOKUP(Logs_reseau[[#This Row],[Cell_ID]],'[1]Registre_Maintenance_combine '!A:E,5,FALSE),"Non trouvé")</f>
        <v>3G</v>
      </c>
      <c r="J361" t="str">
        <f>IFERROR(VLOOKUP(Logs_reseau[[#This Row],[Cell_ID]],'[1]Registre_Maintenance_combine '!A:F,6,FALSE),"Non trouvé")</f>
        <v>ZTE</v>
      </c>
    </row>
    <row r="362" spans="1:10" x14ac:dyDescent="0.25">
      <c r="A362" t="str">
        <f>IFERROR(VLOOKUP(Logs_reseau[[#This Row],[Cell_ID]],'[1]Registre_Maintenance_combine '!A:B,2,FALSE),"Non trouvé")</f>
        <v>Sankuru</v>
      </c>
      <c r="B362" t="s">
        <v>92</v>
      </c>
      <c r="C362" s="3">
        <v>45209.611805555556</v>
      </c>
      <c r="D362" s="11">
        <f>Logs_reseau[[#This Row],[Duree_Panne_Min]]/1440</f>
        <v>2.7083333333333334E-2</v>
      </c>
      <c r="E362">
        <v>39</v>
      </c>
      <c r="F362" t="s">
        <v>4</v>
      </c>
      <c r="G362">
        <f>IFERROR(VLOOKUP(Logs_reseau[[#This Row],[Cell_ID]],'[1]Registre_Maintenance_combine '!A:C,3,FALSE),"Non trouvé")</f>
        <v>-4.7886769999999999</v>
      </c>
      <c r="H362">
        <f>IFERROR(VLOOKUP(Logs_reseau[[#This Row],[Cell_ID]],'[1]Registre_Maintenance_combine '!A:D,4,FALSE),"Non trouvé")</f>
        <v>23.600221999999999</v>
      </c>
      <c r="I362" t="str">
        <f>IFERROR(VLOOKUP(Logs_reseau[[#This Row],[Cell_ID]],'[1]Registre_Maintenance_combine '!A:E,5,FALSE),"Non trouvé")</f>
        <v>3G</v>
      </c>
      <c r="J362" t="str">
        <f>IFERROR(VLOOKUP(Logs_reseau[[#This Row],[Cell_ID]],'[1]Registre_Maintenance_combine '!A:F,6,FALSE),"Non trouvé")</f>
        <v>ZTE</v>
      </c>
    </row>
    <row r="363" spans="1:10" x14ac:dyDescent="0.25">
      <c r="A363" t="str">
        <f>IFERROR(VLOOKUP(Logs_reseau[[#This Row],[Cell_ID]],'[1]Registre_Maintenance_combine '!A:B,2,FALSE),"Non trouvé")</f>
        <v>Sankuru</v>
      </c>
      <c r="B363" t="s">
        <v>92</v>
      </c>
      <c r="C363" s="3">
        <v>45216.693749999999</v>
      </c>
      <c r="D363" s="11">
        <f>Logs_reseau[[#This Row],[Duree_Panne_Min]]/1440</f>
        <v>4.3055555555555555E-2</v>
      </c>
      <c r="E363">
        <v>62</v>
      </c>
      <c r="F363" t="s">
        <v>2</v>
      </c>
      <c r="G363">
        <f>IFERROR(VLOOKUP(Logs_reseau[[#This Row],[Cell_ID]],'[1]Registre_Maintenance_combine '!A:C,3,FALSE),"Non trouvé")</f>
        <v>-4.7886769999999999</v>
      </c>
      <c r="H363">
        <f>IFERROR(VLOOKUP(Logs_reseau[[#This Row],[Cell_ID]],'[1]Registre_Maintenance_combine '!A:D,4,FALSE),"Non trouvé")</f>
        <v>23.600221999999999</v>
      </c>
      <c r="I363" t="str">
        <f>IFERROR(VLOOKUP(Logs_reseau[[#This Row],[Cell_ID]],'[1]Registre_Maintenance_combine '!A:E,5,FALSE),"Non trouvé")</f>
        <v>3G</v>
      </c>
      <c r="J363" t="str">
        <f>IFERROR(VLOOKUP(Logs_reseau[[#This Row],[Cell_ID]],'[1]Registre_Maintenance_combine '!A:F,6,FALSE),"Non trouvé")</f>
        <v>ZTE</v>
      </c>
    </row>
    <row r="364" spans="1:10" x14ac:dyDescent="0.25">
      <c r="A364" t="str">
        <f>IFERROR(VLOOKUP(Logs_reseau[[#This Row],[Cell_ID]],'[1]Registre_Maintenance_combine '!A:B,2,FALSE),"Non trouvé")</f>
        <v>Non trouvé</v>
      </c>
      <c r="B364" t="s">
        <v>93</v>
      </c>
      <c r="C364" s="3">
        <v>45216.14166666667</v>
      </c>
      <c r="D364" s="11">
        <f>Logs_reseau[[#This Row],[Duree_Panne_Min]]/1440</f>
        <v>6.3888888888888884E-2</v>
      </c>
      <c r="E364">
        <v>92</v>
      </c>
      <c r="F364" t="s">
        <v>2</v>
      </c>
      <c r="G364" t="str">
        <f>IFERROR(VLOOKUP(Logs_reseau[[#This Row],[Cell_ID]],'[1]Registre_Maintenance_combine '!A:C,3,FALSE),"Non trouvé")</f>
        <v>Non trouvé</v>
      </c>
      <c r="H364" t="str">
        <f>IFERROR(VLOOKUP(Logs_reseau[[#This Row],[Cell_ID]],'[1]Registre_Maintenance_combine '!A:D,4,FALSE),"Non trouvé")</f>
        <v>Non trouvé</v>
      </c>
      <c r="I364" t="str">
        <f>IFERROR(VLOOKUP(Logs_reseau[[#This Row],[Cell_ID]],'[1]Registre_Maintenance_combine '!A:E,5,FALSE),"Non trouvé")</f>
        <v>Non trouvé</v>
      </c>
      <c r="J364" t="str">
        <f>IFERROR(VLOOKUP(Logs_reseau[[#This Row],[Cell_ID]],'[1]Registre_Maintenance_combine '!A:F,6,FALSE),"Non trouvé")</f>
        <v>Non trouvé</v>
      </c>
    </row>
    <row r="365" spans="1:10" x14ac:dyDescent="0.25">
      <c r="A365" t="str">
        <f>IFERROR(VLOOKUP(Logs_reseau[[#This Row],[Cell_ID]],'[1]Registre_Maintenance_combine '!A:B,2,FALSE),"Non trouvé")</f>
        <v>Non trouvé</v>
      </c>
      <c r="B365" t="s">
        <v>93</v>
      </c>
      <c r="C365" s="3">
        <v>45201.229166666664</v>
      </c>
      <c r="D365" s="11">
        <f>Logs_reseau[[#This Row],[Duree_Panne_Min]]/1440</f>
        <v>1.5972222222222221E-2</v>
      </c>
      <c r="E365">
        <v>23</v>
      </c>
      <c r="F365" t="s">
        <v>1</v>
      </c>
      <c r="G365" t="str">
        <f>IFERROR(VLOOKUP(Logs_reseau[[#This Row],[Cell_ID]],'[1]Registre_Maintenance_combine '!A:C,3,FALSE),"Non trouvé")</f>
        <v>Non trouvé</v>
      </c>
      <c r="H365" t="str">
        <f>IFERROR(VLOOKUP(Logs_reseau[[#This Row],[Cell_ID]],'[1]Registre_Maintenance_combine '!A:D,4,FALSE),"Non trouvé")</f>
        <v>Non trouvé</v>
      </c>
      <c r="I365" t="str">
        <f>IFERROR(VLOOKUP(Logs_reseau[[#This Row],[Cell_ID]],'[1]Registre_Maintenance_combine '!A:E,5,FALSE),"Non trouvé")</f>
        <v>Non trouvé</v>
      </c>
      <c r="J365" t="str">
        <f>IFERROR(VLOOKUP(Logs_reseau[[#This Row],[Cell_ID]],'[1]Registre_Maintenance_combine '!A:F,6,FALSE),"Non trouvé")</f>
        <v>Non trouvé</v>
      </c>
    </row>
    <row r="366" spans="1:10" x14ac:dyDescent="0.25">
      <c r="A366" t="str">
        <f>IFERROR(VLOOKUP(Logs_reseau[[#This Row],[Cell_ID]],'[1]Registre_Maintenance_combine '!A:B,2,FALSE),"Non trouvé")</f>
        <v>Non trouvé</v>
      </c>
      <c r="B366" t="s">
        <v>93</v>
      </c>
      <c r="C366" s="3">
        <v>45214.40902777778</v>
      </c>
      <c r="D366" s="11">
        <f>Logs_reseau[[#This Row],[Duree_Panne_Min]]/1440</f>
        <v>4.5138888888888888E-2</v>
      </c>
      <c r="E366">
        <v>65</v>
      </c>
      <c r="F366" t="s">
        <v>4</v>
      </c>
      <c r="G366" t="str">
        <f>IFERROR(VLOOKUP(Logs_reseau[[#This Row],[Cell_ID]],'[1]Registre_Maintenance_combine '!A:C,3,FALSE),"Non trouvé")</f>
        <v>Non trouvé</v>
      </c>
      <c r="H366" t="str">
        <f>IFERROR(VLOOKUP(Logs_reseau[[#This Row],[Cell_ID]],'[1]Registre_Maintenance_combine '!A:D,4,FALSE),"Non trouvé")</f>
        <v>Non trouvé</v>
      </c>
      <c r="I366" t="str">
        <f>IFERROR(VLOOKUP(Logs_reseau[[#This Row],[Cell_ID]],'[1]Registre_Maintenance_combine '!A:E,5,FALSE),"Non trouvé")</f>
        <v>Non trouvé</v>
      </c>
      <c r="J366" t="str">
        <f>IFERROR(VLOOKUP(Logs_reseau[[#This Row],[Cell_ID]],'[1]Registre_Maintenance_combine '!A:F,6,FALSE),"Non trouvé")</f>
        <v>Non trouvé</v>
      </c>
    </row>
    <row r="367" spans="1:10" x14ac:dyDescent="0.25">
      <c r="A367" t="str">
        <f>IFERROR(VLOOKUP(Logs_reseau[[#This Row],[Cell_ID]],'[1]Registre_Maintenance_combine '!A:B,2,FALSE),"Non trouvé")</f>
        <v>Kongo-Central</v>
      </c>
      <c r="B367" t="s">
        <v>94</v>
      </c>
      <c r="C367" s="3">
        <v>45213.022916666669</v>
      </c>
      <c r="D367" s="11">
        <f>Logs_reseau[[#This Row],[Duree_Panne_Min]]/1440</f>
        <v>1.4583333333333334E-2</v>
      </c>
      <c r="E367">
        <v>21</v>
      </c>
      <c r="F367" t="s">
        <v>2</v>
      </c>
      <c r="G367">
        <f>IFERROR(VLOOKUP(Logs_reseau[[#This Row],[Cell_ID]],'[1]Registre_Maintenance_combine '!A:C,3,FALSE),"Non trouvé")</f>
        <v>2.975352</v>
      </c>
      <c r="H367">
        <f>IFERROR(VLOOKUP(Logs_reseau[[#This Row],[Cell_ID]],'[1]Registre_Maintenance_combine '!A:D,4,FALSE),"Non trouvé")</f>
        <v>22.535886000000001</v>
      </c>
      <c r="I367" t="str">
        <f>IFERROR(VLOOKUP(Logs_reseau[[#This Row],[Cell_ID]],'[1]Registre_Maintenance_combine '!A:E,5,FALSE),"Non trouvé")</f>
        <v>4G</v>
      </c>
      <c r="J367" t="str">
        <f>IFERROR(VLOOKUP(Logs_reseau[[#This Row],[Cell_ID]],'[1]Registre_Maintenance_combine '!A:F,6,FALSE),"Non trouvé")</f>
        <v>Huawei</v>
      </c>
    </row>
    <row r="368" spans="1:10" x14ac:dyDescent="0.25">
      <c r="A368" t="str">
        <f>IFERROR(VLOOKUP(Logs_reseau[[#This Row],[Cell_ID]],'[1]Registre_Maintenance_combine '!A:B,2,FALSE),"Non trouvé")</f>
        <v>Kongo-Central</v>
      </c>
      <c r="B368" t="s">
        <v>94</v>
      </c>
      <c r="C368" s="3">
        <v>45200.726388888892</v>
      </c>
      <c r="D368" s="11">
        <f>Logs_reseau[[#This Row],[Duree_Panne_Min]]/1440</f>
        <v>5.7638888888888892E-2</v>
      </c>
      <c r="E368">
        <v>83</v>
      </c>
      <c r="F368" t="s">
        <v>1</v>
      </c>
      <c r="G368">
        <f>IFERROR(VLOOKUP(Logs_reseau[[#This Row],[Cell_ID]],'[1]Registre_Maintenance_combine '!A:C,3,FALSE),"Non trouvé")</f>
        <v>2.975352</v>
      </c>
      <c r="H368">
        <f>IFERROR(VLOOKUP(Logs_reseau[[#This Row],[Cell_ID]],'[1]Registre_Maintenance_combine '!A:D,4,FALSE),"Non trouvé")</f>
        <v>22.535886000000001</v>
      </c>
      <c r="I368" t="str">
        <f>IFERROR(VLOOKUP(Logs_reseau[[#This Row],[Cell_ID]],'[1]Registre_Maintenance_combine '!A:E,5,FALSE),"Non trouvé")</f>
        <v>4G</v>
      </c>
      <c r="J368" t="str">
        <f>IFERROR(VLOOKUP(Logs_reseau[[#This Row],[Cell_ID]],'[1]Registre_Maintenance_combine '!A:F,6,FALSE),"Non trouvé")</f>
        <v>Huawei</v>
      </c>
    </row>
    <row r="369" spans="1:10" x14ac:dyDescent="0.25">
      <c r="A369" t="str">
        <f>IFERROR(VLOOKUP(Logs_reseau[[#This Row],[Cell_ID]],'[1]Registre_Maintenance_combine '!A:B,2,FALSE),"Non trouvé")</f>
        <v>Kongo-Central</v>
      </c>
      <c r="B369" t="s">
        <v>94</v>
      </c>
      <c r="C369" s="3">
        <v>45216.928472222222</v>
      </c>
      <c r="D369" s="11">
        <f>Logs_reseau[[#This Row],[Duree_Panne_Min]]/1440</f>
        <v>4.791666666666667E-2</v>
      </c>
      <c r="E369">
        <v>69</v>
      </c>
      <c r="F369" t="s">
        <v>2</v>
      </c>
      <c r="G369">
        <f>IFERROR(VLOOKUP(Logs_reseau[[#This Row],[Cell_ID]],'[1]Registre_Maintenance_combine '!A:C,3,FALSE),"Non trouvé")</f>
        <v>2.975352</v>
      </c>
      <c r="H369">
        <f>IFERROR(VLOOKUP(Logs_reseau[[#This Row],[Cell_ID]],'[1]Registre_Maintenance_combine '!A:D,4,FALSE),"Non trouvé")</f>
        <v>22.535886000000001</v>
      </c>
      <c r="I369" t="str">
        <f>IFERROR(VLOOKUP(Logs_reseau[[#This Row],[Cell_ID]],'[1]Registre_Maintenance_combine '!A:E,5,FALSE),"Non trouvé")</f>
        <v>4G</v>
      </c>
      <c r="J369" t="str">
        <f>IFERROR(VLOOKUP(Logs_reseau[[#This Row],[Cell_ID]],'[1]Registre_Maintenance_combine '!A:F,6,FALSE),"Non trouvé")</f>
        <v>Huawei</v>
      </c>
    </row>
    <row r="370" spans="1:10" x14ac:dyDescent="0.25">
      <c r="A370" t="str">
        <f>IFERROR(VLOOKUP(Logs_reseau[[#This Row],[Cell_ID]],'[1]Registre_Maintenance_combine '!A:B,2,FALSE),"Non trouvé")</f>
        <v>Kongo-Central</v>
      </c>
      <c r="B370" t="s">
        <v>94</v>
      </c>
      <c r="C370" s="3">
        <v>45221.313194444447</v>
      </c>
      <c r="D370" s="11">
        <f>Logs_reseau[[#This Row],[Duree_Panne_Min]]/1440</f>
        <v>6.5277777777777782E-2</v>
      </c>
      <c r="E370">
        <v>94</v>
      </c>
      <c r="F370" t="s">
        <v>2</v>
      </c>
      <c r="G370">
        <f>IFERROR(VLOOKUP(Logs_reseau[[#This Row],[Cell_ID]],'[1]Registre_Maintenance_combine '!A:C,3,FALSE),"Non trouvé")</f>
        <v>2.975352</v>
      </c>
      <c r="H370">
        <f>IFERROR(VLOOKUP(Logs_reseau[[#This Row],[Cell_ID]],'[1]Registre_Maintenance_combine '!A:D,4,FALSE),"Non trouvé")</f>
        <v>22.535886000000001</v>
      </c>
      <c r="I370" t="str">
        <f>IFERROR(VLOOKUP(Logs_reseau[[#This Row],[Cell_ID]],'[1]Registre_Maintenance_combine '!A:E,5,FALSE),"Non trouvé")</f>
        <v>4G</v>
      </c>
      <c r="J370" t="str">
        <f>IFERROR(VLOOKUP(Logs_reseau[[#This Row],[Cell_ID]],'[1]Registre_Maintenance_combine '!A:F,6,FALSE),"Non trouvé")</f>
        <v>Huawei</v>
      </c>
    </row>
    <row r="371" spans="1:10" x14ac:dyDescent="0.25">
      <c r="A371" t="str">
        <f>IFERROR(VLOOKUP(Logs_reseau[[#This Row],[Cell_ID]],'[1]Registre_Maintenance_combine '!A:B,2,FALSE),"Non trouvé")</f>
        <v>Kongo-Central</v>
      </c>
      <c r="B371" t="s">
        <v>94</v>
      </c>
      <c r="C371" s="3">
        <v>45200.493055555555</v>
      </c>
      <c r="D371" s="11">
        <f>Logs_reseau[[#This Row],[Duree_Panne_Min]]/1440</f>
        <v>6.1111111111111109E-2</v>
      </c>
      <c r="E371">
        <v>88</v>
      </c>
      <c r="F371" t="s">
        <v>1</v>
      </c>
      <c r="G371">
        <f>IFERROR(VLOOKUP(Logs_reseau[[#This Row],[Cell_ID]],'[1]Registre_Maintenance_combine '!A:C,3,FALSE),"Non trouvé")</f>
        <v>2.975352</v>
      </c>
      <c r="H371">
        <f>IFERROR(VLOOKUP(Logs_reseau[[#This Row],[Cell_ID]],'[1]Registre_Maintenance_combine '!A:D,4,FALSE),"Non trouvé")</f>
        <v>22.535886000000001</v>
      </c>
      <c r="I371" t="str">
        <f>IFERROR(VLOOKUP(Logs_reseau[[#This Row],[Cell_ID]],'[1]Registre_Maintenance_combine '!A:E,5,FALSE),"Non trouvé")</f>
        <v>4G</v>
      </c>
      <c r="J371" t="str">
        <f>IFERROR(VLOOKUP(Logs_reseau[[#This Row],[Cell_ID]],'[1]Registre_Maintenance_combine '!A:F,6,FALSE),"Non trouvé")</f>
        <v>Huawei</v>
      </c>
    </row>
    <row r="372" spans="1:10" x14ac:dyDescent="0.25">
      <c r="A372" t="str">
        <f>IFERROR(VLOOKUP(Logs_reseau[[#This Row],[Cell_ID]],'[1]Registre_Maintenance_combine '!A:B,2,FALSE),"Non trouvé")</f>
        <v>Maniema</v>
      </c>
      <c r="B372" t="s">
        <v>95</v>
      </c>
      <c r="C372" s="3">
        <v>45208.713194444441</v>
      </c>
      <c r="D372" s="11">
        <f>Logs_reseau[[#This Row],[Duree_Panne_Min]]/1440</f>
        <v>2.6388888888888889E-2</v>
      </c>
      <c r="E372">
        <v>38</v>
      </c>
      <c r="F372" t="s">
        <v>1</v>
      </c>
      <c r="G372">
        <f>IFERROR(VLOOKUP(Logs_reseau[[#This Row],[Cell_ID]],'[1]Registre_Maintenance_combine '!A:C,3,FALSE),"Non trouvé")</f>
        <v>-10.650321</v>
      </c>
      <c r="H372">
        <f>IFERROR(VLOOKUP(Logs_reseau[[#This Row],[Cell_ID]],'[1]Registre_Maintenance_combine '!A:D,4,FALSE),"Non trouvé")</f>
        <v>15.917044000000001</v>
      </c>
      <c r="I372" t="str">
        <f>IFERROR(VLOOKUP(Logs_reseau[[#This Row],[Cell_ID]],'[1]Registre_Maintenance_combine '!A:E,5,FALSE),"Non trouvé")</f>
        <v>4G</v>
      </c>
      <c r="J372" t="str">
        <f>IFERROR(VLOOKUP(Logs_reseau[[#This Row],[Cell_ID]],'[1]Registre_Maintenance_combine '!A:F,6,FALSE),"Non trouvé")</f>
        <v>Nokia</v>
      </c>
    </row>
    <row r="373" spans="1:10" x14ac:dyDescent="0.25">
      <c r="A373" t="str">
        <f>IFERROR(VLOOKUP(Logs_reseau[[#This Row],[Cell_ID]],'[1]Registre_Maintenance_combine '!A:B,2,FALSE),"Non trouvé")</f>
        <v>Maniema</v>
      </c>
      <c r="B373" t="s">
        <v>95</v>
      </c>
      <c r="C373" s="3">
        <v>45209.359027777777</v>
      </c>
      <c r="D373" s="11">
        <f>Logs_reseau[[#This Row],[Duree_Panne_Min]]/1440</f>
        <v>3.888888888888889E-2</v>
      </c>
      <c r="E373">
        <v>56</v>
      </c>
      <c r="F373" t="s">
        <v>2</v>
      </c>
      <c r="G373">
        <f>IFERROR(VLOOKUP(Logs_reseau[[#This Row],[Cell_ID]],'[1]Registre_Maintenance_combine '!A:C,3,FALSE),"Non trouvé")</f>
        <v>-10.650321</v>
      </c>
      <c r="H373">
        <f>IFERROR(VLOOKUP(Logs_reseau[[#This Row],[Cell_ID]],'[1]Registre_Maintenance_combine '!A:D,4,FALSE),"Non trouvé")</f>
        <v>15.917044000000001</v>
      </c>
      <c r="I373" t="str">
        <f>IFERROR(VLOOKUP(Logs_reseau[[#This Row],[Cell_ID]],'[1]Registre_Maintenance_combine '!A:E,5,FALSE),"Non trouvé")</f>
        <v>4G</v>
      </c>
      <c r="J373" t="str">
        <f>IFERROR(VLOOKUP(Logs_reseau[[#This Row],[Cell_ID]],'[1]Registre_Maintenance_combine '!A:F,6,FALSE),"Non trouvé")</f>
        <v>Nokia</v>
      </c>
    </row>
    <row r="374" spans="1:10" x14ac:dyDescent="0.25">
      <c r="A374" t="str">
        <f>IFERROR(VLOOKUP(Logs_reseau[[#This Row],[Cell_ID]],'[1]Registre_Maintenance_combine '!A:B,2,FALSE),"Non trouvé")</f>
        <v>Maniema</v>
      </c>
      <c r="B374" t="s">
        <v>95</v>
      </c>
      <c r="C374" s="3">
        <v>45216.709027777775</v>
      </c>
      <c r="D374" s="11">
        <f>Logs_reseau[[#This Row],[Duree_Panne_Min]]/1440</f>
        <v>4.8611111111111112E-2</v>
      </c>
      <c r="E374">
        <v>70</v>
      </c>
      <c r="F374" t="s">
        <v>2</v>
      </c>
      <c r="G374">
        <f>IFERROR(VLOOKUP(Logs_reseau[[#This Row],[Cell_ID]],'[1]Registre_Maintenance_combine '!A:C,3,FALSE),"Non trouvé")</f>
        <v>-10.650321</v>
      </c>
      <c r="H374">
        <f>IFERROR(VLOOKUP(Logs_reseau[[#This Row],[Cell_ID]],'[1]Registre_Maintenance_combine '!A:D,4,FALSE),"Non trouvé")</f>
        <v>15.917044000000001</v>
      </c>
      <c r="I374" t="str">
        <f>IFERROR(VLOOKUP(Logs_reseau[[#This Row],[Cell_ID]],'[1]Registre_Maintenance_combine '!A:E,5,FALSE),"Non trouvé")</f>
        <v>4G</v>
      </c>
      <c r="J374" t="str">
        <f>IFERROR(VLOOKUP(Logs_reseau[[#This Row],[Cell_ID]],'[1]Registre_Maintenance_combine '!A:F,6,FALSE),"Non trouvé")</f>
        <v>Nokia</v>
      </c>
    </row>
    <row r="375" spans="1:10" x14ac:dyDescent="0.25">
      <c r="A375" t="str">
        <f>IFERROR(VLOOKUP(Logs_reseau[[#This Row],[Cell_ID]],'[1]Registre_Maintenance_combine '!A:B,2,FALSE),"Non trouvé")</f>
        <v>Non trouvé</v>
      </c>
      <c r="B375" t="s">
        <v>96</v>
      </c>
      <c r="C375" s="3">
        <v>45217.178472222222</v>
      </c>
      <c r="D375" s="11">
        <f>Logs_reseau[[#This Row],[Duree_Panne_Min]]/1440</f>
        <v>6.6666666666666666E-2</v>
      </c>
      <c r="E375">
        <v>96</v>
      </c>
      <c r="F375" t="s">
        <v>1</v>
      </c>
      <c r="G375" t="str">
        <f>IFERROR(VLOOKUP(Logs_reseau[[#This Row],[Cell_ID]],'[1]Registre_Maintenance_combine '!A:C,3,FALSE),"Non trouvé")</f>
        <v>Non trouvé</v>
      </c>
      <c r="H375" t="str">
        <f>IFERROR(VLOOKUP(Logs_reseau[[#This Row],[Cell_ID]],'[1]Registre_Maintenance_combine '!A:D,4,FALSE),"Non trouvé")</f>
        <v>Non trouvé</v>
      </c>
      <c r="I375" t="str">
        <f>IFERROR(VLOOKUP(Logs_reseau[[#This Row],[Cell_ID]],'[1]Registre_Maintenance_combine '!A:E,5,FALSE),"Non trouvé")</f>
        <v>Non trouvé</v>
      </c>
      <c r="J375" t="str">
        <f>IFERROR(VLOOKUP(Logs_reseau[[#This Row],[Cell_ID]],'[1]Registre_Maintenance_combine '!A:F,6,FALSE),"Non trouvé")</f>
        <v>Non trouvé</v>
      </c>
    </row>
    <row r="376" spans="1:10" x14ac:dyDescent="0.25">
      <c r="A376" t="str">
        <f>IFERROR(VLOOKUP(Logs_reseau[[#This Row],[Cell_ID]],'[1]Registre_Maintenance_combine '!A:B,2,FALSE),"Non trouvé")</f>
        <v>Non trouvé</v>
      </c>
      <c r="B376" t="s">
        <v>96</v>
      </c>
      <c r="C376" s="3">
        <v>45212.929166666669</v>
      </c>
      <c r="D376" s="11">
        <f>Logs_reseau[[#This Row],[Duree_Panne_Min]]/1440</f>
        <v>4.1666666666666664E-2</v>
      </c>
      <c r="E376">
        <v>60</v>
      </c>
      <c r="F376" t="s">
        <v>1</v>
      </c>
      <c r="G376" t="str">
        <f>IFERROR(VLOOKUP(Logs_reseau[[#This Row],[Cell_ID]],'[1]Registre_Maintenance_combine '!A:C,3,FALSE),"Non trouvé")</f>
        <v>Non trouvé</v>
      </c>
      <c r="H376" t="str">
        <f>IFERROR(VLOOKUP(Logs_reseau[[#This Row],[Cell_ID]],'[1]Registre_Maintenance_combine '!A:D,4,FALSE),"Non trouvé")</f>
        <v>Non trouvé</v>
      </c>
      <c r="I376" t="str">
        <f>IFERROR(VLOOKUP(Logs_reseau[[#This Row],[Cell_ID]],'[1]Registre_Maintenance_combine '!A:E,5,FALSE),"Non trouvé")</f>
        <v>Non trouvé</v>
      </c>
      <c r="J376" t="str">
        <f>IFERROR(VLOOKUP(Logs_reseau[[#This Row],[Cell_ID]],'[1]Registre_Maintenance_combine '!A:F,6,FALSE),"Non trouvé")</f>
        <v>Non trouvé</v>
      </c>
    </row>
    <row r="377" spans="1:10" x14ac:dyDescent="0.25">
      <c r="A377" t="str">
        <f>IFERROR(VLOOKUP(Logs_reseau[[#This Row],[Cell_ID]],'[1]Registre_Maintenance_combine '!A:B,2,FALSE),"Non trouvé")</f>
        <v>Tshopo</v>
      </c>
      <c r="B377" t="s">
        <v>97</v>
      </c>
      <c r="C377" s="3">
        <v>45204.81527777778</v>
      </c>
      <c r="D377" s="11">
        <f>Logs_reseau[[#This Row],[Duree_Panne_Min]]/1440</f>
        <v>5.9027777777777776E-2</v>
      </c>
      <c r="E377">
        <v>85</v>
      </c>
      <c r="F377" t="s">
        <v>2</v>
      </c>
      <c r="G377">
        <f>IFERROR(VLOOKUP(Logs_reseau[[#This Row],[Cell_ID]],'[1]Registre_Maintenance_combine '!A:C,3,FALSE),"Non trouvé")</f>
        <v>3.0603760000000002</v>
      </c>
      <c r="H377">
        <f>IFERROR(VLOOKUP(Logs_reseau[[#This Row],[Cell_ID]],'[1]Registre_Maintenance_combine '!A:D,4,FALSE),"Non trouvé")</f>
        <v>19.708034000000001</v>
      </c>
      <c r="I377" t="str">
        <f>IFERROR(VLOOKUP(Logs_reseau[[#This Row],[Cell_ID]],'[1]Registre_Maintenance_combine '!A:E,5,FALSE),"Non trouvé")</f>
        <v>3G</v>
      </c>
      <c r="J377" t="str">
        <f>IFERROR(VLOOKUP(Logs_reseau[[#This Row],[Cell_ID]],'[1]Registre_Maintenance_combine '!A:F,6,FALSE),"Non trouvé")</f>
        <v>ZTE</v>
      </c>
    </row>
    <row r="378" spans="1:10" x14ac:dyDescent="0.25">
      <c r="A378" t="str">
        <f>IFERROR(VLOOKUP(Logs_reseau[[#This Row],[Cell_ID]],'[1]Registre_Maintenance_combine '!A:B,2,FALSE),"Non trouvé")</f>
        <v>Tshopo</v>
      </c>
      <c r="B378" t="s">
        <v>97</v>
      </c>
      <c r="C378" s="3">
        <v>45228.614583333336</v>
      </c>
      <c r="D378" s="11">
        <f>Logs_reseau[[#This Row],[Duree_Panne_Min]]/1440</f>
        <v>2.4305555555555556E-2</v>
      </c>
      <c r="E378">
        <v>35</v>
      </c>
      <c r="F378" t="s">
        <v>4</v>
      </c>
      <c r="G378">
        <f>IFERROR(VLOOKUP(Logs_reseau[[#This Row],[Cell_ID]],'[1]Registre_Maintenance_combine '!A:C,3,FALSE),"Non trouvé")</f>
        <v>3.0603760000000002</v>
      </c>
      <c r="H378">
        <f>IFERROR(VLOOKUP(Logs_reseau[[#This Row],[Cell_ID]],'[1]Registre_Maintenance_combine '!A:D,4,FALSE),"Non trouvé")</f>
        <v>19.708034000000001</v>
      </c>
      <c r="I378" t="str">
        <f>IFERROR(VLOOKUP(Logs_reseau[[#This Row],[Cell_ID]],'[1]Registre_Maintenance_combine '!A:E,5,FALSE),"Non trouvé")</f>
        <v>3G</v>
      </c>
      <c r="J378" t="str">
        <f>IFERROR(VLOOKUP(Logs_reseau[[#This Row],[Cell_ID]],'[1]Registre_Maintenance_combine '!A:F,6,FALSE),"Non trouvé")</f>
        <v>ZTE</v>
      </c>
    </row>
    <row r="379" spans="1:10" x14ac:dyDescent="0.25">
      <c r="A379" t="str">
        <f>IFERROR(VLOOKUP(Logs_reseau[[#This Row],[Cell_ID]],'[1]Registre_Maintenance_combine '!A:B,2,FALSE),"Non trouvé")</f>
        <v>Tshopo</v>
      </c>
      <c r="B379" t="s">
        <v>97</v>
      </c>
      <c r="C379" s="3">
        <v>45204.710416666669</v>
      </c>
      <c r="D379" s="11">
        <f>Logs_reseau[[#This Row],[Duree_Panne_Min]]/1440</f>
        <v>1.7361111111111112E-2</v>
      </c>
      <c r="E379">
        <v>25</v>
      </c>
      <c r="F379" t="s">
        <v>1</v>
      </c>
      <c r="G379">
        <f>IFERROR(VLOOKUP(Logs_reseau[[#This Row],[Cell_ID]],'[1]Registre_Maintenance_combine '!A:C,3,FALSE),"Non trouvé")</f>
        <v>3.0603760000000002</v>
      </c>
      <c r="H379">
        <f>IFERROR(VLOOKUP(Logs_reseau[[#This Row],[Cell_ID]],'[1]Registre_Maintenance_combine '!A:D,4,FALSE),"Non trouvé")</f>
        <v>19.708034000000001</v>
      </c>
      <c r="I379" t="str">
        <f>IFERROR(VLOOKUP(Logs_reseau[[#This Row],[Cell_ID]],'[1]Registre_Maintenance_combine '!A:E,5,FALSE),"Non trouvé")</f>
        <v>3G</v>
      </c>
      <c r="J379" t="str">
        <f>IFERROR(VLOOKUP(Logs_reseau[[#This Row],[Cell_ID]],'[1]Registre_Maintenance_combine '!A:F,6,FALSE),"Non trouvé")</f>
        <v>ZTE</v>
      </c>
    </row>
    <row r="380" spans="1:10" x14ac:dyDescent="0.25">
      <c r="A380" t="str">
        <f>IFERROR(VLOOKUP(Logs_reseau[[#This Row],[Cell_ID]],'[1]Registre_Maintenance_combine '!A:B,2,FALSE),"Non trouvé")</f>
        <v>Tshopo</v>
      </c>
      <c r="B380" t="s">
        <v>97</v>
      </c>
      <c r="C380" s="3">
        <v>45204.905555555553</v>
      </c>
      <c r="D380" s="11">
        <f>Logs_reseau[[#This Row],[Duree_Panne_Min]]/1440</f>
        <v>3.0555555555555555E-2</v>
      </c>
      <c r="E380">
        <v>44</v>
      </c>
      <c r="F380" t="s">
        <v>2</v>
      </c>
      <c r="G380">
        <f>IFERROR(VLOOKUP(Logs_reseau[[#This Row],[Cell_ID]],'[1]Registre_Maintenance_combine '!A:C,3,FALSE),"Non trouvé")</f>
        <v>3.0603760000000002</v>
      </c>
      <c r="H380">
        <f>IFERROR(VLOOKUP(Logs_reseau[[#This Row],[Cell_ID]],'[1]Registre_Maintenance_combine '!A:D,4,FALSE),"Non trouvé")</f>
        <v>19.708034000000001</v>
      </c>
      <c r="I380" t="str">
        <f>IFERROR(VLOOKUP(Logs_reseau[[#This Row],[Cell_ID]],'[1]Registre_Maintenance_combine '!A:E,5,FALSE),"Non trouvé")</f>
        <v>3G</v>
      </c>
      <c r="J380" t="str">
        <f>IFERROR(VLOOKUP(Logs_reseau[[#This Row],[Cell_ID]],'[1]Registre_Maintenance_combine '!A:F,6,FALSE),"Non trouvé")</f>
        <v>ZTE</v>
      </c>
    </row>
    <row r="381" spans="1:10" x14ac:dyDescent="0.25">
      <c r="A381" t="str">
        <f>IFERROR(VLOOKUP(Logs_reseau[[#This Row],[Cell_ID]],'[1]Registre_Maintenance_combine '!A:B,2,FALSE),"Non trouvé")</f>
        <v>Non trouvé</v>
      </c>
      <c r="B381" t="s">
        <v>98</v>
      </c>
      <c r="C381" s="3">
        <v>45203.511805555558</v>
      </c>
      <c r="D381" s="11">
        <f>Logs_reseau[[#This Row],[Duree_Panne_Min]]/1440</f>
        <v>4.7222222222222221E-2</v>
      </c>
      <c r="E381">
        <v>68</v>
      </c>
      <c r="F381" t="s">
        <v>4</v>
      </c>
      <c r="G381" t="str">
        <f>IFERROR(VLOOKUP(Logs_reseau[[#This Row],[Cell_ID]],'[1]Registre_Maintenance_combine '!A:C,3,FALSE),"Non trouvé")</f>
        <v>Non trouvé</v>
      </c>
      <c r="H381" t="str">
        <f>IFERROR(VLOOKUP(Logs_reseau[[#This Row],[Cell_ID]],'[1]Registre_Maintenance_combine '!A:D,4,FALSE),"Non trouvé")</f>
        <v>Non trouvé</v>
      </c>
      <c r="I381" t="str">
        <f>IFERROR(VLOOKUP(Logs_reseau[[#This Row],[Cell_ID]],'[1]Registre_Maintenance_combine '!A:E,5,FALSE),"Non trouvé")</f>
        <v>Non trouvé</v>
      </c>
      <c r="J381" t="str">
        <f>IFERROR(VLOOKUP(Logs_reseau[[#This Row],[Cell_ID]],'[1]Registre_Maintenance_combine '!A:F,6,FALSE),"Non trouvé")</f>
        <v>Non trouvé</v>
      </c>
    </row>
    <row r="382" spans="1:10" x14ac:dyDescent="0.25">
      <c r="A382" t="str">
        <f>IFERROR(VLOOKUP(Logs_reseau[[#This Row],[Cell_ID]],'[1]Registre_Maintenance_combine '!A:B,2,FALSE),"Non trouvé")</f>
        <v>Non trouvé</v>
      </c>
      <c r="B382" t="s">
        <v>98</v>
      </c>
      <c r="C382" s="3">
        <v>45214.870138888888</v>
      </c>
      <c r="D382" s="11">
        <f>Logs_reseau[[#This Row],[Duree_Panne_Min]]/1440</f>
        <v>6.458333333333334E-2</v>
      </c>
      <c r="E382">
        <v>93</v>
      </c>
      <c r="F382" t="s">
        <v>4</v>
      </c>
      <c r="G382" t="str">
        <f>IFERROR(VLOOKUP(Logs_reseau[[#This Row],[Cell_ID]],'[1]Registre_Maintenance_combine '!A:C,3,FALSE),"Non trouvé")</f>
        <v>Non trouvé</v>
      </c>
      <c r="H382" t="str">
        <f>IFERROR(VLOOKUP(Logs_reseau[[#This Row],[Cell_ID]],'[1]Registre_Maintenance_combine '!A:D,4,FALSE),"Non trouvé")</f>
        <v>Non trouvé</v>
      </c>
      <c r="I382" t="str">
        <f>IFERROR(VLOOKUP(Logs_reseau[[#This Row],[Cell_ID]],'[1]Registre_Maintenance_combine '!A:E,5,FALSE),"Non trouvé")</f>
        <v>Non trouvé</v>
      </c>
      <c r="J382" t="str">
        <f>IFERROR(VLOOKUP(Logs_reseau[[#This Row],[Cell_ID]],'[1]Registre_Maintenance_combine '!A:F,6,FALSE),"Non trouvé")</f>
        <v>Non trouvé</v>
      </c>
    </row>
    <row r="383" spans="1:10" x14ac:dyDescent="0.25">
      <c r="A383" t="str">
        <f>IFERROR(VLOOKUP(Logs_reseau[[#This Row],[Cell_ID]],'[1]Registre_Maintenance_combine '!A:B,2,FALSE),"Non trouvé")</f>
        <v>Non trouvé</v>
      </c>
      <c r="B383" t="s">
        <v>98</v>
      </c>
      <c r="C383" s="3">
        <v>45219.113194444442</v>
      </c>
      <c r="D383" s="11">
        <f>Logs_reseau[[#This Row],[Duree_Panne_Min]]/1440</f>
        <v>2.0833333333333332E-2</v>
      </c>
      <c r="E383">
        <v>30</v>
      </c>
      <c r="F383" t="s">
        <v>2</v>
      </c>
      <c r="G383" t="str">
        <f>IFERROR(VLOOKUP(Logs_reseau[[#This Row],[Cell_ID]],'[1]Registre_Maintenance_combine '!A:C,3,FALSE),"Non trouvé")</f>
        <v>Non trouvé</v>
      </c>
      <c r="H383" t="str">
        <f>IFERROR(VLOOKUP(Logs_reseau[[#This Row],[Cell_ID]],'[1]Registre_Maintenance_combine '!A:D,4,FALSE),"Non trouvé")</f>
        <v>Non trouvé</v>
      </c>
      <c r="I383" t="str">
        <f>IFERROR(VLOOKUP(Logs_reseau[[#This Row],[Cell_ID]],'[1]Registre_Maintenance_combine '!A:E,5,FALSE),"Non trouvé")</f>
        <v>Non trouvé</v>
      </c>
      <c r="J383" t="str">
        <f>IFERROR(VLOOKUP(Logs_reseau[[#This Row],[Cell_ID]],'[1]Registre_Maintenance_combine '!A:F,6,FALSE),"Non trouvé")</f>
        <v>Non trouvé</v>
      </c>
    </row>
    <row r="384" spans="1:10" x14ac:dyDescent="0.25">
      <c r="A384" t="str">
        <f>IFERROR(VLOOKUP(Logs_reseau[[#This Row],[Cell_ID]],'[1]Registre_Maintenance_combine '!A:B,2,FALSE),"Non trouvé")</f>
        <v>Non trouvé</v>
      </c>
      <c r="B384" t="s">
        <v>98</v>
      </c>
      <c r="C384" s="3">
        <v>45208.041666666664</v>
      </c>
      <c r="D384" s="11">
        <f>Logs_reseau[[#This Row],[Duree_Panne_Min]]/1440</f>
        <v>4.8611111111111112E-2</v>
      </c>
      <c r="E384">
        <v>70</v>
      </c>
      <c r="F384" t="s">
        <v>1</v>
      </c>
      <c r="G384" t="str">
        <f>IFERROR(VLOOKUP(Logs_reseau[[#This Row],[Cell_ID]],'[1]Registre_Maintenance_combine '!A:C,3,FALSE),"Non trouvé")</f>
        <v>Non trouvé</v>
      </c>
      <c r="H384" t="str">
        <f>IFERROR(VLOOKUP(Logs_reseau[[#This Row],[Cell_ID]],'[1]Registre_Maintenance_combine '!A:D,4,FALSE),"Non trouvé")</f>
        <v>Non trouvé</v>
      </c>
      <c r="I384" t="str">
        <f>IFERROR(VLOOKUP(Logs_reseau[[#This Row],[Cell_ID]],'[1]Registre_Maintenance_combine '!A:E,5,FALSE),"Non trouvé")</f>
        <v>Non trouvé</v>
      </c>
      <c r="J384" t="str">
        <f>IFERROR(VLOOKUP(Logs_reseau[[#This Row],[Cell_ID]],'[1]Registre_Maintenance_combine '!A:F,6,FALSE),"Non trouvé")</f>
        <v>Non trouvé</v>
      </c>
    </row>
    <row r="385" spans="1:10" x14ac:dyDescent="0.25">
      <c r="A385" t="str">
        <f>IFERROR(VLOOKUP(Logs_reseau[[#This Row],[Cell_ID]],'[1]Registre_Maintenance_combine '!A:B,2,FALSE),"Non trouvé")</f>
        <v>Non trouvé</v>
      </c>
      <c r="B385" t="s">
        <v>98</v>
      </c>
      <c r="C385" s="3">
        <v>45228.357638888891</v>
      </c>
      <c r="D385" s="11">
        <f>Logs_reseau[[#This Row],[Duree_Panne_Min]]/1440</f>
        <v>1.7361111111111112E-2</v>
      </c>
      <c r="E385">
        <v>25</v>
      </c>
      <c r="F385" t="s">
        <v>4</v>
      </c>
      <c r="G385" t="str">
        <f>IFERROR(VLOOKUP(Logs_reseau[[#This Row],[Cell_ID]],'[1]Registre_Maintenance_combine '!A:C,3,FALSE),"Non trouvé")</f>
        <v>Non trouvé</v>
      </c>
      <c r="H385" t="str">
        <f>IFERROR(VLOOKUP(Logs_reseau[[#This Row],[Cell_ID]],'[1]Registre_Maintenance_combine '!A:D,4,FALSE),"Non trouvé")</f>
        <v>Non trouvé</v>
      </c>
      <c r="I385" t="str">
        <f>IFERROR(VLOOKUP(Logs_reseau[[#This Row],[Cell_ID]],'[1]Registre_Maintenance_combine '!A:E,5,FALSE),"Non trouvé")</f>
        <v>Non trouvé</v>
      </c>
      <c r="J385" t="str">
        <f>IFERROR(VLOOKUP(Logs_reseau[[#This Row],[Cell_ID]],'[1]Registre_Maintenance_combine '!A:F,6,FALSE),"Non trouvé")</f>
        <v>Non trouvé</v>
      </c>
    </row>
    <row r="386" spans="1:10" x14ac:dyDescent="0.25">
      <c r="A386" t="str">
        <f>IFERROR(VLOOKUP(Logs_reseau[[#This Row],[Cell_ID]],'[1]Registre_Maintenance_combine '!A:B,2,FALSE),"Non trouvé")</f>
        <v>Non trouvé</v>
      </c>
      <c r="B386" t="s">
        <v>98</v>
      </c>
      <c r="C386" s="3">
        <v>45229.34097222222</v>
      </c>
      <c r="D386" s="11">
        <f>Logs_reseau[[#This Row],[Duree_Panne_Min]]/1440</f>
        <v>5.6944444444444443E-2</v>
      </c>
      <c r="E386">
        <v>82</v>
      </c>
      <c r="F386" t="s">
        <v>2</v>
      </c>
      <c r="G386" t="str">
        <f>IFERROR(VLOOKUP(Logs_reseau[[#This Row],[Cell_ID]],'[1]Registre_Maintenance_combine '!A:C,3,FALSE),"Non trouvé")</f>
        <v>Non trouvé</v>
      </c>
      <c r="H386" t="str">
        <f>IFERROR(VLOOKUP(Logs_reseau[[#This Row],[Cell_ID]],'[1]Registre_Maintenance_combine '!A:D,4,FALSE),"Non trouvé")</f>
        <v>Non trouvé</v>
      </c>
      <c r="I386" t="str">
        <f>IFERROR(VLOOKUP(Logs_reseau[[#This Row],[Cell_ID]],'[1]Registre_Maintenance_combine '!A:E,5,FALSE),"Non trouvé")</f>
        <v>Non trouvé</v>
      </c>
      <c r="J386" t="str">
        <f>IFERROR(VLOOKUP(Logs_reseau[[#This Row],[Cell_ID]],'[1]Registre_Maintenance_combine '!A:F,6,FALSE),"Non trouvé")</f>
        <v>Non trouvé</v>
      </c>
    </row>
    <row r="387" spans="1:10" x14ac:dyDescent="0.25">
      <c r="A387" t="str">
        <f>IFERROR(VLOOKUP(Logs_reseau[[#This Row],[Cell_ID]],'[1]Registre_Maintenance_combine '!A:B,2,FALSE),"Non trouvé")</f>
        <v>Non trouvé</v>
      </c>
      <c r="B387" t="s">
        <v>98</v>
      </c>
      <c r="C387" s="3">
        <v>45221.988194444442</v>
      </c>
      <c r="D387" s="11">
        <f>Logs_reseau[[#This Row],[Duree_Panne_Min]]/1440</f>
        <v>6.0416666666666667E-2</v>
      </c>
      <c r="E387">
        <v>87</v>
      </c>
      <c r="F387" t="s">
        <v>4</v>
      </c>
      <c r="G387" t="str">
        <f>IFERROR(VLOOKUP(Logs_reseau[[#This Row],[Cell_ID]],'[1]Registre_Maintenance_combine '!A:C,3,FALSE),"Non trouvé")</f>
        <v>Non trouvé</v>
      </c>
      <c r="H387" t="str">
        <f>IFERROR(VLOOKUP(Logs_reseau[[#This Row],[Cell_ID]],'[1]Registre_Maintenance_combine '!A:D,4,FALSE),"Non trouvé")</f>
        <v>Non trouvé</v>
      </c>
      <c r="I387" t="str">
        <f>IFERROR(VLOOKUP(Logs_reseau[[#This Row],[Cell_ID]],'[1]Registre_Maintenance_combine '!A:E,5,FALSE),"Non trouvé")</f>
        <v>Non trouvé</v>
      </c>
      <c r="J387" t="str">
        <f>IFERROR(VLOOKUP(Logs_reseau[[#This Row],[Cell_ID]],'[1]Registre_Maintenance_combine '!A:F,6,FALSE),"Non trouvé")</f>
        <v>Non trouvé</v>
      </c>
    </row>
    <row r="388" spans="1:10" x14ac:dyDescent="0.25">
      <c r="A388" t="str">
        <f>IFERROR(VLOOKUP(Logs_reseau[[#This Row],[Cell_ID]],'[1]Registre_Maintenance_combine '!A:B,2,FALSE),"Non trouvé")</f>
        <v>Non trouvé</v>
      </c>
      <c r="B388" t="s">
        <v>98</v>
      </c>
      <c r="C388" s="3">
        <v>45221.27847222222</v>
      </c>
      <c r="D388" s="11">
        <f>Logs_reseau[[#This Row],[Duree_Panne_Min]]/1440</f>
        <v>3.8194444444444448E-2</v>
      </c>
      <c r="E388">
        <v>55</v>
      </c>
      <c r="F388" t="s">
        <v>2</v>
      </c>
      <c r="G388" t="str">
        <f>IFERROR(VLOOKUP(Logs_reseau[[#This Row],[Cell_ID]],'[1]Registre_Maintenance_combine '!A:C,3,FALSE),"Non trouvé")</f>
        <v>Non trouvé</v>
      </c>
      <c r="H388" t="str">
        <f>IFERROR(VLOOKUP(Logs_reseau[[#This Row],[Cell_ID]],'[1]Registre_Maintenance_combine '!A:D,4,FALSE),"Non trouvé")</f>
        <v>Non trouvé</v>
      </c>
      <c r="I388" t="str">
        <f>IFERROR(VLOOKUP(Logs_reseau[[#This Row],[Cell_ID]],'[1]Registre_Maintenance_combine '!A:E,5,FALSE),"Non trouvé")</f>
        <v>Non trouvé</v>
      </c>
      <c r="J388" t="str">
        <f>IFERROR(VLOOKUP(Logs_reseau[[#This Row],[Cell_ID]],'[1]Registre_Maintenance_combine '!A:F,6,FALSE),"Non trouvé")</f>
        <v>Non trouvé</v>
      </c>
    </row>
    <row r="389" spans="1:10" x14ac:dyDescent="0.25">
      <c r="A389" t="str">
        <f>IFERROR(VLOOKUP(Logs_reseau[[#This Row],[Cell_ID]],'[1]Registre_Maintenance_combine '!A:B,2,FALSE),"Non trouvé")</f>
        <v>Non trouvé</v>
      </c>
      <c r="B389" t="s">
        <v>99</v>
      </c>
      <c r="C389" s="3">
        <v>45224.378472222219</v>
      </c>
      <c r="D389" s="11">
        <f>Logs_reseau[[#This Row],[Duree_Panne_Min]]/1440</f>
        <v>3.3333333333333333E-2</v>
      </c>
      <c r="E389">
        <v>48</v>
      </c>
      <c r="F389" t="s">
        <v>4</v>
      </c>
      <c r="G389" t="str">
        <f>IFERROR(VLOOKUP(Logs_reseau[[#This Row],[Cell_ID]],'[1]Registre_Maintenance_combine '!A:C,3,FALSE),"Non trouvé")</f>
        <v>Non trouvé</v>
      </c>
      <c r="H389" t="str">
        <f>IFERROR(VLOOKUP(Logs_reseau[[#This Row],[Cell_ID]],'[1]Registre_Maintenance_combine '!A:D,4,FALSE),"Non trouvé")</f>
        <v>Non trouvé</v>
      </c>
      <c r="I389" t="str">
        <f>IFERROR(VLOOKUP(Logs_reseau[[#This Row],[Cell_ID]],'[1]Registre_Maintenance_combine '!A:E,5,FALSE),"Non trouvé")</f>
        <v>Non trouvé</v>
      </c>
      <c r="J389" t="str">
        <f>IFERROR(VLOOKUP(Logs_reseau[[#This Row],[Cell_ID]],'[1]Registre_Maintenance_combine '!A:F,6,FALSE),"Non trouvé")</f>
        <v>Non trouvé</v>
      </c>
    </row>
    <row r="390" spans="1:10" x14ac:dyDescent="0.25">
      <c r="A390" t="str">
        <f>IFERROR(VLOOKUP(Logs_reseau[[#This Row],[Cell_ID]],'[1]Registre_Maintenance_combine '!A:B,2,FALSE),"Non trouvé")</f>
        <v>Non trouvé</v>
      </c>
      <c r="B390" t="s">
        <v>99</v>
      </c>
      <c r="C390" s="3">
        <v>45220.243055555555</v>
      </c>
      <c r="D390" s="11">
        <f>Logs_reseau[[#This Row],[Duree_Panne_Min]]/1440</f>
        <v>6.6666666666666666E-2</v>
      </c>
      <c r="E390">
        <v>96</v>
      </c>
      <c r="F390" t="s">
        <v>2</v>
      </c>
      <c r="G390" t="str">
        <f>IFERROR(VLOOKUP(Logs_reseau[[#This Row],[Cell_ID]],'[1]Registre_Maintenance_combine '!A:C,3,FALSE),"Non trouvé")</f>
        <v>Non trouvé</v>
      </c>
      <c r="H390" t="str">
        <f>IFERROR(VLOOKUP(Logs_reseau[[#This Row],[Cell_ID]],'[1]Registre_Maintenance_combine '!A:D,4,FALSE),"Non trouvé")</f>
        <v>Non trouvé</v>
      </c>
      <c r="I390" t="str">
        <f>IFERROR(VLOOKUP(Logs_reseau[[#This Row],[Cell_ID]],'[1]Registre_Maintenance_combine '!A:E,5,FALSE),"Non trouvé")</f>
        <v>Non trouvé</v>
      </c>
      <c r="J390" t="str">
        <f>IFERROR(VLOOKUP(Logs_reseau[[#This Row],[Cell_ID]],'[1]Registre_Maintenance_combine '!A:F,6,FALSE),"Non trouvé")</f>
        <v>Non trouvé</v>
      </c>
    </row>
    <row r="391" spans="1:10" x14ac:dyDescent="0.25">
      <c r="A391" t="str">
        <f>IFERROR(VLOOKUP(Logs_reseau[[#This Row],[Cell_ID]],'[1]Registre_Maintenance_combine '!A:B,2,FALSE),"Non trouvé")</f>
        <v>Non trouvé</v>
      </c>
      <c r="B391" t="s">
        <v>99</v>
      </c>
      <c r="C391" s="3">
        <v>45206.384027777778</v>
      </c>
      <c r="D391" s="11">
        <f>Logs_reseau[[#This Row],[Duree_Panne_Min]]/1440</f>
        <v>2.6388888888888889E-2</v>
      </c>
      <c r="E391">
        <v>38</v>
      </c>
      <c r="F391" t="s">
        <v>2</v>
      </c>
      <c r="G391" t="str">
        <f>IFERROR(VLOOKUP(Logs_reseau[[#This Row],[Cell_ID]],'[1]Registre_Maintenance_combine '!A:C,3,FALSE),"Non trouvé")</f>
        <v>Non trouvé</v>
      </c>
      <c r="H391" t="str">
        <f>IFERROR(VLOOKUP(Logs_reseau[[#This Row],[Cell_ID]],'[1]Registre_Maintenance_combine '!A:D,4,FALSE),"Non trouvé")</f>
        <v>Non trouvé</v>
      </c>
      <c r="I391" t="str">
        <f>IFERROR(VLOOKUP(Logs_reseau[[#This Row],[Cell_ID]],'[1]Registre_Maintenance_combine '!A:E,5,FALSE),"Non trouvé")</f>
        <v>Non trouvé</v>
      </c>
      <c r="J391" t="str">
        <f>IFERROR(VLOOKUP(Logs_reseau[[#This Row],[Cell_ID]],'[1]Registre_Maintenance_combine '!A:F,6,FALSE),"Non trouvé")</f>
        <v>Non trouvé</v>
      </c>
    </row>
    <row r="392" spans="1:10" x14ac:dyDescent="0.25">
      <c r="A392" t="str">
        <f>IFERROR(VLOOKUP(Logs_reseau[[#This Row],[Cell_ID]],'[1]Registre_Maintenance_combine '!A:B,2,FALSE),"Non trouvé")</f>
        <v>Non trouvé</v>
      </c>
      <c r="B392" t="s">
        <v>99</v>
      </c>
      <c r="C392" s="3">
        <v>45218.334722222222</v>
      </c>
      <c r="D392" s="11">
        <f>Logs_reseau[[#This Row],[Duree_Panne_Min]]/1440</f>
        <v>6.0416666666666667E-2</v>
      </c>
      <c r="E392">
        <v>87</v>
      </c>
      <c r="F392" t="s">
        <v>2</v>
      </c>
      <c r="G392" t="str">
        <f>IFERROR(VLOOKUP(Logs_reseau[[#This Row],[Cell_ID]],'[1]Registre_Maintenance_combine '!A:C,3,FALSE),"Non trouvé")</f>
        <v>Non trouvé</v>
      </c>
      <c r="H392" t="str">
        <f>IFERROR(VLOOKUP(Logs_reseau[[#This Row],[Cell_ID]],'[1]Registre_Maintenance_combine '!A:D,4,FALSE),"Non trouvé")</f>
        <v>Non trouvé</v>
      </c>
      <c r="I392" t="str">
        <f>IFERROR(VLOOKUP(Logs_reseau[[#This Row],[Cell_ID]],'[1]Registre_Maintenance_combine '!A:E,5,FALSE),"Non trouvé")</f>
        <v>Non trouvé</v>
      </c>
      <c r="J392" t="str">
        <f>IFERROR(VLOOKUP(Logs_reseau[[#This Row],[Cell_ID]],'[1]Registre_Maintenance_combine '!A:F,6,FALSE),"Non trouvé")</f>
        <v>Non trouvé</v>
      </c>
    </row>
    <row r="393" spans="1:10" x14ac:dyDescent="0.25">
      <c r="A393" t="str">
        <f>IFERROR(VLOOKUP(Logs_reseau[[#This Row],[Cell_ID]],'[1]Registre_Maintenance_combine '!A:B,2,FALSE),"Non trouvé")</f>
        <v>Non trouvé</v>
      </c>
      <c r="B393" t="s">
        <v>99</v>
      </c>
      <c r="C393" s="3">
        <v>45219.103472222225</v>
      </c>
      <c r="D393" s="11">
        <f>Logs_reseau[[#This Row],[Duree_Panne_Min]]/1440</f>
        <v>2.5694444444444443E-2</v>
      </c>
      <c r="E393">
        <v>37</v>
      </c>
      <c r="F393" t="s">
        <v>4</v>
      </c>
      <c r="G393" t="str">
        <f>IFERROR(VLOOKUP(Logs_reseau[[#This Row],[Cell_ID]],'[1]Registre_Maintenance_combine '!A:C,3,FALSE),"Non trouvé")</f>
        <v>Non trouvé</v>
      </c>
      <c r="H393" t="str">
        <f>IFERROR(VLOOKUP(Logs_reseau[[#This Row],[Cell_ID]],'[1]Registre_Maintenance_combine '!A:D,4,FALSE),"Non trouvé")</f>
        <v>Non trouvé</v>
      </c>
      <c r="I393" t="str">
        <f>IFERROR(VLOOKUP(Logs_reseau[[#This Row],[Cell_ID]],'[1]Registre_Maintenance_combine '!A:E,5,FALSE),"Non trouvé")</f>
        <v>Non trouvé</v>
      </c>
      <c r="J393" t="str">
        <f>IFERROR(VLOOKUP(Logs_reseau[[#This Row],[Cell_ID]],'[1]Registre_Maintenance_combine '!A:F,6,FALSE),"Non trouvé")</f>
        <v>Non trouvé</v>
      </c>
    </row>
    <row r="394" spans="1:10" x14ac:dyDescent="0.25">
      <c r="A394" t="str">
        <f>IFERROR(VLOOKUP(Logs_reseau[[#This Row],[Cell_ID]],'[1]Registre_Maintenance_combine '!A:B,2,FALSE),"Non trouvé")</f>
        <v>Non trouvé</v>
      </c>
      <c r="B394" t="s">
        <v>99</v>
      </c>
      <c r="C394" s="3">
        <v>45208.822222222225</v>
      </c>
      <c r="D394" s="11">
        <f>Logs_reseau[[#This Row],[Duree_Panne_Min]]/1440</f>
        <v>8.3333333333333329E-2</v>
      </c>
      <c r="E394">
        <v>120</v>
      </c>
      <c r="F394" t="s">
        <v>2</v>
      </c>
      <c r="G394" t="str">
        <f>IFERROR(VLOOKUP(Logs_reseau[[#This Row],[Cell_ID]],'[1]Registre_Maintenance_combine '!A:C,3,FALSE),"Non trouvé")</f>
        <v>Non trouvé</v>
      </c>
      <c r="H394" t="str">
        <f>IFERROR(VLOOKUP(Logs_reseau[[#This Row],[Cell_ID]],'[1]Registre_Maintenance_combine '!A:D,4,FALSE),"Non trouvé")</f>
        <v>Non trouvé</v>
      </c>
      <c r="I394" t="str">
        <f>IFERROR(VLOOKUP(Logs_reseau[[#This Row],[Cell_ID]],'[1]Registre_Maintenance_combine '!A:E,5,FALSE),"Non trouvé")</f>
        <v>Non trouvé</v>
      </c>
      <c r="J394" t="str">
        <f>IFERROR(VLOOKUP(Logs_reseau[[#This Row],[Cell_ID]],'[1]Registre_Maintenance_combine '!A:F,6,FALSE),"Non trouvé")</f>
        <v>Non trouvé</v>
      </c>
    </row>
    <row r="395" spans="1:10" x14ac:dyDescent="0.25">
      <c r="A395" t="str">
        <f>IFERROR(VLOOKUP(Logs_reseau[[#This Row],[Cell_ID]],'[1]Registre_Maintenance_combine '!A:B,2,FALSE),"Non trouvé")</f>
        <v>Non trouvé</v>
      </c>
      <c r="B395" t="s">
        <v>99</v>
      </c>
      <c r="C395" s="3">
        <v>45213.938194444447</v>
      </c>
      <c r="D395" s="11">
        <f>Logs_reseau[[#This Row],[Duree_Panne_Min]]/1440</f>
        <v>6.2500000000000003E-3</v>
      </c>
      <c r="E395">
        <v>9</v>
      </c>
      <c r="F395" t="s">
        <v>1</v>
      </c>
      <c r="G395" t="str">
        <f>IFERROR(VLOOKUP(Logs_reseau[[#This Row],[Cell_ID]],'[1]Registre_Maintenance_combine '!A:C,3,FALSE),"Non trouvé")</f>
        <v>Non trouvé</v>
      </c>
      <c r="H395" t="str">
        <f>IFERROR(VLOOKUP(Logs_reseau[[#This Row],[Cell_ID]],'[1]Registre_Maintenance_combine '!A:D,4,FALSE),"Non trouvé")</f>
        <v>Non trouvé</v>
      </c>
      <c r="I395" t="str">
        <f>IFERROR(VLOOKUP(Logs_reseau[[#This Row],[Cell_ID]],'[1]Registre_Maintenance_combine '!A:E,5,FALSE),"Non trouvé")</f>
        <v>Non trouvé</v>
      </c>
      <c r="J395" t="str">
        <f>IFERROR(VLOOKUP(Logs_reseau[[#This Row],[Cell_ID]],'[1]Registre_Maintenance_combine '!A:F,6,FALSE),"Non trouvé")</f>
        <v>Non trouvé</v>
      </c>
    </row>
    <row r="396" spans="1:10" x14ac:dyDescent="0.25">
      <c r="A396" t="str">
        <f>IFERROR(VLOOKUP(Logs_reseau[[#This Row],[Cell_ID]],'[1]Registre_Maintenance_combine '!A:B,2,FALSE),"Non trouvé")</f>
        <v>Non trouvé</v>
      </c>
      <c r="B396" t="s">
        <v>99</v>
      </c>
      <c r="C396" s="3">
        <v>45214.050694444442</v>
      </c>
      <c r="D396" s="11">
        <f>Logs_reseau[[#This Row],[Duree_Panne_Min]]/1440</f>
        <v>4.8611111111111112E-2</v>
      </c>
      <c r="E396">
        <v>70</v>
      </c>
      <c r="F396" t="s">
        <v>4</v>
      </c>
      <c r="G396" t="str">
        <f>IFERROR(VLOOKUP(Logs_reseau[[#This Row],[Cell_ID]],'[1]Registre_Maintenance_combine '!A:C,3,FALSE),"Non trouvé")</f>
        <v>Non trouvé</v>
      </c>
      <c r="H396" t="str">
        <f>IFERROR(VLOOKUP(Logs_reseau[[#This Row],[Cell_ID]],'[1]Registre_Maintenance_combine '!A:D,4,FALSE),"Non trouvé")</f>
        <v>Non trouvé</v>
      </c>
      <c r="I396" t="str">
        <f>IFERROR(VLOOKUP(Logs_reseau[[#This Row],[Cell_ID]],'[1]Registre_Maintenance_combine '!A:E,5,FALSE),"Non trouvé")</f>
        <v>Non trouvé</v>
      </c>
      <c r="J396" t="str">
        <f>IFERROR(VLOOKUP(Logs_reseau[[#This Row],[Cell_ID]],'[1]Registre_Maintenance_combine '!A:F,6,FALSE),"Non trouvé")</f>
        <v>Non trouvé</v>
      </c>
    </row>
    <row r="397" spans="1:10" x14ac:dyDescent="0.25">
      <c r="A397" t="str">
        <f>IFERROR(VLOOKUP(Logs_reseau[[#This Row],[Cell_ID]],'[1]Registre_Maintenance_combine '!A:B,2,FALSE),"Non trouvé")</f>
        <v>Non trouvé</v>
      </c>
      <c r="B397" t="s">
        <v>99</v>
      </c>
      <c r="C397" s="3">
        <v>45222.663194444445</v>
      </c>
      <c r="D397" s="11">
        <f>Logs_reseau[[#This Row],[Duree_Panne_Min]]/1440</f>
        <v>5.486111111111111E-2</v>
      </c>
      <c r="E397">
        <v>79</v>
      </c>
      <c r="F397" t="s">
        <v>4</v>
      </c>
      <c r="G397" t="str">
        <f>IFERROR(VLOOKUP(Logs_reseau[[#This Row],[Cell_ID]],'[1]Registre_Maintenance_combine '!A:C,3,FALSE),"Non trouvé")</f>
        <v>Non trouvé</v>
      </c>
      <c r="H397" t="str">
        <f>IFERROR(VLOOKUP(Logs_reseau[[#This Row],[Cell_ID]],'[1]Registre_Maintenance_combine '!A:D,4,FALSE),"Non trouvé")</f>
        <v>Non trouvé</v>
      </c>
      <c r="I397" t="str">
        <f>IFERROR(VLOOKUP(Logs_reseau[[#This Row],[Cell_ID]],'[1]Registre_Maintenance_combine '!A:E,5,FALSE),"Non trouvé")</f>
        <v>Non trouvé</v>
      </c>
      <c r="J397" t="str">
        <f>IFERROR(VLOOKUP(Logs_reseau[[#This Row],[Cell_ID]],'[1]Registre_Maintenance_combine '!A:F,6,FALSE),"Non trouvé")</f>
        <v>Non trouvé</v>
      </c>
    </row>
    <row r="398" spans="1:10" x14ac:dyDescent="0.25">
      <c r="A398" t="str">
        <f>IFERROR(VLOOKUP(Logs_reseau[[#This Row],[Cell_ID]],'[1]Registre_Maintenance_combine '!A:B,2,FALSE),"Non trouvé")</f>
        <v>Non trouvé</v>
      </c>
      <c r="B398" t="s">
        <v>99</v>
      </c>
      <c r="C398" s="3">
        <v>45208.025000000001</v>
      </c>
      <c r="D398" s="11">
        <f>Logs_reseau[[#This Row],[Duree_Panne_Min]]/1440</f>
        <v>7.8472222222222221E-2</v>
      </c>
      <c r="E398">
        <v>113</v>
      </c>
      <c r="F398" t="s">
        <v>1</v>
      </c>
      <c r="G398" t="str">
        <f>IFERROR(VLOOKUP(Logs_reseau[[#This Row],[Cell_ID]],'[1]Registre_Maintenance_combine '!A:C,3,FALSE),"Non trouvé")</f>
        <v>Non trouvé</v>
      </c>
      <c r="H398" t="str">
        <f>IFERROR(VLOOKUP(Logs_reseau[[#This Row],[Cell_ID]],'[1]Registre_Maintenance_combine '!A:D,4,FALSE),"Non trouvé")</f>
        <v>Non trouvé</v>
      </c>
      <c r="I398" t="str">
        <f>IFERROR(VLOOKUP(Logs_reseau[[#This Row],[Cell_ID]],'[1]Registre_Maintenance_combine '!A:E,5,FALSE),"Non trouvé")</f>
        <v>Non trouvé</v>
      </c>
      <c r="J398" t="str">
        <f>IFERROR(VLOOKUP(Logs_reseau[[#This Row],[Cell_ID]],'[1]Registre_Maintenance_combine '!A:F,6,FALSE),"Non trouvé")</f>
        <v>Non trouvé</v>
      </c>
    </row>
    <row r="399" spans="1:10" x14ac:dyDescent="0.25">
      <c r="A399" t="str">
        <f>IFERROR(VLOOKUP(Logs_reseau[[#This Row],[Cell_ID]],'[1]Registre_Maintenance_combine '!A:B,2,FALSE),"Non trouvé")</f>
        <v>Kongo-Central</v>
      </c>
      <c r="B399" t="s">
        <v>100</v>
      </c>
      <c r="C399" s="3">
        <v>45202.21875</v>
      </c>
      <c r="D399" s="11">
        <f>Logs_reseau[[#This Row],[Duree_Panne_Min]]/1440</f>
        <v>3.888888888888889E-2</v>
      </c>
      <c r="E399">
        <v>56</v>
      </c>
      <c r="F399" t="s">
        <v>4</v>
      </c>
      <c r="G399">
        <f>IFERROR(VLOOKUP(Logs_reseau[[#This Row],[Cell_ID]],'[1]Registre_Maintenance_combine '!A:C,3,FALSE),"Non trouvé")</f>
        <v>-11.157245</v>
      </c>
      <c r="H399">
        <f>IFERROR(VLOOKUP(Logs_reseau[[#This Row],[Cell_ID]],'[1]Registre_Maintenance_combine '!A:D,4,FALSE),"Non trouvé")</f>
        <v>21.262627999999999</v>
      </c>
      <c r="I399" t="str">
        <f>IFERROR(VLOOKUP(Logs_reseau[[#This Row],[Cell_ID]],'[1]Registre_Maintenance_combine '!A:E,5,FALSE),"Non trouvé")</f>
        <v>5G</v>
      </c>
      <c r="J399" t="str">
        <f>IFERROR(VLOOKUP(Logs_reseau[[#This Row],[Cell_ID]],'[1]Registre_Maintenance_combine '!A:F,6,FALSE),"Non trouvé")</f>
        <v>ZTE</v>
      </c>
    </row>
    <row r="400" spans="1:10" x14ac:dyDescent="0.25">
      <c r="A400" t="str">
        <f>IFERROR(VLOOKUP(Logs_reseau[[#This Row],[Cell_ID]],'[1]Registre_Maintenance_combine '!A:B,2,FALSE),"Non trouvé")</f>
        <v>Kongo-Central</v>
      </c>
      <c r="B400" t="s">
        <v>100</v>
      </c>
      <c r="C400" s="3">
        <v>45221.839583333334</v>
      </c>
      <c r="D400" s="11">
        <f>Logs_reseau[[#This Row],[Duree_Panne_Min]]/1440</f>
        <v>6.458333333333334E-2</v>
      </c>
      <c r="E400">
        <v>93</v>
      </c>
      <c r="F400" t="s">
        <v>4</v>
      </c>
      <c r="G400">
        <f>IFERROR(VLOOKUP(Logs_reseau[[#This Row],[Cell_ID]],'[1]Registre_Maintenance_combine '!A:C,3,FALSE),"Non trouvé")</f>
        <v>-11.157245</v>
      </c>
      <c r="H400">
        <f>IFERROR(VLOOKUP(Logs_reseau[[#This Row],[Cell_ID]],'[1]Registre_Maintenance_combine '!A:D,4,FALSE),"Non trouvé")</f>
        <v>21.262627999999999</v>
      </c>
      <c r="I400" t="str">
        <f>IFERROR(VLOOKUP(Logs_reseau[[#This Row],[Cell_ID]],'[1]Registre_Maintenance_combine '!A:E,5,FALSE),"Non trouvé")</f>
        <v>5G</v>
      </c>
      <c r="J400" t="str">
        <f>IFERROR(VLOOKUP(Logs_reseau[[#This Row],[Cell_ID]],'[1]Registre_Maintenance_combine '!A:F,6,FALSE),"Non trouvé")</f>
        <v>ZTE</v>
      </c>
    </row>
    <row r="401" spans="1:10" x14ac:dyDescent="0.25">
      <c r="A401" t="str">
        <f>IFERROR(VLOOKUP(Logs_reseau[[#This Row],[Cell_ID]],'[1]Registre_Maintenance_combine '!A:B,2,FALSE),"Non trouvé")</f>
        <v>Kongo-Central</v>
      </c>
      <c r="B401" t="s">
        <v>100</v>
      </c>
      <c r="C401" s="3">
        <v>45202.412499999999</v>
      </c>
      <c r="D401" s="11">
        <f>Logs_reseau[[#This Row],[Duree_Panne_Min]]/1440</f>
        <v>3.0555555555555555E-2</v>
      </c>
      <c r="E401">
        <v>44</v>
      </c>
      <c r="F401" t="s">
        <v>1</v>
      </c>
      <c r="G401">
        <f>IFERROR(VLOOKUP(Logs_reseau[[#This Row],[Cell_ID]],'[1]Registre_Maintenance_combine '!A:C,3,FALSE),"Non trouvé")</f>
        <v>-11.157245</v>
      </c>
      <c r="H401">
        <f>IFERROR(VLOOKUP(Logs_reseau[[#This Row],[Cell_ID]],'[1]Registre_Maintenance_combine '!A:D,4,FALSE),"Non trouvé")</f>
        <v>21.262627999999999</v>
      </c>
      <c r="I401" t="str">
        <f>IFERROR(VLOOKUP(Logs_reseau[[#This Row],[Cell_ID]],'[1]Registre_Maintenance_combine '!A:E,5,FALSE),"Non trouvé")</f>
        <v>5G</v>
      </c>
      <c r="J401" t="str">
        <f>IFERROR(VLOOKUP(Logs_reseau[[#This Row],[Cell_ID]],'[1]Registre_Maintenance_combine '!A:F,6,FALSE),"Non trouvé")</f>
        <v>ZTE</v>
      </c>
    </row>
    <row r="402" spans="1:10" x14ac:dyDescent="0.25">
      <c r="A402" t="str">
        <f>IFERROR(VLOOKUP(Logs_reseau[[#This Row],[Cell_ID]],'[1]Registre_Maintenance_combine '!A:B,2,FALSE),"Non trouvé")</f>
        <v>Kongo-Central</v>
      </c>
      <c r="B402" t="s">
        <v>100</v>
      </c>
      <c r="C402" s="3">
        <v>45220.663194444445</v>
      </c>
      <c r="D402" s="11">
        <f>Logs_reseau[[#This Row],[Duree_Panne_Min]]/1440</f>
        <v>7.6388888888888895E-2</v>
      </c>
      <c r="E402">
        <v>110</v>
      </c>
      <c r="F402" t="s">
        <v>2</v>
      </c>
      <c r="G402">
        <f>IFERROR(VLOOKUP(Logs_reseau[[#This Row],[Cell_ID]],'[1]Registre_Maintenance_combine '!A:C,3,FALSE),"Non trouvé")</f>
        <v>-11.157245</v>
      </c>
      <c r="H402">
        <f>IFERROR(VLOOKUP(Logs_reseau[[#This Row],[Cell_ID]],'[1]Registre_Maintenance_combine '!A:D,4,FALSE),"Non trouvé")</f>
        <v>21.262627999999999</v>
      </c>
      <c r="I402" t="str">
        <f>IFERROR(VLOOKUP(Logs_reseau[[#This Row],[Cell_ID]],'[1]Registre_Maintenance_combine '!A:E,5,FALSE),"Non trouvé")</f>
        <v>5G</v>
      </c>
      <c r="J402" t="str">
        <f>IFERROR(VLOOKUP(Logs_reseau[[#This Row],[Cell_ID]],'[1]Registre_Maintenance_combine '!A:F,6,FALSE),"Non trouvé")</f>
        <v>ZTE</v>
      </c>
    </row>
    <row r="403" spans="1:10" x14ac:dyDescent="0.25">
      <c r="A403" t="str">
        <f>IFERROR(VLOOKUP(Logs_reseau[[#This Row],[Cell_ID]],'[1]Registre_Maintenance_combine '!A:B,2,FALSE),"Non trouvé")</f>
        <v>Non trouvé</v>
      </c>
      <c r="B403" t="s">
        <v>101</v>
      </c>
      <c r="C403" s="3">
        <v>45209.227777777778</v>
      </c>
      <c r="D403" s="11">
        <f>Logs_reseau[[#This Row],[Duree_Panne_Min]]/1440</f>
        <v>9.0277777777777769E-3</v>
      </c>
      <c r="E403">
        <v>13</v>
      </c>
      <c r="F403" t="s">
        <v>2</v>
      </c>
      <c r="G403" t="str">
        <f>IFERROR(VLOOKUP(Logs_reseau[[#This Row],[Cell_ID]],'[1]Registre_Maintenance_combine '!A:C,3,FALSE),"Non trouvé")</f>
        <v>Non trouvé</v>
      </c>
      <c r="H403" t="str">
        <f>IFERROR(VLOOKUP(Logs_reseau[[#This Row],[Cell_ID]],'[1]Registre_Maintenance_combine '!A:D,4,FALSE),"Non trouvé")</f>
        <v>Non trouvé</v>
      </c>
      <c r="I403" t="str">
        <f>IFERROR(VLOOKUP(Logs_reseau[[#This Row],[Cell_ID]],'[1]Registre_Maintenance_combine '!A:E,5,FALSE),"Non trouvé")</f>
        <v>Non trouvé</v>
      </c>
      <c r="J403" t="str">
        <f>IFERROR(VLOOKUP(Logs_reseau[[#This Row],[Cell_ID]],'[1]Registre_Maintenance_combine '!A:F,6,FALSE),"Non trouvé")</f>
        <v>Non trouvé</v>
      </c>
    </row>
    <row r="404" spans="1:10" x14ac:dyDescent="0.25">
      <c r="A404" t="str">
        <f>IFERROR(VLOOKUP(Logs_reseau[[#This Row],[Cell_ID]],'[1]Registre_Maintenance_combine '!A:B,2,FALSE),"Non trouvé")</f>
        <v>Non trouvé</v>
      </c>
      <c r="B404" t="s">
        <v>101</v>
      </c>
      <c r="C404" s="3">
        <v>45209.777083333334</v>
      </c>
      <c r="D404" s="11">
        <f>Logs_reseau[[#This Row],[Duree_Panne_Min]]/1440</f>
        <v>7.0833333333333331E-2</v>
      </c>
      <c r="E404">
        <v>102</v>
      </c>
      <c r="F404" t="s">
        <v>1</v>
      </c>
      <c r="G404" t="str">
        <f>IFERROR(VLOOKUP(Logs_reseau[[#This Row],[Cell_ID]],'[1]Registre_Maintenance_combine '!A:C,3,FALSE),"Non trouvé")</f>
        <v>Non trouvé</v>
      </c>
      <c r="H404" t="str">
        <f>IFERROR(VLOOKUP(Logs_reseau[[#This Row],[Cell_ID]],'[1]Registre_Maintenance_combine '!A:D,4,FALSE),"Non trouvé")</f>
        <v>Non trouvé</v>
      </c>
      <c r="I404" t="str">
        <f>IFERROR(VLOOKUP(Logs_reseau[[#This Row],[Cell_ID]],'[1]Registre_Maintenance_combine '!A:E,5,FALSE),"Non trouvé")</f>
        <v>Non trouvé</v>
      </c>
      <c r="J404" t="str">
        <f>IFERROR(VLOOKUP(Logs_reseau[[#This Row],[Cell_ID]],'[1]Registre_Maintenance_combine '!A:F,6,FALSE),"Non trouvé")</f>
        <v>Non trouvé</v>
      </c>
    </row>
    <row r="405" spans="1:10" x14ac:dyDescent="0.25">
      <c r="A405" t="str">
        <f>IFERROR(VLOOKUP(Logs_reseau[[#This Row],[Cell_ID]],'[1]Registre_Maintenance_combine '!A:B,2,FALSE),"Non trouvé")</f>
        <v>Non trouvé</v>
      </c>
      <c r="B405" t="s">
        <v>101</v>
      </c>
      <c r="C405" s="3">
        <v>45219.322916666664</v>
      </c>
      <c r="D405" s="11">
        <f>Logs_reseau[[#This Row],[Duree_Panne_Min]]/1440</f>
        <v>1.7361111111111112E-2</v>
      </c>
      <c r="E405">
        <v>25</v>
      </c>
      <c r="F405" t="s">
        <v>1</v>
      </c>
      <c r="G405" t="str">
        <f>IFERROR(VLOOKUP(Logs_reseau[[#This Row],[Cell_ID]],'[1]Registre_Maintenance_combine '!A:C,3,FALSE),"Non trouvé")</f>
        <v>Non trouvé</v>
      </c>
      <c r="H405" t="str">
        <f>IFERROR(VLOOKUP(Logs_reseau[[#This Row],[Cell_ID]],'[1]Registre_Maintenance_combine '!A:D,4,FALSE),"Non trouvé")</f>
        <v>Non trouvé</v>
      </c>
      <c r="I405" t="str">
        <f>IFERROR(VLOOKUP(Logs_reseau[[#This Row],[Cell_ID]],'[1]Registre_Maintenance_combine '!A:E,5,FALSE),"Non trouvé")</f>
        <v>Non trouvé</v>
      </c>
      <c r="J405" t="str">
        <f>IFERROR(VLOOKUP(Logs_reseau[[#This Row],[Cell_ID]],'[1]Registre_Maintenance_combine '!A:F,6,FALSE),"Non trouvé")</f>
        <v>Non trouvé</v>
      </c>
    </row>
    <row r="406" spans="1:10" x14ac:dyDescent="0.25">
      <c r="A406" t="str">
        <f>IFERROR(VLOOKUP(Logs_reseau[[#This Row],[Cell_ID]],'[1]Registre_Maintenance_combine '!A:B,2,FALSE),"Non trouvé")</f>
        <v>Non trouvé</v>
      </c>
      <c r="B406" t="s">
        <v>101</v>
      </c>
      <c r="C406" s="3">
        <v>45227.587500000001</v>
      </c>
      <c r="D406" s="11">
        <f>Logs_reseau[[#This Row],[Duree_Panne_Min]]/1440</f>
        <v>4.5138888888888888E-2</v>
      </c>
      <c r="E406">
        <v>65</v>
      </c>
      <c r="F406" t="s">
        <v>1</v>
      </c>
      <c r="G406" t="str">
        <f>IFERROR(VLOOKUP(Logs_reseau[[#This Row],[Cell_ID]],'[1]Registre_Maintenance_combine '!A:C,3,FALSE),"Non trouvé")</f>
        <v>Non trouvé</v>
      </c>
      <c r="H406" t="str">
        <f>IFERROR(VLOOKUP(Logs_reseau[[#This Row],[Cell_ID]],'[1]Registre_Maintenance_combine '!A:D,4,FALSE),"Non trouvé")</f>
        <v>Non trouvé</v>
      </c>
      <c r="I406" t="str">
        <f>IFERROR(VLOOKUP(Logs_reseau[[#This Row],[Cell_ID]],'[1]Registre_Maintenance_combine '!A:E,5,FALSE),"Non trouvé")</f>
        <v>Non trouvé</v>
      </c>
      <c r="J406" t="str">
        <f>IFERROR(VLOOKUP(Logs_reseau[[#This Row],[Cell_ID]],'[1]Registre_Maintenance_combine '!A:F,6,FALSE),"Non trouvé")</f>
        <v>Non trouvé</v>
      </c>
    </row>
    <row r="407" spans="1:10" x14ac:dyDescent="0.25">
      <c r="A407" t="str">
        <f>IFERROR(VLOOKUP(Logs_reseau[[#This Row],[Cell_ID]],'[1]Registre_Maintenance_combine '!A:B,2,FALSE),"Non trouvé")</f>
        <v>Non trouvé</v>
      </c>
      <c r="B407" t="s">
        <v>101</v>
      </c>
      <c r="C407" s="3">
        <v>45223.869444444441</v>
      </c>
      <c r="D407" s="11">
        <f>Logs_reseau[[#This Row],[Duree_Panne_Min]]/1440</f>
        <v>6.8750000000000006E-2</v>
      </c>
      <c r="E407">
        <v>99</v>
      </c>
      <c r="F407" t="s">
        <v>2</v>
      </c>
      <c r="G407" t="str">
        <f>IFERROR(VLOOKUP(Logs_reseau[[#This Row],[Cell_ID]],'[1]Registre_Maintenance_combine '!A:C,3,FALSE),"Non trouvé")</f>
        <v>Non trouvé</v>
      </c>
      <c r="H407" t="str">
        <f>IFERROR(VLOOKUP(Logs_reseau[[#This Row],[Cell_ID]],'[1]Registre_Maintenance_combine '!A:D,4,FALSE),"Non trouvé")</f>
        <v>Non trouvé</v>
      </c>
      <c r="I407" t="str">
        <f>IFERROR(VLOOKUP(Logs_reseau[[#This Row],[Cell_ID]],'[1]Registre_Maintenance_combine '!A:E,5,FALSE),"Non trouvé")</f>
        <v>Non trouvé</v>
      </c>
      <c r="J407" t="str">
        <f>IFERROR(VLOOKUP(Logs_reseau[[#This Row],[Cell_ID]],'[1]Registre_Maintenance_combine '!A:F,6,FALSE),"Non trouvé")</f>
        <v>Non trouvé</v>
      </c>
    </row>
    <row r="408" spans="1:10" x14ac:dyDescent="0.25">
      <c r="A408" t="str">
        <f>IFERROR(VLOOKUP(Logs_reseau[[#This Row],[Cell_ID]],'[1]Registre_Maintenance_combine '!A:B,2,FALSE),"Non trouvé")</f>
        <v>Non trouvé</v>
      </c>
      <c r="B408" t="s">
        <v>101</v>
      </c>
      <c r="C408" s="3">
        <v>45215.67291666667</v>
      </c>
      <c r="D408" s="11">
        <f>Logs_reseau[[#This Row],[Duree_Panne_Min]]/1440</f>
        <v>3.1944444444444442E-2</v>
      </c>
      <c r="E408">
        <v>46</v>
      </c>
      <c r="F408" t="s">
        <v>2</v>
      </c>
      <c r="G408" t="str">
        <f>IFERROR(VLOOKUP(Logs_reseau[[#This Row],[Cell_ID]],'[1]Registre_Maintenance_combine '!A:C,3,FALSE),"Non trouvé")</f>
        <v>Non trouvé</v>
      </c>
      <c r="H408" t="str">
        <f>IFERROR(VLOOKUP(Logs_reseau[[#This Row],[Cell_ID]],'[1]Registre_Maintenance_combine '!A:D,4,FALSE),"Non trouvé")</f>
        <v>Non trouvé</v>
      </c>
      <c r="I408" t="str">
        <f>IFERROR(VLOOKUP(Logs_reseau[[#This Row],[Cell_ID]],'[1]Registre_Maintenance_combine '!A:E,5,FALSE),"Non trouvé")</f>
        <v>Non trouvé</v>
      </c>
      <c r="J408" t="str">
        <f>IFERROR(VLOOKUP(Logs_reseau[[#This Row],[Cell_ID]],'[1]Registre_Maintenance_combine '!A:F,6,FALSE),"Non trouvé")</f>
        <v>Non trouvé</v>
      </c>
    </row>
    <row r="409" spans="1:10" x14ac:dyDescent="0.25">
      <c r="A409" t="str">
        <f>IFERROR(VLOOKUP(Logs_reseau[[#This Row],[Cell_ID]],'[1]Registre_Maintenance_combine '!A:B,2,FALSE),"Non trouvé")</f>
        <v>Non trouvé</v>
      </c>
      <c r="B409" t="s">
        <v>101</v>
      </c>
      <c r="C409" s="3">
        <v>45216.459027777775</v>
      </c>
      <c r="D409" s="11">
        <f>Logs_reseau[[#This Row],[Duree_Panne_Min]]/1440</f>
        <v>4.791666666666667E-2</v>
      </c>
      <c r="E409">
        <v>69</v>
      </c>
      <c r="F409" t="s">
        <v>4</v>
      </c>
      <c r="G409" t="str">
        <f>IFERROR(VLOOKUP(Logs_reseau[[#This Row],[Cell_ID]],'[1]Registre_Maintenance_combine '!A:C,3,FALSE),"Non trouvé")</f>
        <v>Non trouvé</v>
      </c>
      <c r="H409" t="str">
        <f>IFERROR(VLOOKUP(Logs_reseau[[#This Row],[Cell_ID]],'[1]Registre_Maintenance_combine '!A:D,4,FALSE),"Non trouvé")</f>
        <v>Non trouvé</v>
      </c>
      <c r="I409" t="str">
        <f>IFERROR(VLOOKUP(Logs_reseau[[#This Row],[Cell_ID]],'[1]Registre_Maintenance_combine '!A:E,5,FALSE),"Non trouvé")</f>
        <v>Non trouvé</v>
      </c>
      <c r="J409" t="str">
        <f>IFERROR(VLOOKUP(Logs_reseau[[#This Row],[Cell_ID]],'[1]Registre_Maintenance_combine '!A:F,6,FALSE),"Non trouvé")</f>
        <v>Non trouvé</v>
      </c>
    </row>
    <row r="410" spans="1:10" x14ac:dyDescent="0.25">
      <c r="A410" t="str">
        <f>IFERROR(VLOOKUP(Logs_reseau[[#This Row],[Cell_ID]],'[1]Registre_Maintenance_combine '!A:B,2,FALSE),"Non trouvé")</f>
        <v>Haut-Uele</v>
      </c>
      <c r="B410" t="s">
        <v>102</v>
      </c>
      <c r="C410" s="3">
        <v>45226.07708333333</v>
      </c>
      <c r="D410" s="11">
        <f>Logs_reseau[[#This Row],[Duree_Panne_Min]]/1440</f>
        <v>4.1666666666666664E-2</v>
      </c>
      <c r="E410">
        <v>60</v>
      </c>
      <c r="F410" t="s">
        <v>1</v>
      </c>
      <c r="G410">
        <f>IFERROR(VLOOKUP(Logs_reseau[[#This Row],[Cell_ID]],'[1]Registre_Maintenance_combine '!A:C,3,FALSE),"Non trouvé")</f>
        <v>1.0134879999999999</v>
      </c>
      <c r="H410">
        <f>IFERROR(VLOOKUP(Logs_reseau[[#This Row],[Cell_ID]],'[1]Registre_Maintenance_combine '!A:D,4,FALSE),"Non trouvé")</f>
        <v>20.363515</v>
      </c>
      <c r="I410" t="str">
        <f>IFERROR(VLOOKUP(Logs_reseau[[#This Row],[Cell_ID]],'[1]Registre_Maintenance_combine '!A:E,5,FALSE),"Non trouvé")</f>
        <v>4G</v>
      </c>
      <c r="J410" t="str">
        <f>IFERROR(VLOOKUP(Logs_reseau[[#This Row],[Cell_ID]],'[1]Registre_Maintenance_combine '!A:F,6,FALSE),"Non trouvé")</f>
        <v>Nokia</v>
      </c>
    </row>
    <row r="411" spans="1:10" x14ac:dyDescent="0.25">
      <c r="A411" t="str">
        <f>IFERROR(VLOOKUP(Logs_reseau[[#This Row],[Cell_ID]],'[1]Registre_Maintenance_combine '!A:B,2,FALSE),"Non trouvé")</f>
        <v>Haut-Uele</v>
      </c>
      <c r="B411" t="s">
        <v>102</v>
      </c>
      <c r="C411" s="3">
        <v>45202.5</v>
      </c>
      <c r="D411" s="11">
        <f>Logs_reseau[[#This Row],[Duree_Panne_Min]]/1440</f>
        <v>6.458333333333334E-2</v>
      </c>
      <c r="E411">
        <v>93</v>
      </c>
      <c r="F411" t="s">
        <v>1</v>
      </c>
      <c r="G411">
        <f>IFERROR(VLOOKUP(Logs_reseau[[#This Row],[Cell_ID]],'[1]Registre_Maintenance_combine '!A:C,3,FALSE),"Non trouvé")</f>
        <v>1.0134879999999999</v>
      </c>
      <c r="H411">
        <f>IFERROR(VLOOKUP(Logs_reseau[[#This Row],[Cell_ID]],'[1]Registre_Maintenance_combine '!A:D,4,FALSE),"Non trouvé")</f>
        <v>20.363515</v>
      </c>
      <c r="I411" t="str">
        <f>IFERROR(VLOOKUP(Logs_reseau[[#This Row],[Cell_ID]],'[1]Registre_Maintenance_combine '!A:E,5,FALSE),"Non trouvé")</f>
        <v>4G</v>
      </c>
      <c r="J411" t="str">
        <f>IFERROR(VLOOKUP(Logs_reseau[[#This Row],[Cell_ID]],'[1]Registre_Maintenance_combine '!A:F,6,FALSE),"Non trouvé")</f>
        <v>Nokia</v>
      </c>
    </row>
    <row r="412" spans="1:10" x14ac:dyDescent="0.25">
      <c r="A412" t="str">
        <f>IFERROR(VLOOKUP(Logs_reseau[[#This Row],[Cell_ID]],'[1]Registre_Maintenance_combine '!A:B,2,FALSE),"Non trouvé")</f>
        <v>Haut-Uele</v>
      </c>
      <c r="B412" t="s">
        <v>102</v>
      </c>
      <c r="C412" s="3">
        <v>45218.732638888891</v>
      </c>
      <c r="D412" s="11">
        <f>Logs_reseau[[#This Row],[Duree_Panne_Min]]/1440</f>
        <v>3.9583333333333331E-2</v>
      </c>
      <c r="E412">
        <v>57</v>
      </c>
      <c r="F412" t="s">
        <v>4</v>
      </c>
      <c r="G412">
        <f>IFERROR(VLOOKUP(Logs_reseau[[#This Row],[Cell_ID]],'[1]Registre_Maintenance_combine '!A:C,3,FALSE),"Non trouvé")</f>
        <v>1.0134879999999999</v>
      </c>
      <c r="H412">
        <f>IFERROR(VLOOKUP(Logs_reseau[[#This Row],[Cell_ID]],'[1]Registre_Maintenance_combine '!A:D,4,FALSE),"Non trouvé")</f>
        <v>20.363515</v>
      </c>
      <c r="I412" t="str">
        <f>IFERROR(VLOOKUP(Logs_reseau[[#This Row],[Cell_ID]],'[1]Registre_Maintenance_combine '!A:E,5,FALSE),"Non trouvé")</f>
        <v>4G</v>
      </c>
      <c r="J412" t="str">
        <f>IFERROR(VLOOKUP(Logs_reseau[[#This Row],[Cell_ID]],'[1]Registre_Maintenance_combine '!A:F,6,FALSE),"Non trouvé")</f>
        <v>Nokia</v>
      </c>
    </row>
    <row r="413" spans="1:10" x14ac:dyDescent="0.25">
      <c r="A413" t="str">
        <f>IFERROR(VLOOKUP(Logs_reseau[[#This Row],[Cell_ID]],'[1]Registre_Maintenance_combine '!A:B,2,FALSE),"Non trouvé")</f>
        <v>Haut-Uele</v>
      </c>
      <c r="B413" t="s">
        <v>102</v>
      </c>
      <c r="C413" s="3">
        <v>45203.447916666664</v>
      </c>
      <c r="D413" s="11">
        <f>Logs_reseau[[#This Row],[Duree_Panne_Min]]/1440</f>
        <v>3.472222222222222E-3</v>
      </c>
      <c r="E413">
        <v>5</v>
      </c>
      <c r="F413" t="s">
        <v>4</v>
      </c>
      <c r="G413">
        <f>IFERROR(VLOOKUP(Logs_reseau[[#This Row],[Cell_ID]],'[1]Registre_Maintenance_combine '!A:C,3,FALSE),"Non trouvé")</f>
        <v>1.0134879999999999</v>
      </c>
      <c r="H413">
        <f>IFERROR(VLOOKUP(Logs_reseau[[#This Row],[Cell_ID]],'[1]Registre_Maintenance_combine '!A:D,4,FALSE),"Non trouvé")</f>
        <v>20.363515</v>
      </c>
      <c r="I413" t="str">
        <f>IFERROR(VLOOKUP(Logs_reseau[[#This Row],[Cell_ID]],'[1]Registre_Maintenance_combine '!A:E,5,FALSE),"Non trouvé")</f>
        <v>4G</v>
      </c>
      <c r="J413" t="str">
        <f>IFERROR(VLOOKUP(Logs_reseau[[#This Row],[Cell_ID]],'[1]Registre_Maintenance_combine '!A:F,6,FALSE),"Non trouvé")</f>
        <v>Nokia</v>
      </c>
    </row>
    <row r="414" spans="1:10" x14ac:dyDescent="0.25">
      <c r="A414" t="str">
        <f>IFERROR(VLOOKUP(Logs_reseau[[#This Row],[Cell_ID]],'[1]Registre_Maintenance_combine '!A:B,2,FALSE),"Non trouvé")</f>
        <v>Non trouvé</v>
      </c>
      <c r="B414" t="s">
        <v>103</v>
      </c>
      <c r="C414" s="3">
        <v>45227.117361111108</v>
      </c>
      <c r="D414" s="11">
        <f>Logs_reseau[[#This Row],[Duree_Panne_Min]]/1440</f>
        <v>3.9583333333333331E-2</v>
      </c>
      <c r="E414">
        <v>57</v>
      </c>
      <c r="F414" t="s">
        <v>4</v>
      </c>
      <c r="G414" t="str">
        <f>IFERROR(VLOOKUP(Logs_reseau[[#This Row],[Cell_ID]],'[1]Registre_Maintenance_combine '!A:C,3,FALSE),"Non trouvé")</f>
        <v>Non trouvé</v>
      </c>
      <c r="H414" t="str">
        <f>IFERROR(VLOOKUP(Logs_reseau[[#This Row],[Cell_ID]],'[1]Registre_Maintenance_combine '!A:D,4,FALSE),"Non trouvé")</f>
        <v>Non trouvé</v>
      </c>
      <c r="I414" t="str">
        <f>IFERROR(VLOOKUP(Logs_reseau[[#This Row],[Cell_ID]],'[1]Registre_Maintenance_combine '!A:E,5,FALSE),"Non trouvé")</f>
        <v>Non trouvé</v>
      </c>
      <c r="J414" t="str">
        <f>IFERROR(VLOOKUP(Logs_reseau[[#This Row],[Cell_ID]],'[1]Registre_Maintenance_combine '!A:F,6,FALSE),"Non trouvé")</f>
        <v>Non trouvé</v>
      </c>
    </row>
    <row r="415" spans="1:10" x14ac:dyDescent="0.25">
      <c r="A415" t="str">
        <f>IFERROR(VLOOKUP(Logs_reseau[[#This Row],[Cell_ID]],'[1]Registre_Maintenance_combine '!A:B,2,FALSE),"Non trouvé")</f>
        <v>Non trouvé</v>
      </c>
      <c r="B415" t="s">
        <v>103</v>
      </c>
      <c r="C415" s="3">
        <v>45215.143750000003</v>
      </c>
      <c r="D415" s="11">
        <f>Logs_reseau[[#This Row],[Duree_Panne_Min]]/1440</f>
        <v>1.2500000000000001E-2</v>
      </c>
      <c r="E415">
        <v>18</v>
      </c>
      <c r="F415" t="s">
        <v>1</v>
      </c>
      <c r="G415" t="str">
        <f>IFERROR(VLOOKUP(Logs_reseau[[#This Row],[Cell_ID]],'[1]Registre_Maintenance_combine '!A:C,3,FALSE),"Non trouvé")</f>
        <v>Non trouvé</v>
      </c>
      <c r="H415" t="str">
        <f>IFERROR(VLOOKUP(Logs_reseau[[#This Row],[Cell_ID]],'[1]Registre_Maintenance_combine '!A:D,4,FALSE),"Non trouvé")</f>
        <v>Non trouvé</v>
      </c>
      <c r="I415" t="str">
        <f>IFERROR(VLOOKUP(Logs_reseau[[#This Row],[Cell_ID]],'[1]Registre_Maintenance_combine '!A:E,5,FALSE),"Non trouvé")</f>
        <v>Non trouvé</v>
      </c>
      <c r="J415" t="str">
        <f>IFERROR(VLOOKUP(Logs_reseau[[#This Row],[Cell_ID]],'[1]Registre_Maintenance_combine '!A:F,6,FALSE),"Non trouvé")</f>
        <v>Non trouvé</v>
      </c>
    </row>
    <row r="416" spans="1:10" x14ac:dyDescent="0.25">
      <c r="A416" t="str">
        <f>IFERROR(VLOOKUP(Logs_reseau[[#This Row],[Cell_ID]],'[1]Registre_Maintenance_combine '!A:B,2,FALSE),"Non trouvé")</f>
        <v>Non trouvé</v>
      </c>
      <c r="B416" t="s">
        <v>103</v>
      </c>
      <c r="C416" s="3">
        <v>45218.378472222219</v>
      </c>
      <c r="D416" s="11">
        <f>Logs_reseau[[#This Row],[Duree_Panne_Min]]/1440</f>
        <v>1.2500000000000001E-2</v>
      </c>
      <c r="E416">
        <v>18</v>
      </c>
      <c r="F416" t="s">
        <v>1</v>
      </c>
      <c r="G416" t="str">
        <f>IFERROR(VLOOKUP(Logs_reseau[[#This Row],[Cell_ID]],'[1]Registre_Maintenance_combine '!A:C,3,FALSE),"Non trouvé")</f>
        <v>Non trouvé</v>
      </c>
      <c r="H416" t="str">
        <f>IFERROR(VLOOKUP(Logs_reseau[[#This Row],[Cell_ID]],'[1]Registre_Maintenance_combine '!A:D,4,FALSE),"Non trouvé")</f>
        <v>Non trouvé</v>
      </c>
      <c r="I416" t="str">
        <f>IFERROR(VLOOKUP(Logs_reseau[[#This Row],[Cell_ID]],'[1]Registre_Maintenance_combine '!A:E,5,FALSE),"Non trouvé")</f>
        <v>Non trouvé</v>
      </c>
      <c r="J416" t="str">
        <f>IFERROR(VLOOKUP(Logs_reseau[[#This Row],[Cell_ID]],'[1]Registre_Maintenance_combine '!A:F,6,FALSE),"Non trouvé")</f>
        <v>Non trouvé</v>
      </c>
    </row>
    <row r="417" spans="1:10" x14ac:dyDescent="0.25">
      <c r="A417" t="str">
        <f>IFERROR(VLOOKUP(Logs_reseau[[#This Row],[Cell_ID]],'[1]Registre_Maintenance_combine '!A:B,2,FALSE),"Non trouvé")</f>
        <v>Non trouvé</v>
      </c>
      <c r="B417" t="s">
        <v>103</v>
      </c>
      <c r="C417" s="3">
        <v>45216.729861111111</v>
      </c>
      <c r="D417" s="11">
        <f>Logs_reseau[[#This Row],[Duree_Panne_Min]]/1440</f>
        <v>1.4583333333333334E-2</v>
      </c>
      <c r="E417">
        <v>21</v>
      </c>
      <c r="F417" t="s">
        <v>2</v>
      </c>
      <c r="G417" t="str">
        <f>IFERROR(VLOOKUP(Logs_reseau[[#This Row],[Cell_ID]],'[1]Registre_Maintenance_combine '!A:C,3,FALSE),"Non trouvé")</f>
        <v>Non trouvé</v>
      </c>
      <c r="H417" t="str">
        <f>IFERROR(VLOOKUP(Logs_reseau[[#This Row],[Cell_ID]],'[1]Registre_Maintenance_combine '!A:D,4,FALSE),"Non trouvé")</f>
        <v>Non trouvé</v>
      </c>
      <c r="I417" t="str">
        <f>IFERROR(VLOOKUP(Logs_reseau[[#This Row],[Cell_ID]],'[1]Registre_Maintenance_combine '!A:E,5,FALSE),"Non trouvé")</f>
        <v>Non trouvé</v>
      </c>
      <c r="J417" t="str">
        <f>IFERROR(VLOOKUP(Logs_reseau[[#This Row],[Cell_ID]],'[1]Registre_Maintenance_combine '!A:F,6,FALSE),"Non trouvé")</f>
        <v>Non trouvé</v>
      </c>
    </row>
    <row r="418" spans="1:10" x14ac:dyDescent="0.25">
      <c r="A418" t="str">
        <f>IFERROR(VLOOKUP(Logs_reseau[[#This Row],[Cell_ID]],'[1]Registre_Maintenance_combine '!A:B,2,FALSE),"Non trouvé")</f>
        <v>Non trouvé</v>
      </c>
      <c r="B418" t="s">
        <v>103</v>
      </c>
      <c r="C418" s="3">
        <v>45211.762499999997</v>
      </c>
      <c r="D418" s="11">
        <f>Logs_reseau[[#This Row],[Duree_Panne_Min]]/1440</f>
        <v>5.7638888888888892E-2</v>
      </c>
      <c r="E418">
        <v>83</v>
      </c>
      <c r="F418" t="s">
        <v>2</v>
      </c>
      <c r="G418" t="str">
        <f>IFERROR(VLOOKUP(Logs_reseau[[#This Row],[Cell_ID]],'[1]Registre_Maintenance_combine '!A:C,3,FALSE),"Non trouvé")</f>
        <v>Non trouvé</v>
      </c>
      <c r="H418" t="str">
        <f>IFERROR(VLOOKUP(Logs_reseau[[#This Row],[Cell_ID]],'[1]Registre_Maintenance_combine '!A:D,4,FALSE),"Non trouvé")</f>
        <v>Non trouvé</v>
      </c>
      <c r="I418" t="str">
        <f>IFERROR(VLOOKUP(Logs_reseau[[#This Row],[Cell_ID]],'[1]Registre_Maintenance_combine '!A:E,5,FALSE),"Non trouvé")</f>
        <v>Non trouvé</v>
      </c>
      <c r="J418" t="str">
        <f>IFERROR(VLOOKUP(Logs_reseau[[#This Row],[Cell_ID]],'[1]Registre_Maintenance_combine '!A:F,6,FALSE),"Non trouvé")</f>
        <v>Non trouvé</v>
      </c>
    </row>
    <row r="419" spans="1:10" x14ac:dyDescent="0.25">
      <c r="A419" t="str">
        <f>IFERROR(VLOOKUP(Logs_reseau[[#This Row],[Cell_ID]],'[1]Registre_Maintenance_combine '!A:B,2,FALSE),"Non trouvé")</f>
        <v>Non trouvé</v>
      </c>
      <c r="B419" t="s">
        <v>103</v>
      </c>
      <c r="C419" s="3">
        <v>45223.549305555556</v>
      </c>
      <c r="D419" s="11">
        <f>Logs_reseau[[#This Row],[Duree_Panne_Min]]/1440</f>
        <v>4.3749999999999997E-2</v>
      </c>
      <c r="E419">
        <v>63</v>
      </c>
      <c r="F419" t="s">
        <v>1</v>
      </c>
      <c r="G419" t="str">
        <f>IFERROR(VLOOKUP(Logs_reseau[[#This Row],[Cell_ID]],'[1]Registre_Maintenance_combine '!A:C,3,FALSE),"Non trouvé")</f>
        <v>Non trouvé</v>
      </c>
      <c r="H419" t="str">
        <f>IFERROR(VLOOKUP(Logs_reseau[[#This Row],[Cell_ID]],'[1]Registre_Maintenance_combine '!A:D,4,FALSE),"Non trouvé")</f>
        <v>Non trouvé</v>
      </c>
      <c r="I419" t="str">
        <f>IFERROR(VLOOKUP(Logs_reseau[[#This Row],[Cell_ID]],'[1]Registre_Maintenance_combine '!A:E,5,FALSE),"Non trouvé")</f>
        <v>Non trouvé</v>
      </c>
      <c r="J419" t="str">
        <f>IFERROR(VLOOKUP(Logs_reseau[[#This Row],[Cell_ID]],'[1]Registre_Maintenance_combine '!A:F,6,FALSE),"Non trouvé")</f>
        <v>Non trouvé</v>
      </c>
    </row>
    <row r="420" spans="1:10" x14ac:dyDescent="0.25">
      <c r="A420" t="str">
        <f>IFERROR(VLOOKUP(Logs_reseau[[#This Row],[Cell_ID]],'[1]Registre_Maintenance_combine '!A:B,2,FALSE),"Non trouvé")</f>
        <v>Non trouvé</v>
      </c>
      <c r="B420" t="s">
        <v>103</v>
      </c>
      <c r="C420" s="3">
        <v>45213.767361111109</v>
      </c>
      <c r="D420" s="11">
        <f>Logs_reseau[[#This Row],[Duree_Panne_Min]]/1440</f>
        <v>1.7361111111111112E-2</v>
      </c>
      <c r="E420">
        <v>25</v>
      </c>
      <c r="F420" t="s">
        <v>4</v>
      </c>
      <c r="G420" t="str">
        <f>IFERROR(VLOOKUP(Logs_reseau[[#This Row],[Cell_ID]],'[1]Registre_Maintenance_combine '!A:C,3,FALSE),"Non trouvé")</f>
        <v>Non trouvé</v>
      </c>
      <c r="H420" t="str">
        <f>IFERROR(VLOOKUP(Logs_reseau[[#This Row],[Cell_ID]],'[1]Registre_Maintenance_combine '!A:D,4,FALSE),"Non trouvé")</f>
        <v>Non trouvé</v>
      </c>
      <c r="I420" t="str">
        <f>IFERROR(VLOOKUP(Logs_reseau[[#This Row],[Cell_ID]],'[1]Registre_Maintenance_combine '!A:E,5,FALSE),"Non trouvé")</f>
        <v>Non trouvé</v>
      </c>
      <c r="J420" t="str">
        <f>IFERROR(VLOOKUP(Logs_reseau[[#This Row],[Cell_ID]],'[1]Registre_Maintenance_combine '!A:F,6,FALSE),"Non trouvé")</f>
        <v>Non trouvé</v>
      </c>
    </row>
    <row r="421" spans="1:10" x14ac:dyDescent="0.25">
      <c r="A421" t="str">
        <f>IFERROR(VLOOKUP(Logs_reseau[[#This Row],[Cell_ID]],'[1]Registre_Maintenance_combine '!A:B,2,FALSE),"Non trouvé")</f>
        <v>Equateur</v>
      </c>
      <c r="B421" t="s">
        <v>104</v>
      </c>
      <c r="C421" s="3">
        <v>45219.550694444442</v>
      </c>
      <c r="D421" s="11">
        <f>Logs_reseau[[#This Row],[Duree_Panne_Min]]/1440</f>
        <v>6.3194444444444442E-2</v>
      </c>
      <c r="E421">
        <v>91</v>
      </c>
      <c r="F421" t="s">
        <v>1</v>
      </c>
      <c r="G421">
        <f>IFERROR(VLOOKUP(Logs_reseau[[#This Row],[Cell_ID]],'[1]Registre_Maintenance_combine '!A:C,3,FALSE),"Non trouvé")</f>
        <v>-0.79459900000000006</v>
      </c>
      <c r="H421">
        <f>IFERROR(VLOOKUP(Logs_reseau[[#This Row],[Cell_ID]],'[1]Registre_Maintenance_combine '!A:D,4,FALSE),"Non trouvé")</f>
        <v>26.775570999999999</v>
      </c>
      <c r="I421" t="str">
        <f>IFERROR(VLOOKUP(Logs_reseau[[#This Row],[Cell_ID]],'[1]Registre_Maintenance_combine '!A:E,5,FALSE),"Non trouvé")</f>
        <v>5G</v>
      </c>
      <c r="J421" t="str">
        <f>IFERROR(VLOOKUP(Logs_reseau[[#This Row],[Cell_ID]],'[1]Registre_Maintenance_combine '!A:F,6,FALSE),"Non trouvé")</f>
        <v>Huawei</v>
      </c>
    </row>
    <row r="422" spans="1:10" x14ac:dyDescent="0.25">
      <c r="A422" t="str">
        <f>IFERROR(VLOOKUP(Logs_reseau[[#This Row],[Cell_ID]],'[1]Registre_Maintenance_combine '!A:B,2,FALSE),"Non trouvé")</f>
        <v>Equateur</v>
      </c>
      <c r="B422" t="s">
        <v>104</v>
      </c>
      <c r="C422" s="3">
        <v>45227.306250000001</v>
      </c>
      <c r="D422" s="11">
        <f>Logs_reseau[[#This Row],[Duree_Panne_Min]]/1440</f>
        <v>2.9166666666666667E-2</v>
      </c>
      <c r="E422">
        <v>42</v>
      </c>
      <c r="F422" t="s">
        <v>4</v>
      </c>
      <c r="G422">
        <f>IFERROR(VLOOKUP(Logs_reseau[[#This Row],[Cell_ID]],'[1]Registre_Maintenance_combine '!A:C,3,FALSE),"Non trouvé")</f>
        <v>-0.79459900000000006</v>
      </c>
      <c r="H422">
        <f>IFERROR(VLOOKUP(Logs_reseau[[#This Row],[Cell_ID]],'[1]Registre_Maintenance_combine '!A:D,4,FALSE),"Non trouvé")</f>
        <v>26.775570999999999</v>
      </c>
      <c r="I422" t="str">
        <f>IFERROR(VLOOKUP(Logs_reseau[[#This Row],[Cell_ID]],'[1]Registre_Maintenance_combine '!A:E,5,FALSE),"Non trouvé")</f>
        <v>5G</v>
      </c>
      <c r="J422" t="str">
        <f>IFERROR(VLOOKUP(Logs_reseau[[#This Row],[Cell_ID]],'[1]Registre_Maintenance_combine '!A:F,6,FALSE),"Non trouvé")</f>
        <v>Huawei</v>
      </c>
    </row>
    <row r="423" spans="1:10" x14ac:dyDescent="0.25">
      <c r="A423" t="str">
        <f>IFERROR(VLOOKUP(Logs_reseau[[#This Row],[Cell_ID]],'[1]Registre_Maintenance_combine '!A:B,2,FALSE),"Non trouvé")</f>
        <v>Equateur</v>
      </c>
      <c r="B423" t="s">
        <v>104</v>
      </c>
      <c r="C423" s="3">
        <v>45222.433333333334</v>
      </c>
      <c r="D423" s="11">
        <f>Logs_reseau[[#This Row],[Duree_Panne_Min]]/1440</f>
        <v>6.25E-2</v>
      </c>
      <c r="E423">
        <v>90</v>
      </c>
      <c r="F423" t="s">
        <v>4</v>
      </c>
      <c r="G423">
        <f>IFERROR(VLOOKUP(Logs_reseau[[#This Row],[Cell_ID]],'[1]Registre_Maintenance_combine '!A:C,3,FALSE),"Non trouvé")</f>
        <v>-0.79459900000000006</v>
      </c>
      <c r="H423">
        <f>IFERROR(VLOOKUP(Logs_reseau[[#This Row],[Cell_ID]],'[1]Registre_Maintenance_combine '!A:D,4,FALSE),"Non trouvé")</f>
        <v>26.775570999999999</v>
      </c>
      <c r="I423" t="str">
        <f>IFERROR(VLOOKUP(Logs_reseau[[#This Row],[Cell_ID]],'[1]Registre_Maintenance_combine '!A:E,5,FALSE),"Non trouvé")</f>
        <v>5G</v>
      </c>
      <c r="J423" t="str">
        <f>IFERROR(VLOOKUP(Logs_reseau[[#This Row],[Cell_ID]],'[1]Registre_Maintenance_combine '!A:F,6,FALSE),"Non trouvé")</f>
        <v>Huawei</v>
      </c>
    </row>
    <row r="424" spans="1:10" x14ac:dyDescent="0.25">
      <c r="A424" t="str">
        <f>IFERROR(VLOOKUP(Logs_reseau[[#This Row],[Cell_ID]],'[1]Registre_Maintenance_combine '!A:B,2,FALSE),"Non trouvé")</f>
        <v>Non trouvé</v>
      </c>
      <c r="B424" t="s">
        <v>105</v>
      </c>
      <c r="C424" s="3">
        <v>45204.549305555556</v>
      </c>
      <c r="D424" s="11">
        <f>Logs_reseau[[#This Row],[Duree_Panne_Min]]/1440</f>
        <v>4.4444444444444446E-2</v>
      </c>
      <c r="E424">
        <v>64</v>
      </c>
      <c r="F424" t="s">
        <v>2</v>
      </c>
      <c r="G424" t="str">
        <f>IFERROR(VLOOKUP(Logs_reseau[[#This Row],[Cell_ID]],'[1]Registre_Maintenance_combine '!A:C,3,FALSE),"Non trouvé")</f>
        <v>Non trouvé</v>
      </c>
      <c r="H424" t="str">
        <f>IFERROR(VLOOKUP(Logs_reseau[[#This Row],[Cell_ID]],'[1]Registre_Maintenance_combine '!A:D,4,FALSE),"Non trouvé")</f>
        <v>Non trouvé</v>
      </c>
      <c r="I424" t="str">
        <f>IFERROR(VLOOKUP(Logs_reseau[[#This Row],[Cell_ID]],'[1]Registre_Maintenance_combine '!A:E,5,FALSE),"Non trouvé")</f>
        <v>Non trouvé</v>
      </c>
      <c r="J424" t="str">
        <f>IFERROR(VLOOKUP(Logs_reseau[[#This Row],[Cell_ID]],'[1]Registre_Maintenance_combine '!A:F,6,FALSE),"Non trouvé")</f>
        <v>Non trouvé</v>
      </c>
    </row>
    <row r="425" spans="1:10" x14ac:dyDescent="0.25">
      <c r="A425" t="str">
        <f>IFERROR(VLOOKUP(Logs_reseau[[#This Row],[Cell_ID]],'[1]Registre_Maintenance_combine '!A:B,2,FALSE),"Non trouvé")</f>
        <v>Non trouvé</v>
      </c>
      <c r="B425" t="s">
        <v>105</v>
      </c>
      <c r="C425" s="3">
        <v>45225.347916666666</v>
      </c>
      <c r="D425" s="11">
        <f>Logs_reseau[[#This Row],[Duree_Panne_Min]]/1440</f>
        <v>7.9861111111111105E-2</v>
      </c>
      <c r="E425">
        <v>115</v>
      </c>
      <c r="F425" t="s">
        <v>4</v>
      </c>
      <c r="G425" t="str">
        <f>IFERROR(VLOOKUP(Logs_reseau[[#This Row],[Cell_ID]],'[1]Registre_Maintenance_combine '!A:C,3,FALSE),"Non trouvé")</f>
        <v>Non trouvé</v>
      </c>
      <c r="H425" t="str">
        <f>IFERROR(VLOOKUP(Logs_reseau[[#This Row],[Cell_ID]],'[1]Registre_Maintenance_combine '!A:D,4,FALSE),"Non trouvé")</f>
        <v>Non trouvé</v>
      </c>
      <c r="I425" t="str">
        <f>IFERROR(VLOOKUP(Logs_reseau[[#This Row],[Cell_ID]],'[1]Registre_Maintenance_combine '!A:E,5,FALSE),"Non trouvé")</f>
        <v>Non trouvé</v>
      </c>
      <c r="J425" t="str">
        <f>IFERROR(VLOOKUP(Logs_reseau[[#This Row],[Cell_ID]],'[1]Registre_Maintenance_combine '!A:F,6,FALSE),"Non trouvé")</f>
        <v>Non trouvé</v>
      </c>
    </row>
    <row r="426" spans="1:10" x14ac:dyDescent="0.25">
      <c r="A426" t="str">
        <f>IFERROR(VLOOKUP(Logs_reseau[[#This Row],[Cell_ID]],'[1]Registre_Maintenance_combine '!A:B,2,FALSE),"Non trouvé")</f>
        <v>Non trouvé</v>
      </c>
      <c r="B426" t="s">
        <v>105</v>
      </c>
      <c r="C426" s="3">
        <v>45220.554166666669</v>
      </c>
      <c r="D426" s="11">
        <f>Logs_reseau[[#This Row],[Duree_Panne_Min]]/1440</f>
        <v>4.791666666666667E-2</v>
      </c>
      <c r="E426">
        <v>69</v>
      </c>
      <c r="F426" t="s">
        <v>1</v>
      </c>
      <c r="G426" t="str">
        <f>IFERROR(VLOOKUP(Logs_reseau[[#This Row],[Cell_ID]],'[1]Registre_Maintenance_combine '!A:C,3,FALSE),"Non trouvé")</f>
        <v>Non trouvé</v>
      </c>
      <c r="H426" t="str">
        <f>IFERROR(VLOOKUP(Logs_reseau[[#This Row],[Cell_ID]],'[1]Registre_Maintenance_combine '!A:D,4,FALSE),"Non trouvé")</f>
        <v>Non trouvé</v>
      </c>
      <c r="I426" t="str">
        <f>IFERROR(VLOOKUP(Logs_reseau[[#This Row],[Cell_ID]],'[1]Registre_Maintenance_combine '!A:E,5,FALSE),"Non trouvé")</f>
        <v>Non trouvé</v>
      </c>
      <c r="J426" t="str">
        <f>IFERROR(VLOOKUP(Logs_reseau[[#This Row],[Cell_ID]],'[1]Registre_Maintenance_combine '!A:F,6,FALSE),"Non trouvé")</f>
        <v>Non trouvé</v>
      </c>
    </row>
    <row r="427" spans="1:10" x14ac:dyDescent="0.25">
      <c r="A427" t="str">
        <f>IFERROR(VLOOKUP(Logs_reseau[[#This Row],[Cell_ID]],'[1]Registre_Maintenance_combine '!A:B,2,FALSE),"Non trouvé")</f>
        <v>Non trouvé</v>
      </c>
      <c r="B427" t="s">
        <v>106</v>
      </c>
      <c r="C427" s="3">
        <v>45212.140277777777</v>
      </c>
      <c r="D427" s="11">
        <f>Logs_reseau[[#This Row],[Duree_Panne_Min]]/1440</f>
        <v>1.3888888888888888E-2</v>
      </c>
      <c r="E427">
        <v>20</v>
      </c>
      <c r="F427" t="s">
        <v>1</v>
      </c>
      <c r="G427" t="str">
        <f>IFERROR(VLOOKUP(Logs_reseau[[#This Row],[Cell_ID]],'[1]Registre_Maintenance_combine '!A:C,3,FALSE),"Non trouvé")</f>
        <v>Non trouvé</v>
      </c>
      <c r="H427" t="str">
        <f>IFERROR(VLOOKUP(Logs_reseau[[#This Row],[Cell_ID]],'[1]Registre_Maintenance_combine '!A:D,4,FALSE),"Non trouvé")</f>
        <v>Non trouvé</v>
      </c>
      <c r="I427" t="str">
        <f>IFERROR(VLOOKUP(Logs_reseau[[#This Row],[Cell_ID]],'[1]Registre_Maintenance_combine '!A:E,5,FALSE),"Non trouvé")</f>
        <v>Non trouvé</v>
      </c>
      <c r="J427" t="str">
        <f>IFERROR(VLOOKUP(Logs_reseau[[#This Row],[Cell_ID]],'[1]Registre_Maintenance_combine '!A:F,6,FALSE),"Non trouvé")</f>
        <v>Non trouvé</v>
      </c>
    </row>
    <row r="428" spans="1:10" x14ac:dyDescent="0.25">
      <c r="A428" t="str">
        <f>IFERROR(VLOOKUP(Logs_reseau[[#This Row],[Cell_ID]],'[1]Registre_Maintenance_combine '!A:B,2,FALSE),"Non trouvé")</f>
        <v>Non trouvé</v>
      </c>
      <c r="B428" t="s">
        <v>106</v>
      </c>
      <c r="C428" s="3">
        <v>45216.673611111109</v>
      </c>
      <c r="D428" s="11">
        <f>Logs_reseau[[#This Row],[Duree_Panne_Min]]/1440</f>
        <v>2.8472222222222222E-2</v>
      </c>
      <c r="E428">
        <v>41</v>
      </c>
      <c r="F428" t="s">
        <v>4</v>
      </c>
      <c r="G428" t="str">
        <f>IFERROR(VLOOKUP(Logs_reseau[[#This Row],[Cell_ID]],'[1]Registre_Maintenance_combine '!A:C,3,FALSE),"Non trouvé")</f>
        <v>Non trouvé</v>
      </c>
      <c r="H428" t="str">
        <f>IFERROR(VLOOKUP(Logs_reseau[[#This Row],[Cell_ID]],'[1]Registre_Maintenance_combine '!A:D,4,FALSE),"Non trouvé")</f>
        <v>Non trouvé</v>
      </c>
      <c r="I428" t="str">
        <f>IFERROR(VLOOKUP(Logs_reseau[[#This Row],[Cell_ID]],'[1]Registre_Maintenance_combine '!A:E,5,FALSE),"Non trouvé")</f>
        <v>Non trouvé</v>
      </c>
      <c r="J428" t="str">
        <f>IFERROR(VLOOKUP(Logs_reseau[[#This Row],[Cell_ID]],'[1]Registre_Maintenance_combine '!A:F,6,FALSE),"Non trouvé")</f>
        <v>Non trouvé</v>
      </c>
    </row>
    <row r="429" spans="1:10" x14ac:dyDescent="0.25">
      <c r="A429" t="str">
        <f>IFERROR(VLOOKUP(Logs_reseau[[#This Row],[Cell_ID]],'[1]Registre_Maintenance_combine '!A:B,2,FALSE),"Non trouvé")</f>
        <v>Non trouvé</v>
      </c>
      <c r="B429" t="s">
        <v>106</v>
      </c>
      <c r="C429" s="3">
        <v>45215.186111111114</v>
      </c>
      <c r="D429" s="11">
        <f>Logs_reseau[[#This Row],[Duree_Panne_Min]]/1440</f>
        <v>3.2638888888888891E-2</v>
      </c>
      <c r="E429">
        <v>47</v>
      </c>
      <c r="F429" t="s">
        <v>4</v>
      </c>
      <c r="G429" t="str">
        <f>IFERROR(VLOOKUP(Logs_reseau[[#This Row],[Cell_ID]],'[1]Registre_Maintenance_combine '!A:C,3,FALSE),"Non trouvé")</f>
        <v>Non trouvé</v>
      </c>
      <c r="H429" t="str">
        <f>IFERROR(VLOOKUP(Logs_reseau[[#This Row],[Cell_ID]],'[1]Registre_Maintenance_combine '!A:D,4,FALSE),"Non trouvé")</f>
        <v>Non trouvé</v>
      </c>
      <c r="I429" t="str">
        <f>IFERROR(VLOOKUP(Logs_reseau[[#This Row],[Cell_ID]],'[1]Registre_Maintenance_combine '!A:E,5,FALSE),"Non trouvé")</f>
        <v>Non trouvé</v>
      </c>
      <c r="J429" t="str">
        <f>IFERROR(VLOOKUP(Logs_reseau[[#This Row],[Cell_ID]],'[1]Registre_Maintenance_combine '!A:F,6,FALSE),"Non trouvé")</f>
        <v>Non trouvé</v>
      </c>
    </row>
    <row r="430" spans="1:10" x14ac:dyDescent="0.25">
      <c r="A430" t="str">
        <f>IFERROR(VLOOKUP(Logs_reseau[[#This Row],[Cell_ID]],'[1]Registre_Maintenance_combine '!A:B,2,FALSE),"Non trouvé")</f>
        <v>Non trouvé</v>
      </c>
      <c r="B430" t="s">
        <v>106</v>
      </c>
      <c r="C430" s="3">
        <v>45218.990277777775</v>
      </c>
      <c r="D430" s="11">
        <f>Logs_reseau[[#This Row],[Duree_Panne_Min]]/1440</f>
        <v>3.4027777777777775E-2</v>
      </c>
      <c r="E430">
        <v>49</v>
      </c>
      <c r="F430" t="s">
        <v>2</v>
      </c>
      <c r="G430" t="str">
        <f>IFERROR(VLOOKUP(Logs_reseau[[#This Row],[Cell_ID]],'[1]Registre_Maintenance_combine '!A:C,3,FALSE),"Non trouvé")</f>
        <v>Non trouvé</v>
      </c>
      <c r="H430" t="str">
        <f>IFERROR(VLOOKUP(Logs_reseau[[#This Row],[Cell_ID]],'[1]Registre_Maintenance_combine '!A:D,4,FALSE),"Non trouvé")</f>
        <v>Non trouvé</v>
      </c>
      <c r="I430" t="str">
        <f>IFERROR(VLOOKUP(Logs_reseau[[#This Row],[Cell_ID]],'[1]Registre_Maintenance_combine '!A:E,5,FALSE),"Non trouvé")</f>
        <v>Non trouvé</v>
      </c>
      <c r="J430" t="str">
        <f>IFERROR(VLOOKUP(Logs_reseau[[#This Row],[Cell_ID]],'[1]Registre_Maintenance_combine '!A:F,6,FALSE),"Non trouvé")</f>
        <v>Non trouvé</v>
      </c>
    </row>
    <row r="431" spans="1:10" x14ac:dyDescent="0.25">
      <c r="A431" t="str">
        <f>IFERROR(VLOOKUP(Logs_reseau[[#This Row],[Cell_ID]],'[1]Registre_Maintenance_combine '!A:B,2,FALSE),"Non trouvé")</f>
        <v>Non trouvé</v>
      </c>
      <c r="B431" t="s">
        <v>106</v>
      </c>
      <c r="C431" s="3">
        <v>45214.67291666667</v>
      </c>
      <c r="D431" s="11">
        <f>Logs_reseau[[#This Row],[Duree_Panne_Min]]/1440</f>
        <v>7.013888888888889E-2</v>
      </c>
      <c r="E431">
        <v>101</v>
      </c>
      <c r="F431" t="s">
        <v>1</v>
      </c>
      <c r="G431" t="str">
        <f>IFERROR(VLOOKUP(Logs_reseau[[#This Row],[Cell_ID]],'[1]Registre_Maintenance_combine '!A:C,3,FALSE),"Non trouvé")</f>
        <v>Non trouvé</v>
      </c>
      <c r="H431" t="str">
        <f>IFERROR(VLOOKUP(Logs_reseau[[#This Row],[Cell_ID]],'[1]Registre_Maintenance_combine '!A:D,4,FALSE),"Non trouvé")</f>
        <v>Non trouvé</v>
      </c>
      <c r="I431" t="str">
        <f>IFERROR(VLOOKUP(Logs_reseau[[#This Row],[Cell_ID]],'[1]Registre_Maintenance_combine '!A:E,5,FALSE),"Non trouvé")</f>
        <v>Non trouvé</v>
      </c>
      <c r="J431" t="str">
        <f>IFERROR(VLOOKUP(Logs_reseau[[#This Row],[Cell_ID]],'[1]Registre_Maintenance_combine '!A:F,6,FALSE),"Non trouvé")</f>
        <v>Non trouvé</v>
      </c>
    </row>
    <row r="432" spans="1:10" x14ac:dyDescent="0.25">
      <c r="A432" t="str">
        <f>IFERROR(VLOOKUP(Logs_reseau[[#This Row],[Cell_ID]],'[1]Registre_Maintenance_combine '!A:B,2,FALSE),"Non trouvé")</f>
        <v>Bas-Uele</v>
      </c>
      <c r="B432" t="s">
        <v>107</v>
      </c>
      <c r="C432" s="3">
        <v>45210.135416666664</v>
      </c>
      <c r="D432" s="11">
        <f>Logs_reseau[[#This Row],[Duree_Panne_Min]]/1440</f>
        <v>3.5416666666666666E-2</v>
      </c>
      <c r="E432">
        <v>51</v>
      </c>
      <c r="F432" t="s">
        <v>2</v>
      </c>
      <c r="G432">
        <f>IFERROR(VLOOKUP(Logs_reseau[[#This Row],[Cell_ID]],'[1]Registre_Maintenance_combine '!A:C,3,FALSE),"Non trouvé")</f>
        <v>-2.2876210000000001</v>
      </c>
      <c r="H432">
        <f>IFERROR(VLOOKUP(Logs_reseau[[#This Row],[Cell_ID]],'[1]Registre_Maintenance_combine '!A:D,4,FALSE),"Non trouvé")</f>
        <v>27.582545</v>
      </c>
      <c r="I432" t="str">
        <f>IFERROR(VLOOKUP(Logs_reseau[[#This Row],[Cell_ID]],'[1]Registre_Maintenance_combine '!A:E,5,FALSE),"Non trouvé")</f>
        <v>4G</v>
      </c>
      <c r="J432" t="str">
        <f>IFERROR(VLOOKUP(Logs_reseau[[#This Row],[Cell_ID]],'[1]Registre_Maintenance_combine '!A:F,6,FALSE),"Non trouvé")</f>
        <v>Huawei</v>
      </c>
    </row>
    <row r="433" spans="1:10" x14ac:dyDescent="0.25">
      <c r="A433" t="str">
        <f>IFERROR(VLOOKUP(Logs_reseau[[#This Row],[Cell_ID]],'[1]Registre_Maintenance_combine '!A:B,2,FALSE),"Non trouvé")</f>
        <v>Bas-Uele</v>
      </c>
      <c r="B433" t="s">
        <v>107</v>
      </c>
      <c r="C433" s="3">
        <v>45214.816666666666</v>
      </c>
      <c r="D433" s="11">
        <f>Logs_reseau[[#This Row],[Duree_Panne_Min]]/1440</f>
        <v>7.8472222222222221E-2</v>
      </c>
      <c r="E433">
        <v>113</v>
      </c>
      <c r="F433" t="s">
        <v>1</v>
      </c>
      <c r="G433">
        <f>IFERROR(VLOOKUP(Logs_reseau[[#This Row],[Cell_ID]],'[1]Registre_Maintenance_combine '!A:C,3,FALSE),"Non trouvé")</f>
        <v>-2.2876210000000001</v>
      </c>
      <c r="H433">
        <f>IFERROR(VLOOKUP(Logs_reseau[[#This Row],[Cell_ID]],'[1]Registre_Maintenance_combine '!A:D,4,FALSE),"Non trouvé")</f>
        <v>27.582545</v>
      </c>
      <c r="I433" t="str">
        <f>IFERROR(VLOOKUP(Logs_reseau[[#This Row],[Cell_ID]],'[1]Registre_Maintenance_combine '!A:E,5,FALSE),"Non trouvé")</f>
        <v>4G</v>
      </c>
      <c r="J433" t="str">
        <f>IFERROR(VLOOKUP(Logs_reseau[[#This Row],[Cell_ID]],'[1]Registre_Maintenance_combine '!A:F,6,FALSE),"Non trouvé")</f>
        <v>Huawei</v>
      </c>
    </row>
    <row r="434" spans="1:10" x14ac:dyDescent="0.25">
      <c r="A434" t="str">
        <f>IFERROR(VLOOKUP(Logs_reseau[[#This Row],[Cell_ID]],'[1]Registre_Maintenance_combine '!A:B,2,FALSE),"Non trouvé")</f>
        <v>Bas-Uele</v>
      </c>
      <c r="B434" t="s">
        <v>107</v>
      </c>
      <c r="C434" s="3">
        <v>45213.89166666667</v>
      </c>
      <c r="D434" s="11">
        <f>Logs_reseau[[#This Row],[Duree_Panne_Min]]/1440</f>
        <v>8.0555555555555561E-2</v>
      </c>
      <c r="E434">
        <v>116</v>
      </c>
      <c r="F434" t="s">
        <v>4</v>
      </c>
      <c r="G434">
        <f>IFERROR(VLOOKUP(Logs_reseau[[#This Row],[Cell_ID]],'[1]Registre_Maintenance_combine '!A:C,3,FALSE),"Non trouvé")</f>
        <v>-2.2876210000000001</v>
      </c>
      <c r="H434">
        <f>IFERROR(VLOOKUP(Logs_reseau[[#This Row],[Cell_ID]],'[1]Registre_Maintenance_combine '!A:D,4,FALSE),"Non trouvé")</f>
        <v>27.582545</v>
      </c>
      <c r="I434" t="str">
        <f>IFERROR(VLOOKUP(Logs_reseau[[#This Row],[Cell_ID]],'[1]Registre_Maintenance_combine '!A:E,5,FALSE),"Non trouvé")</f>
        <v>4G</v>
      </c>
      <c r="J434" t="str">
        <f>IFERROR(VLOOKUP(Logs_reseau[[#This Row],[Cell_ID]],'[1]Registre_Maintenance_combine '!A:F,6,FALSE),"Non trouvé")</f>
        <v>Huawei</v>
      </c>
    </row>
    <row r="435" spans="1:10" x14ac:dyDescent="0.25">
      <c r="A435" t="str">
        <f>IFERROR(VLOOKUP(Logs_reseau[[#This Row],[Cell_ID]],'[1]Registre_Maintenance_combine '!A:B,2,FALSE),"Non trouvé")</f>
        <v>Bas-Uele</v>
      </c>
      <c r="B435" t="s">
        <v>107</v>
      </c>
      <c r="C435" s="3">
        <v>45215.015277777777</v>
      </c>
      <c r="D435" s="11">
        <f>Logs_reseau[[#This Row],[Duree_Panne_Min]]/1440</f>
        <v>2.6388888888888889E-2</v>
      </c>
      <c r="E435">
        <v>38</v>
      </c>
      <c r="F435" t="s">
        <v>4</v>
      </c>
      <c r="G435">
        <f>IFERROR(VLOOKUP(Logs_reseau[[#This Row],[Cell_ID]],'[1]Registre_Maintenance_combine '!A:C,3,FALSE),"Non trouvé")</f>
        <v>-2.2876210000000001</v>
      </c>
      <c r="H435">
        <f>IFERROR(VLOOKUP(Logs_reseau[[#This Row],[Cell_ID]],'[1]Registre_Maintenance_combine '!A:D,4,FALSE),"Non trouvé")</f>
        <v>27.582545</v>
      </c>
      <c r="I435" t="str">
        <f>IFERROR(VLOOKUP(Logs_reseau[[#This Row],[Cell_ID]],'[1]Registre_Maintenance_combine '!A:E,5,FALSE),"Non trouvé")</f>
        <v>4G</v>
      </c>
      <c r="J435" t="str">
        <f>IFERROR(VLOOKUP(Logs_reseau[[#This Row],[Cell_ID]],'[1]Registre_Maintenance_combine '!A:F,6,FALSE),"Non trouvé")</f>
        <v>Huawei</v>
      </c>
    </row>
    <row r="436" spans="1:10" x14ac:dyDescent="0.25">
      <c r="A436" t="str">
        <f>IFERROR(VLOOKUP(Logs_reseau[[#This Row],[Cell_ID]],'[1]Registre_Maintenance_combine '!A:B,2,FALSE),"Non trouvé")</f>
        <v>Bas-Uele</v>
      </c>
      <c r="B436" t="s">
        <v>107</v>
      </c>
      <c r="C436" s="3">
        <v>45220.117361111108</v>
      </c>
      <c r="D436" s="11">
        <f>Logs_reseau[[#This Row],[Duree_Panne_Min]]/1440</f>
        <v>9.7222222222222224E-3</v>
      </c>
      <c r="E436">
        <v>14</v>
      </c>
      <c r="F436" t="s">
        <v>4</v>
      </c>
      <c r="G436">
        <f>IFERROR(VLOOKUP(Logs_reseau[[#This Row],[Cell_ID]],'[1]Registre_Maintenance_combine '!A:C,3,FALSE),"Non trouvé")</f>
        <v>-2.2876210000000001</v>
      </c>
      <c r="H436">
        <f>IFERROR(VLOOKUP(Logs_reseau[[#This Row],[Cell_ID]],'[1]Registre_Maintenance_combine '!A:D,4,FALSE),"Non trouvé")</f>
        <v>27.582545</v>
      </c>
      <c r="I436" t="str">
        <f>IFERROR(VLOOKUP(Logs_reseau[[#This Row],[Cell_ID]],'[1]Registre_Maintenance_combine '!A:E,5,FALSE),"Non trouvé")</f>
        <v>4G</v>
      </c>
      <c r="J436" t="str">
        <f>IFERROR(VLOOKUP(Logs_reseau[[#This Row],[Cell_ID]],'[1]Registre_Maintenance_combine '!A:F,6,FALSE),"Non trouvé")</f>
        <v>Huawei</v>
      </c>
    </row>
    <row r="437" spans="1:10" x14ac:dyDescent="0.25">
      <c r="A437" t="str">
        <f>IFERROR(VLOOKUP(Logs_reseau[[#This Row],[Cell_ID]],'[1]Registre_Maintenance_combine '!A:B,2,FALSE),"Non trouvé")</f>
        <v>Bas-Uele</v>
      </c>
      <c r="B437" t="s">
        <v>107</v>
      </c>
      <c r="C437" s="3">
        <v>45227.163194444445</v>
      </c>
      <c r="D437" s="11">
        <f>Logs_reseau[[#This Row],[Duree_Panne_Min]]/1440</f>
        <v>5.6250000000000001E-2</v>
      </c>
      <c r="E437">
        <v>81</v>
      </c>
      <c r="F437" t="s">
        <v>4</v>
      </c>
      <c r="G437">
        <f>IFERROR(VLOOKUP(Logs_reseau[[#This Row],[Cell_ID]],'[1]Registre_Maintenance_combine '!A:C,3,FALSE),"Non trouvé")</f>
        <v>-2.2876210000000001</v>
      </c>
      <c r="H437">
        <f>IFERROR(VLOOKUP(Logs_reseau[[#This Row],[Cell_ID]],'[1]Registre_Maintenance_combine '!A:D,4,FALSE),"Non trouvé")</f>
        <v>27.582545</v>
      </c>
      <c r="I437" t="str">
        <f>IFERROR(VLOOKUP(Logs_reseau[[#This Row],[Cell_ID]],'[1]Registre_Maintenance_combine '!A:E,5,FALSE),"Non trouvé")</f>
        <v>4G</v>
      </c>
      <c r="J437" t="str">
        <f>IFERROR(VLOOKUP(Logs_reseau[[#This Row],[Cell_ID]],'[1]Registre_Maintenance_combine '!A:F,6,FALSE),"Non trouvé")</f>
        <v>Huawei</v>
      </c>
    </row>
    <row r="438" spans="1:10" x14ac:dyDescent="0.25">
      <c r="A438" t="str">
        <f>IFERROR(VLOOKUP(Logs_reseau[[#This Row],[Cell_ID]],'[1]Registre_Maintenance_combine '!A:B,2,FALSE),"Non trouvé")</f>
        <v>Non trouvé</v>
      </c>
      <c r="B438" t="s">
        <v>108</v>
      </c>
      <c r="C438" s="3">
        <v>45201.770833333336</v>
      </c>
      <c r="D438" s="11">
        <f>Logs_reseau[[#This Row],[Duree_Panne_Min]]/1440</f>
        <v>5.7638888888888892E-2</v>
      </c>
      <c r="E438">
        <v>83</v>
      </c>
      <c r="F438" t="s">
        <v>1</v>
      </c>
      <c r="G438" t="str">
        <f>IFERROR(VLOOKUP(Logs_reseau[[#This Row],[Cell_ID]],'[1]Registre_Maintenance_combine '!A:C,3,FALSE),"Non trouvé")</f>
        <v>Non trouvé</v>
      </c>
      <c r="H438" t="str">
        <f>IFERROR(VLOOKUP(Logs_reseau[[#This Row],[Cell_ID]],'[1]Registre_Maintenance_combine '!A:D,4,FALSE),"Non trouvé")</f>
        <v>Non trouvé</v>
      </c>
      <c r="I438" t="str">
        <f>IFERROR(VLOOKUP(Logs_reseau[[#This Row],[Cell_ID]],'[1]Registre_Maintenance_combine '!A:E,5,FALSE),"Non trouvé")</f>
        <v>Non trouvé</v>
      </c>
      <c r="J438" t="str">
        <f>IFERROR(VLOOKUP(Logs_reseau[[#This Row],[Cell_ID]],'[1]Registre_Maintenance_combine '!A:F,6,FALSE),"Non trouvé")</f>
        <v>Non trouvé</v>
      </c>
    </row>
    <row r="439" spans="1:10" x14ac:dyDescent="0.25">
      <c r="A439" t="str">
        <f>IFERROR(VLOOKUP(Logs_reseau[[#This Row],[Cell_ID]],'[1]Registre_Maintenance_combine '!A:B,2,FALSE),"Non trouvé")</f>
        <v>Non trouvé</v>
      </c>
      <c r="B439" t="s">
        <v>108</v>
      </c>
      <c r="C439" s="3">
        <v>45203.106944444444</v>
      </c>
      <c r="D439" s="11">
        <f>Logs_reseau[[#This Row],[Duree_Panne_Min]]/1440</f>
        <v>3.125E-2</v>
      </c>
      <c r="E439">
        <v>45</v>
      </c>
      <c r="F439" t="s">
        <v>2</v>
      </c>
      <c r="G439" t="str">
        <f>IFERROR(VLOOKUP(Logs_reseau[[#This Row],[Cell_ID]],'[1]Registre_Maintenance_combine '!A:C,3,FALSE),"Non trouvé")</f>
        <v>Non trouvé</v>
      </c>
      <c r="H439" t="str">
        <f>IFERROR(VLOOKUP(Logs_reseau[[#This Row],[Cell_ID]],'[1]Registre_Maintenance_combine '!A:D,4,FALSE),"Non trouvé")</f>
        <v>Non trouvé</v>
      </c>
      <c r="I439" t="str">
        <f>IFERROR(VLOOKUP(Logs_reseau[[#This Row],[Cell_ID]],'[1]Registre_Maintenance_combine '!A:E,5,FALSE),"Non trouvé")</f>
        <v>Non trouvé</v>
      </c>
      <c r="J439" t="str">
        <f>IFERROR(VLOOKUP(Logs_reseau[[#This Row],[Cell_ID]],'[1]Registre_Maintenance_combine '!A:F,6,FALSE),"Non trouvé")</f>
        <v>Non trouvé</v>
      </c>
    </row>
    <row r="440" spans="1:10" x14ac:dyDescent="0.25">
      <c r="A440" t="str">
        <f>IFERROR(VLOOKUP(Logs_reseau[[#This Row],[Cell_ID]],'[1]Registre_Maintenance_combine '!A:B,2,FALSE),"Non trouvé")</f>
        <v>Non trouvé</v>
      </c>
      <c r="B440" t="s">
        <v>108</v>
      </c>
      <c r="C440" s="3">
        <v>45216.902777777781</v>
      </c>
      <c r="D440" s="11">
        <f>Logs_reseau[[#This Row],[Duree_Panne_Min]]/1440</f>
        <v>3.4027777777777775E-2</v>
      </c>
      <c r="E440">
        <v>49</v>
      </c>
      <c r="F440" t="s">
        <v>1</v>
      </c>
      <c r="G440" t="str">
        <f>IFERROR(VLOOKUP(Logs_reseau[[#This Row],[Cell_ID]],'[1]Registre_Maintenance_combine '!A:C,3,FALSE),"Non trouvé")</f>
        <v>Non trouvé</v>
      </c>
      <c r="H440" t="str">
        <f>IFERROR(VLOOKUP(Logs_reseau[[#This Row],[Cell_ID]],'[1]Registre_Maintenance_combine '!A:D,4,FALSE),"Non trouvé")</f>
        <v>Non trouvé</v>
      </c>
      <c r="I440" t="str">
        <f>IFERROR(VLOOKUP(Logs_reseau[[#This Row],[Cell_ID]],'[1]Registre_Maintenance_combine '!A:E,5,FALSE),"Non trouvé")</f>
        <v>Non trouvé</v>
      </c>
      <c r="J440" t="str">
        <f>IFERROR(VLOOKUP(Logs_reseau[[#This Row],[Cell_ID]],'[1]Registre_Maintenance_combine '!A:F,6,FALSE),"Non trouvé")</f>
        <v>Non trouvé</v>
      </c>
    </row>
    <row r="441" spans="1:10" x14ac:dyDescent="0.25">
      <c r="A441" t="str">
        <f>IFERROR(VLOOKUP(Logs_reseau[[#This Row],[Cell_ID]],'[1]Registre_Maintenance_combine '!A:B,2,FALSE),"Non trouvé")</f>
        <v>Non trouvé</v>
      </c>
      <c r="B441" t="s">
        <v>108</v>
      </c>
      <c r="C441" s="3">
        <v>45217.818749999999</v>
      </c>
      <c r="D441" s="11">
        <f>Logs_reseau[[#This Row],[Duree_Panne_Min]]/1440</f>
        <v>8.3333333333333332E-3</v>
      </c>
      <c r="E441">
        <v>12</v>
      </c>
      <c r="F441" t="s">
        <v>2</v>
      </c>
      <c r="G441" t="str">
        <f>IFERROR(VLOOKUP(Logs_reseau[[#This Row],[Cell_ID]],'[1]Registre_Maintenance_combine '!A:C,3,FALSE),"Non trouvé")</f>
        <v>Non trouvé</v>
      </c>
      <c r="H441" t="str">
        <f>IFERROR(VLOOKUP(Logs_reseau[[#This Row],[Cell_ID]],'[1]Registre_Maintenance_combine '!A:D,4,FALSE),"Non trouvé")</f>
        <v>Non trouvé</v>
      </c>
      <c r="I441" t="str">
        <f>IFERROR(VLOOKUP(Logs_reseau[[#This Row],[Cell_ID]],'[1]Registre_Maintenance_combine '!A:E,5,FALSE),"Non trouvé")</f>
        <v>Non trouvé</v>
      </c>
      <c r="J441" t="str">
        <f>IFERROR(VLOOKUP(Logs_reseau[[#This Row],[Cell_ID]],'[1]Registre_Maintenance_combine '!A:F,6,FALSE),"Non trouvé")</f>
        <v>Non trouvé</v>
      </c>
    </row>
    <row r="442" spans="1:10" x14ac:dyDescent="0.25">
      <c r="A442" t="str">
        <f>IFERROR(VLOOKUP(Logs_reseau[[#This Row],[Cell_ID]],'[1]Registre_Maintenance_combine '!A:B,2,FALSE),"Non trouvé")</f>
        <v>Non trouvé</v>
      </c>
      <c r="B442" t="s">
        <v>108</v>
      </c>
      <c r="C442" s="3">
        <v>45214.499305555553</v>
      </c>
      <c r="D442" s="11">
        <f>Logs_reseau[[#This Row],[Duree_Panne_Min]]/1440</f>
        <v>7.2916666666666671E-2</v>
      </c>
      <c r="E442">
        <v>105</v>
      </c>
      <c r="F442" t="s">
        <v>4</v>
      </c>
      <c r="G442" t="str">
        <f>IFERROR(VLOOKUP(Logs_reseau[[#This Row],[Cell_ID]],'[1]Registre_Maintenance_combine '!A:C,3,FALSE),"Non trouvé")</f>
        <v>Non trouvé</v>
      </c>
      <c r="H442" t="str">
        <f>IFERROR(VLOOKUP(Logs_reseau[[#This Row],[Cell_ID]],'[1]Registre_Maintenance_combine '!A:D,4,FALSE),"Non trouvé")</f>
        <v>Non trouvé</v>
      </c>
      <c r="I442" t="str">
        <f>IFERROR(VLOOKUP(Logs_reseau[[#This Row],[Cell_ID]],'[1]Registre_Maintenance_combine '!A:E,5,FALSE),"Non trouvé")</f>
        <v>Non trouvé</v>
      </c>
      <c r="J442" t="str">
        <f>IFERROR(VLOOKUP(Logs_reseau[[#This Row],[Cell_ID]],'[1]Registre_Maintenance_combine '!A:F,6,FALSE),"Non trouvé")</f>
        <v>Non trouvé</v>
      </c>
    </row>
    <row r="443" spans="1:10" x14ac:dyDescent="0.25">
      <c r="A443" t="str">
        <f>IFERROR(VLOOKUP(Logs_reseau[[#This Row],[Cell_ID]],'[1]Registre_Maintenance_combine '!A:B,2,FALSE),"Non trouvé")</f>
        <v>Non trouvé</v>
      </c>
      <c r="B443" t="s">
        <v>109</v>
      </c>
      <c r="C443" s="3">
        <v>45206.919444444444</v>
      </c>
      <c r="D443" s="11">
        <f>Logs_reseau[[#This Row],[Duree_Panne_Min]]/1440</f>
        <v>8.2638888888888887E-2</v>
      </c>
      <c r="E443">
        <v>119</v>
      </c>
      <c r="F443" t="s">
        <v>2</v>
      </c>
      <c r="G443" t="str">
        <f>IFERROR(VLOOKUP(Logs_reseau[[#This Row],[Cell_ID]],'[1]Registre_Maintenance_combine '!A:C,3,FALSE),"Non trouvé")</f>
        <v>Non trouvé</v>
      </c>
      <c r="H443" t="str">
        <f>IFERROR(VLOOKUP(Logs_reseau[[#This Row],[Cell_ID]],'[1]Registre_Maintenance_combine '!A:D,4,FALSE),"Non trouvé")</f>
        <v>Non trouvé</v>
      </c>
      <c r="I443" t="str">
        <f>IFERROR(VLOOKUP(Logs_reseau[[#This Row],[Cell_ID]],'[1]Registre_Maintenance_combine '!A:E,5,FALSE),"Non trouvé")</f>
        <v>Non trouvé</v>
      </c>
      <c r="J443" t="str">
        <f>IFERROR(VLOOKUP(Logs_reseau[[#This Row],[Cell_ID]],'[1]Registre_Maintenance_combine '!A:F,6,FALSE),"Non trouvé")</f>
        <v>Non trouvé</v>
      </c>
    </row>
    <row r="444" spans="1:10" x14ac:dyDescent="0.25">
      <c r="A444" t="str">
        <f>IFERROR(VLOOKUP(Logs_reseau[[#This Row],[Cell_ID]],'[1]Registre_Maintenance_combine '!A:B,2,FALSE),"Non trouvé")</f>
        <v>Non trouvé</v>
      </c>
      <c r="B444" t="s">
        <v>109</v>
      </c>
      <c r="C444" s="3">
        <v>45224.230555555558</v>
      </c>
      <c r="D444" s="11">
        <f>Logs_reseau[[#This Row],[Duree_Panne_Min]]/1440</f>
        <v>2.7777777777777776E-2</v>
      </c>
      <c r="E444">
        <v>40</v>
      </c>
      <c r="F444" t="s">
        <v>4</v>
      </c>
      <c r="G444" t="str">
        <f>IFERROR(VLOOKUP(Logs_reseau[[#This Row],[Cell_ID]],'[1]Registre_Maintenance_combine '!A:C,3,FALSE),"Non trouvé")</f>
        <v>Non trouvé</v>
      </c>
      <c r="H444" t="str">
        <f>IFERROR(VLOOKUP(Logs_reseau[[#This Row],[Cell_ID]],'[1]Registre_Maintenance_combine '!A:D,4,FALSE),"Non trouvé")</f>
        <v>Non trouvé</v>
      </c>
      <c r="I444" t="str">
        <f>IFERROR(VLOOKUP(Logs_reseau[[#This Row],[Cell_ID]],'[1]Registre_Maintenance_combine '!A:E,5,FALSE),"Non trouvé")</f>
        <v>Non trouvé</v>
      </c>
      <c r="J444" t="str">
        <f>IFERROR(VLOOKUP(Logs_reseau[[#This Row],[Cell_ID]],'[1]Registre_Maintenance_combine '!A:F,6,FALSE),"Non trouvé")</f>
        <v>Non trouvé</v>
      </c>
    </row>
    <row r="445" spans="1:10" x14ac:dyDescent="0.25">
      <c r="A445" t="str">
        <f>IFERROR(VLOOKUP(Logs_reseau[[#This Row],[Cell_ID]],'[1]Registre_Maintenance_combine '!A:B,2,FALSE),"Non trouvé")</f>
        <v>Non trouvé</v>
      </c>
      <c r="B445" t="s">
        <v>109</v>
      </c>
      <c r="C445" s="3">
        <v>45213.779861111114</v>
      </c>
      <c r="D445" s="11">
        <f>Logs_reseau[[#This Row],[Duree_Panne_Min]]/1440</f>
        <v>6.3888888888888884E-2</v>
      </c>
      <c r="E445">
        <v>92</v>
      </c>
      <c r="F445" t="s">
        <v>1</v>
      </c>
      <c r="G445" t="str">
        <f>IFERROR(VLOOKUP(Logs_reseau[[#This Row],[Cell_ID]],'[1]Registre_Maintenance_combine '!A:C,3,FALSE),"Non trouvé")</f>
        <v>Non trouvé</v>
      </c>
      <c r="H445" t="str">
        <f>IFERROR(VLOOKUP(Logs_reseau[[#This Row],[Cell_ID]],'[1]Registre_Maintenance_combine '!A:D,4,FALSE),"Non trouvé")</f>
        <v>Non trouvé</v>
      </c>
      <c r="I445" t="str">
        <f>IFERROR(VLOOKUP(Logs_reseau[[#This Row],[Cell_ID]],'[1]Registre_Maintenance_combine '!A:E,5,FALSE),"Non trouvé")</f>
        <v>Non trouvé</v>
      </c>
      <c r="J445" t="str">
        <f>IFERROR(VLOOKUP(Logs_reseau[[#This Row],[Cell_ID]],'[1]Registre_Maintenance_combine '!A:F,6,FALSE),"Non trouvé")</f>
        <v>Non trouvé</v>
      </c>
    </row>
    <row r="446" spans="1:10" x14ac:dyDescent="0.25">
      <c r="A446" t="str">
        <f>IFERROR(VLOOKUP(Logs_reseau[[#This Row],[Cell_ID]],'[1]Registre_Maintenance_combine '!A:B,2,FALSE),"Non trouvé")</f>
        <v>Non trouvé</v>
      </c>
      <c r="B446" t="s">
        <v>109</v>
      </c>
      <c r="C446" s="3">
        <v>45217.368750000001</v>
      </c>
      <c r="D446" s="11">
        <f>Logs_reseau[[#This Row],[Duree_Panne_Min]]/1440</f>
        <v>1.0416666666666666E-2</v>
      </c>
      <c r="E446">
        <v>15</v>
      </c>
      <c r="F446" t="s">
        <v>1</v>
      </c>
      <c r="G446" t="str">
        <f>IFERROR(VLOOKUP(Logs_reseau[[#This Row],[Cell_ID]],'[1]Registre_Maintenance_combine '!A:C,3,FALSE),"Non trouvé")</f>
        <v>Non trouvé</v>
      </c>
      <c r="H446" t="str">
        <f>IFERROR(VLOOKUP(Logs_reseau[[#This Row],[Cell_ID]],'[1]Registre_Maintenance_combine '!A:D,4,FALSE),"Non trouvé")</f>
        <v>Non trouvé</v>
      </c>
      <c r="I446" t="str">
        <f>IFERROR(VLOOKUP(Logs_reseau[[#This Row],[Cell_ID]],'[1]Registre_Maintenance_combine '!A:E,5,FALSE),"Non trouvé")</f>
        <v>Non trouvé</v>
      </c>
      <c r="J446" t="str">
        <f>IFERROR(VLOOKUP(Logs_reseau[[#This Row],[Cell_ID]],'[1]Registre_Maintenance_combine '!A:F,6,FALSE),"Non trouvé")</f>
        <v>Non trouvé</v>
      </c>
    </row>
    <row r="447" spans="1:10" x14ac:dyDescent="0.25">
      <c r="A447" t="str">
        <f>IFERROR(VLOOKUP(Logs_reseau[[#This Row],[Cell_ID]],'[1]Registre_Maintenance_combine '!A:B,2,FALSE),"Non trouvé")</f>
        <v>Non trouvé</v>
      </c>
      <c r="B447" t="s">
        <v>109</v>
      </c>
      <c r="C447" s="3">
        <v>45211.382638888892</v>
      </c>
      <c r="D447" s="11">
        <f>Logs_reseau[[#This Row],[Duree_Panne_Min]]/1440</f>
        <v>8.2638888888888887E-2</v>
      </c>
      <c r="E447">
        <v>119</v>
      </c>
      <c r="F447" t="s">
        <v>4</v>
      </c>
      <c r="G447" t="str">
        <f>IFERROR(VLOOKUP(Logs_reseau[[#This Row],[Cell_ID]],'[1]Registre_Maintenance_combine '!A:C,3,FALSE),"Non trouvé")</f>
        <v>Non trouvé</v>
      </c>
      <c r="H447" t="str">
        <f>IFERROR(VLOOKUP(Logs_reseau[[#This Row],[Cell_ID]],'[1]Registre_Maintenance_combine '!A:D,4,FALSE),"Non trouvé")</f>
        <v>Non trouvé</v>
      </c>
      <c r="I447" t="str">
        <f>IFERROR(VLOOKUP(Logs_reseau[[#This Row],[Cell_ID]],'[1]Registre_Maintenance_combine '!A:E,5,FALSE),"Non trouvé")</f>
        <v>Non trouvé</v>
      </c>
      <c r="J447" t="str">
        <f>IFERROR(VLOOKUP(Logs_reseau[[#This Row],[Cell_ID]],'[1]Registre_Maintenance_combine '!A:F,6,FALSE),"Non trouvé")</f>
        <v>Non trouvé</v>
      </c>
    </row>
    <row r="448" spans="1:10" x14ac:dyDescent="0.25">
      <c r="A448" t="str">
        <f>IFERROR(VLOOKUP(Logs_reseau[[#This Row],[Cell_ID]],'[1]Registre_Maintenance_combine '!A:B,2,FALSE),"Non trouvé")</f>
        <v>Non trouvé</v>
      </c>
      <c r="B448" t="s">
        <v>110</v>
      </c>
      <c r="C448" s="3">
        <v>45207.693055555559</v>
      </c>
      <c r="D448" s="11">
        <f>Logs_reseau[[#This Row],[Duree_Panne_Min]]/1440</f>
        <v>2.013888888888889E-2</v>
      </c>
      <c r="E448">
        <v>29</v>
      </c>
      <c r="F448" t="s">
        <v>2</v>
      </c>
      <c r="G448" t="str">
        <f>IFERROR(VLOOKUP(Logs_reseau[[#This Row],[Cell_ID]],'[1]Registre_Maintenance_combine '!A:C,3,FALSE),"Non trouvé")</f>
        <v>Non trouvé</v>
      </c>
      <c r="H448" t="str">
        <f>IFERROR(VLOOKUP(Logs_reseau[[#This Row],[Cell_ID]],'[1]Registre_Maintenance_combine '!A:D,4,FALSE),"Non trouvé")</f>
        <v>Non trouvé</v>
      </c>
      <c r="I448" t="str">
        <f>IFERROR(VLOOKUP(Logs_reseau[[#This Row],[Cell_ID]],'[1]Registre_Maintenance_combine '!A:E,5,FALSE),"Non trouvé")</f>
        <v>Non trouvé</v>
      </c>
      <c r="J448" t="str">
        <f>IFERROR(VLOOKUP(Logs_reseau[[#This Row],[Cell_ID]],'[1]Registre_Maintenance_combine '!A:F,6,FALSE),"Non trouvé")</f>
        <v>Non trouvé</v>
      </c>
    </row>
    <row r="449" spans="1:10" x14ac:dyDescent="0.25">
      <c r="A449" t="str">
        <f>IFERROR(VLOOKUP(Logs_reseau[[#This Row],[Cell_ID]],'[1]Registre_Maintenance_combine '!A:B,2,FALSE),"Non trouvé")</f>
        <v>Non trouvé</v>
      </c>
      <c r="B449" t="s">
        <v>110</v>
      </c>
      <c r="C449" s="3">
        <v>45215.116666666669</v>
      </c>
      <c r="D449" s="11">
        <f>Logs_reseau[[#This Row],[Duree_Panne_Min]]/1440</f>
        <v>4.3055555555555555E-2</v>
      </c>
      <c r="E449">
        <v>62</v>
      </c>
      <c r="F449" t="s">
        <v>2</v>
      </c>
      <c r="G449" t="str">
        <f>IFERROR(VLOOKUP(Logs_reseau[[#This Row],[Cell_ID]],'[1]Registre_Maintenance_combine '!A:C,3,FALSE),"Non trouvé")</f>
        <v>Non trouvé</v>
      </c>
      <c r="H449" t="str">
        <f>IFERROR(VLOOKUP(Logs_reseau[[#This Row],[Cell_ID]],'[1]Registre_Maintenance_combine '!A:D,4,FALSE),"Non trouvé")</f>
        <v>Non trouvé</v>
      </c>
      <c r="I449" t="str">
        <f>IFERROR(VLOOKUP(Logs_reseau[[#This Row],[Cell_ID]],'[1]Registre_Maintenance_combine '!A:E,5,FALSE),"Non trouvé")</f>
        <v>Non trouvé</v>
      </c>
      <c r="J449" t="str">
        <f>IFERROR(VLOOKUP(Logs_reseau[[#This Row],[Cell_ID]],'[1]Registre_Maintenance_combine '!A:F,6,FALSE),"Non trouvé")</f>
        <v>Non trouvé</v>
      </c>
    </row>
    <row r="450" spans="1:10" x14ac:dyDescent="0.25">
      <c r="A450" t="str">
        <f>IFERROR(VLOOKUP(Logs_reseau[[#This Row],[Cell_ID]],'[1]Registre_Maintenance_combine '!A:B,2,FALSE),"Non trouvé")</f>
        <v>Non trouvé</v>
      </c>
      <c r="B450" t="s">
        <v>110</v>
      </c>
      <c r="C450" s="3">
        <v>45226.586805555555</v>
      </c>
      <c r="D450" s="11">
        <f>Logs_reseau[[#This Row],[Duree_Panne_Min]]/1440</f>
        <v>8.2638888888888887E-2</v>
      </c>
      <c r="E450">
        <v>119</v>
      </c>
      <c r="F450" t="s">
        <v>2</v>
      </c>
      <c r="G450" t="str">
        <f>IFERROR(VLOOKUP(Logs_reseau[[#This Row],[Cell_ID]],'[1]Registre_Maintenance_combine '!A:C,3,FALSE),"Non trouvé")</f>
        <v>Non trouvé</v>
      </c>
      <c r="H450" t="str">
        <f>IFERROR(VLOOKUP(Logs_reseau[[#This Row],[Cell_ID]],'[1]Registre_Maintenance_combine '!A:D,4,FALSE),"Non trouvé")</f>
        <v>Non trouvé</v>
      </c>
      <c r="I450" t="str">
        <f>IFERROR(VLOOKUP(Logs_reseau[[#This Row],[Cell_ID]],'[1]Registre_Maintenance_combine '!A:E,5,FALSE),"Non trouvé")</f>
        <v>Non trouvé</v>
      </c>
      <c r="J450" t="str">
        <f>IFERROR(VLOOKUP(Logs_reseau[[#This Row],[Cell_ID]],'[1]Registre_Maintenance_combine '!A:F,6,FALSE),"Non trouvé")</f>
        <v>Non trouvé</v>
      </c>
    </row>
    <row r="451" spans="1:10" x14ac:dyDescent="0.25">
      <c r="A451" t="str">
        <f>IFERROR(VLOOKUP(Logs_reseau[[#This Row],[Cell_ID]],'[1]Registre_Maintenance_combine '!A:B,2,FALSE),"Non trouvé")</f>
        <v>Non trouvé</v>
      </c>
      <c r="B451" t="s">
        <v>110</v>
      </c>
      <c r="C451" s="3">
        <v>45225.147222222222</v>
      </c>
      <c r="D451" s="11">
        <f>Logs_reseau[[#This Row],[Duree_Panne_Min]]/1440</f>
        <v>6.458333333333334E-2</v>
      </c>
      <c r="E451">
        <v>93</v>
      </c>
      <c r="F451" t="s">
        <v>2</v>
      </c>
      <c r="G451" t="str">
        <f>IFERROR(VLOOKUP(Logs_reseau[[#This Row],[Cell_ID]],'[1]Registre_Maintenance_combine '!A:C,3,FALSE),"Non trouvé")</f>
        <v>Non trouvé</v>
      </c>
      <c r="H451" t="str">
        <f>IFERROR(VLOOKUP(Logs_reseau[[#This Row],[Cell_ID]],'[1]Registre_Maintenance_combine '!A:D,4,FALSE),"Non trouvé")</f>
        <v>Non trouvé</v>
      </c>
      <c r="I451" t="str">
        <f>IFERROR(VLOOKUP(Logs_reseau[[#This Row],[Cell_ID]],'[1]Registre_Maintenance_combine '!A:E,5,FALSE),"Non trouvé")</f>
        <v>Non trouvé</v>
      </c>
      <c r="J451" t="str">
        <f>IFERROR(VLOOKUP(Logs_reseau[[#This Row],[Cell_ID]],'[1]Registre_Maintenance_combine '!A:F,6,FALSE),"Non trouvé")</f>
        <v>Non trouvé</v>
      </c>
    </row>
    <row r="452" spans="1:10" x14ac:dyDescent="0.25">
      <c r="A452" t="str">
        <f>IFERROR(VLOOKUP(Logs_reseau[[#This Row],[Cell_ID]],'[1]Registre_Maintenance_combine '!A:B,2,FALSE),"Non trouvé")</f>
        <v>Non trouvé</v>
      </c>
      <c r="B452" t="s">
        <v>110</v>
      </c>
      <c r="C452" s="3">
        <v>45211.722916666666</v>
      </c>
      <c r="D452" s="11">
        <f>Logs_reseau[[#This Row],[Duree_Panne_Min]]/1440</f>
        <v>5.347222222222222E-2</v>
      </c>
      <c r="E452">
        <v>77</v>
      </c>
      <c r="F452" t="s">
        <v>1</v>
      </c>
      <c r="G452" t="str">
        <f>IFERROR(VLOOKUP(Logs_reseau[[#This Row],[Cell_ID]],'[1]Registre_Maintenance_combine '!A:C,3,FALSE),"Non trouvé")</f>
        <v>Non trouvé</v>
      </c>
      <c r="H452" t="str">
        <f>IFERROR(VLOOKUP(Logs_reseau[[#This Row],[Cell_ID]],'[1]Registre_Maintenance_combine '!A:D,4,FALSE),"Non trouvé")</f>
        <v>Non trouvé</v>
      </c>
      <c r="I452" t="str">
        <f>IFERROR(VLOOKUP(Logs_reseau[[#This Row],[Cell_ID]],'[1]Registre_Maintenance_combine '!A:E,5,FALSE),"Non trouvé")</f>
        <v>Non trouvé</v>
      </c>
      <c r="J452" t="str">
        <f>IFERROR(VLOOKUP(Logs_reseau[[#This Row],[Cell_ID]],'[1]Registre_Maintenance_combine '!A:F,6,FALSE),"Non trouvé")</f>
        <v>Non trouvé</v>
      </c>
    </row>
    <row r="453" spans="1:10" x14ac:dyDescent="0.25">
      <c r="A453" t="str">
        <f>IFERROR(VLOOKUP(Logs_reseau[[#This Row],[Cell_ID]],'[1]Registre_Maintenance_combine '!A:B,2,FALSE),"Non trouvé")</f>
        <v>Tanganyika</v>
      </c>
      <c r="B453" t="s">
        <v>111</v>
      </c>
      <c r="C453" s="3">
        <v>45206.539583333331</v>
      </c>
      <c r="D453" s="11">
        <f>Logs_reseau[[#This Row],[Duree_Panne_Min]]/1440</f>
        <v>4.7222222222222221E-2</v>
      </c>
      <c r="E453">
        <v>68</v>
      </c>
      <c r="F453" t="s">
        <v>1</v>
      </c>
      <c r="G453">
        <f>IFERROR(VLOOKUP(Logs_reseau[[#This Row],[Cell_ID]],'[1]Registre_Maintenance_combine '!A:C,3,FALSE),"Non trouvé")</f>
        <v>-7.9425049999999997</v>
      </c>
      <c r="H453">
        <f>IFERROR(VLOOKUP(Logs_reseau[[#This Row],[Cell_ID]],'[1]Registre_Maintenance_combine '!A:D,4,FALSE),"Non trouvé")</f>
        <v>24.111059000000001</v>
      </c>
      <c r="I453" t="str">
        <f>IFERROR(VLOOKUP(Logs_reseau[[#This Row],[Cell_ID]],'[1]Registre_Maintenance_combine '!A:E,5,FALSE),"Non trouvé")</f>
        <v>3G</v>
      </c>
      <c r="J453" t="str">
        <f>IFERROR(VLOOKUP(Logs_reseau[[#This Row],[Cell_ID]],'[1]Registre_Maintenance_combine '!A:F,6,FALSE),"Non trouvé")</f>
        <v>ZTE</v>
      </c>
    </row>
    <row r="454" spans="1:10" x14ac:dyDescent="0.25">
      <c r="A454" t="str">
        <f>IFERROR(VLOOKUP(Logs_reseau[[#This Row],[Cell_ID]],'[1]Registre_Maintenance_combine '!A:B,2,FALSE),"Non trouvé")</f>
        <v>Tanganyika</v>
      </c>
      <c r="B454" t="s">
        <v>111</v>
      </c>
      <c r="C454" s="3">
        <v>45229.121527777781</v>
      </c>
      <c r="D454" s="11">
        <f>Logs_reseau[[#This Row],[Duree_Panne_Min]]/1440</f>
        <v>8.1944444444444445E-2</v>
      </c>
      <c r="E454">
        <v>118</v>
      </c>
      <c r="F454" t="s">
        <v>2</v>
      </c>
      <c r="G454">
        <f>IFERROR(VLOOKUP(Logs_reseau[[#This Row],[Cell_ID]],'[1]Registre_Maintenance_combine '!A:C,3,FALSE),"Non trouvé")</f>
        <v>-7.9425049999999997</v>
      </c>
      <c r="H454">
        <f>IFERROR(VLOOKUP(Logs_reseau[[#This Row],[Cell_ID]],'[1]Registre_Maintenance_combine '!A:D,4,FALSE),"Non trouvé")</f>
        <v>24.111059000000001</v>
      </c>
      <c r="I454" t="str">
        <f>IFERROR(VLOOKUP(Logs_reseau[[#This Row],[Cell_ID]],'[1]Registre_Maintenance_combine '!A:E,5,FALSE),"Non trouvé")</f>
        <v>3G</v>
      </c>
      <c r="J454" t="str">
        <f>IFERROR(VLOOKUP(Logs_reseau[[#This Row],[Cell_ID]],'[1]Registre_Maintenance_combine '!A:F,6,FALSE),"Non trouvé")</f>
        <v>ZTE</v>
      </c>
    </row>
    <row r="455" spans="1:10" x14ac:dyDescent="0.25">
      <c r="A455" t="str">
        <f>IFERROR(VLOOKUP(Logs_reseau[[#This Row],[Cell_ID]],'[1]Registre_Maintenance_combine '!A:B,2,FALSE),"Non trouvé")</f>
        <v>Tanganyika</v>
      </c>
      <c r="B455" t="s">
        <v>111</v>
      </c>
      <c r="C455" s="3">
        <v>45228.473611111112</v>
      </c>
      <c r="D455" s="11">
        <f>Logs_reseau[[#This Row],[Duree_Panne_Min]]/1440</f>
        <v>4.1666666666666666E-3</v>
      </c>
      <c r="E455">
        <v>6</v>
      </c>
      <c r="F455" t="s">
        <v>1</v>
      </c>
      <c r="G455">
        <f>IFERROR(VLOOKUP(Logs_reseau[[#This Row],[Cell_ID]],'[1]Registre_Maintenance_combine '!A:C,3,FALSE),"Non trouvé")</f>
        <v>-7.9425049999999997</v>
      </c>
      <c r="H455">
        <f>IFERROR(VLOOKUP(Logs_reseau[[#This Row],[Cell_ID]],'[1]Registre_Maintenance_combine '!A:D,4,FALSE),"Non trouvé")</f>
        <v>24.111059000000001</v>
      </c>
      <c r="I455" t="str">
        <f>IFERROR(VLOOKUP(Logs_reseau[[#This Row],[Cell_ID]],'[1]Registre_Maintenance_combine '!A:E,5,FALSE),"Non trouvé")</f>
        <v>3G</v>
      </c>
      <c r="J455" t="str">
        <f>IFERROR(VLOOKUP(Logs_reseau[[#This Row],[Cell_ID]],'[1]Registre_Maintenance_combine '!A:F,6,FALSE),"Non trouvé")</f>
        <v>ZTE</v>
      </c>
    </row>
    <row r="456" spans="1:10" x14ac:dyDescent="0.25">
      <c r="A456" t="str">
        <f>IFERROR(VLOOKUP(Logs_reseau[[#This Row],[Cell_ID]],'[1]Registre_Maintenance_combine '!A:B,2,FALSE),"Non trouvé")</f>
        <v>Non trouvé</v>
      </c>
      <c r="B456" t="s">
        <v>112</v>
      </c>
      <c r="C456" s="3">
        <v>45229.4</v>
      </c>
      <c r="D456" s="11">
        <f>Logs_reseau[[#This Row],[Duree_Panne_Min]]/1440</f>
        <v>3.125E-2</v>
      </c>
      <c r="E456">
        <v>45</v>
      </c>
      <c r="F456" t="s">
        <v>2</v>
      </c>
      <c r="G456" t="str">
        <f>IFERROR(VLOOKUP(Logs_reseau[[#This Row],[Cell_ID]],'[1]Registre_Maintenance_combine '!A:C,3,FALSE),"Non trouvé")</f>
        <v>Non trouvé</v>
      </c>
      <c r="H456" t="str">
        <f>IFERROR(VLOOKUP(Logs_reseau[[#This Row],[Cell_ID]],'[1]Registre_Maintenance_combine '!A:D,4,FALSE),"Non trouvé")</f>
        <v>Non trouvé</v>
      </c>
      <c r="I456" t="str">
        <f>IFERROR(VLOOKUP(Logs_reseau[[#This Row],[Cell_ID]],'[1]Registre_Maintenance_combine '!A:E,5,FALSE),"Non trouvé")</f>
        <v>Non trouvé</v>
      </c>
      <c r="J456" t="str">
        <f>IFERROR(VLOOKUP(Logs_reseau[[#This Row],[Cell_ID]],'[1]Registre_Maintenance_combine '!A:F,6,FALSE),"Non trouvé")</f>
        <v>Non trouvé</v>
      </c>
    </row>
    <row r="457" spans="1:10" x14ac:dyDescent="0.25">
      <c r="A457" t="str">
        <f>IFERROR(VLOOKUP(Logs_reseau[[#This Row],[Cell_ID]],'[1]Registre_Maintenance_combine '!A:B,2,FALSE),"Non trouvé")</f>
        <v>Non trouvé</v>
      </c>
      <c r="B457" t="s">
        <v>112</v>
      </c>
      <c r="C457" s="3">
        <v>45218.569444444445</v>
      </c>
      <c r="D457" s="11">
        <f>Logs_reseau[[#This Row],[Duree_Panne_Min]]/1440</f>
        <v>4.8611111111111112E-2</v>
      </c>
      <c r="E457">
        <v>70</v>
      </c>
      <c r="F457" t="s">
        <v>4</v>
      </c>
      <c r="G457" t="str">
        <f>IFERROR(VLOOKUP(Logs_reseau[[#This Row],[Cell_ID]],'[1]Registre_Maintenance_combine '!A:C,3,FALSE),"Non trouvé")</f>
        <v>Non trouvé</v>
      </c>
      <c r="H457" t="str">
        <f>IFERROR(VLOOKUP(Logs_reseau[[#This Row],[Cell_ID]],'[1]Registre_Maintenance_combine '!A:D,4,FALSE),"Non trouvé")</f>
        <v>Non trouvé</v>
      </c>
      <c r="I457" t="str">
        <f>IFERROR(VLOOKUP(Logs_reseau[[#This Row],[Cell_ID]],'[1]Registre_Maintenance_combine '!A:E,5,FALSE),"Non trouvé")</f>
        <v>Non trouvé</v>
      </c>
      <c r="J457" t="str">
        <f>IFERROR(VLOOKUP(Logs_reseau[[#This Row],[Cell_ID]],'[1]Registre_Maintenance_combine '!A:F,6,FALSE),"Non trouvé")</f>
        <v>Non trouvé</v>
      </c>
    </row>
    <row r="458" spans="1:10" x14ac:dyDescent="0.25">
      <c r="A458" t="str">
        <f>IFERROR(VLOOKUP(Logs_reseau[[#This Row],[Cell_ID]],'[1]Registre_Maintenance_combine '!A:B,2,FALSE),"Non trouvé")</f>
        <v>Non trouvé</v>
      </c>
      <c r="B458" t="s">
        <v>112</v>
      </c>
      <c r="C458" s="3">
        <v>45225.556250000001</v>
      </c>
      <c r="D458" s="11">
        <f>Logs_reseau[[#This Row],[Duree_Panne_Min]]/1440</f>
        <v>2.9861111111111113E-2</v>
      </c>
      <c r="E458">
        <v>43</v>
      </c>
      <c r="F458" t="s">
        <v>4</v>
      </c>
      <c r="G458" t="str">
        <f>IFERROR(VLOOKUP(Logs_reseau[[#This Row],[Cell_ID]],'[1]Registre_Maintenance_combine '!A:C,3,FALSE),"Non trouvé")</f>
        <v>Non trouvé</v>
      </c>
      <c r="H458" t="str">
        <f>IFERROR(VLOOKUP(Logs_reseau[[#This Row],[Cell_ID]],'[1]Registre_Maintenance_combine '!A:D,4,FALSE),"Non trouvé")</f>
        <v>Non trouvé</v>
      </c>
      <c r="I458" t="str">
        <f>IFERROR(VLOOKUP(Logs_reseau[[#This Row],[Cell_ID]],'[1]Registre_Maintenance_combine '!A:E,5,FALSE),"Non trouvé")</f>
        <v>Non trouvé</v>
      </c>
      <c r="J458" t="str">
        <f>IFERROR(VLOOKUP(Logs_reseau[[#This Row],[Cell_ID]],'[1]Registre_Maintenance_combine '!A:F,6,FALSE),"Non trouvé")</f>
        <v>Non trouvé</v>
      </c>
    </row>
    <row r="459" spans="1:10" x14ac:dyDescent="0.25">
      <c r="A459" t="str">
        <f>IFERROR(VLOOKUP(Logs_reseau[[#This Row],[Cell_ID]],'[1]Registre_Maintenance_combine '!A:B,2,FALSE),"Non trouvé")</f>
        <v>Non trouvé</v>
      </c>
      <c r="B459" t="s">
        <v>112</v>
      </c>
      <c r="C459" s="3">
        <v>45226.40902777778</v>
      </c>
      <c r="D459" s="11">
        <f>Logs_reseau[[#This Row],[Duree_Panne_Min]]/1440</f>
        <v>6.5972222222222224E-2</v>
      </c>
      <c r="E459">
        <v>95</v>
      </c>
      <c r="F459" t="s">
        <v>2</v>
      </c>
      <c r="G459" t="str">
        <f>IFERROR(VLOOKUP(Logs_reseau[[#This Row],[Cell_ID]],'[1]Registre_Maintenance_combine '!A:C,3,FALSE),"Non trouvé")</f>
        <v>Non trouvé</v>
      </c>
      <c r="H459" t="str">
        <f>IFERROR(VLOOKUP(Logs_reseau[[#This Row],[Cell_ID]],'[1]Registre_Maintenance_combine '!A:D,4,FALSE),"Non trouvé")</f>
        <v>Non trouvé</v>
      </c>
      <c r="I459" t="str">
        <f>IFERROR(VLOOKUP(Logs_reseau[[#This Row],[Cell_ID]],'[1]Registre_Maintenance_combine '!A:E,5,FALSE),"Non trouvé")</f>
        <v>Non trouvé</v>
      </c>
      <c r="J459" t="str">
        <f>IFERROR(VLOOKUP(Logs_reseau[[#This Row],[Cell_ID]],'[1]Registre_Maintenance_combine '!A:F,6,FALSE),"Non trouvé")</f>
        <v>Non trouvé</v>
      </c>
    </row>
    <row r="460" spans="1:10" x14ac:dyDescent="0.25">
      <c r="A460" t="str">
        <f>IFERROR(VLOOKUP(Logs_reseau[[#This Row],[Cell_ID]],'[1]Registre_Maintenance_combine '!A:B,2,FALSE),"Non trouvé")</f>
        <v>Non trouvé</v>
      </c>
      <c r="B460" t="s">
        <v>112</v>
      </c>
      <c r="C460" s="3">
        <v>45213.159722222219</v>
      </c>
      <c r="D460" s="11">
        <f>Logs_reseau[[#This Row],[Duree_Panne_Min]]/1440</f>
        <v>2.2916666666666665E-2</v>
      </c>
      <c r="E460">
        <v>33</v>
      </c>
      <c r="F460" t="s">
        <v>4</v>
      </c>
      <c r="G460" t="str">
        <f>IFERROR(VLOOKUP(Logs_reseau[[#This Row],[Cell_ID]],'[1]Registre_Maintenance_combine '!A:C,3,FALSE),"Non trouvé")</f>
        <v>Non trouvé</v>
      </c>
      <c r="H460" t="str">
        <f>IFERROR(VLOOKUP(Logs_reseau[[#This Row],[Cell_ID]],'[1]Registre_Maintenance_combine '!A:D,4,FALSE),"Non trouvé")</f>
        <v>Non trouvé</v>
      </c>
      <c r="I460" t="str">
        <f>IFERROR(VLOOKUP(Logs_reseau[[#This Row],[Cell_ID]],'[1]Registre_Maintenance_combine '!A:E,5,FALSE),"Non trouvé")</f>
        <v>Non trouvé</v>
      </c>
      <c r="J460" t="str">
        <f>IFERROR(VLOOKUP(Logs_reseau[[#This Row],[Cell_ID]],'[1]Registre_Maintenance_combine '!A:F,6,FALSE),"Non trouvé")</f>
        <v>Non trouvé</v>
      </c>
    </row>
    <row r="461" spans="1:10" x14ac:dyDescent="0.25">
      <c r="A461" t="str">
        <f>IFERROR(VLOOKUP(Logs_reseau[[#This Row],[Cell_ID]],'[1]Registre_Maintenance_combine '!A:B,2,FALSE),"Non trouvé")</f>
        <v>Non trouvé</v>
      </c>
      <c r="B461" t="s">
        <v>112</v>
      </c>
      <c r="C461" s="3">
        <v>45227.135416666664</v>
      </c>
      <c r="D461" s="11">
        <f>Logs_reseau[[#This Row],[Duree_Panne_Min]]/1440</f>
        <v>3.2638888888888891E-2</v>
      </c>
      <c r="E461">
        <v>47</v>
      </c>
      <c r="F461" t="s">
        <v>2</v>
      </c>
      <c r="G461" t="str">
        <f>IFERROR(VLOOKUP(Logs_reseau[[#This Row],[Cell_ID]],'[1]Registre_Maintenance_combine '!A:C,3,FALSE),"Non trouvé")</f>
        <v>Non trouvé</v>
      </c>
      <c r="H461" t="str">
        <f>IFERROR(VLOOKUP(Logs_reseau[[#This Row],[Cell_ID]],'[1]Registre_Maintenance_combine '!A:D,4,FALSE),"Non trouvé")</f>
        <v>Non trouvé</v>
      </c>
      <c r="I461" t="str">
        <f>IFERROR(VLOOKUP(Logs_reseau[[#This Row],[Cell_ID]],'[1]Registre_Maintenance_combine '!A:E,5,FALSE),"Non trouvé")</f>
        <v>Non trouvé</v>
      </c>
      <c r="J461" t="str">
        <f>IFERROR(VLOOKUP(Logs_reseau[[#This Row],[Cell_ID]],'[1]Registre_Maintenance_combine '!A:F,6,FALSE),"Non trouvé")</f>
        <v>Non trouvé</v>
      </c>
    </row>
    <row r="462" spans="1:10" x14ac:dyDescent="0.25">
      <c r="A462" t="str">
        <f>IFERROR(VLOOKUP(Logs_reseau[[#This Row],[Cell_ID]],'[1]Registre_Maintenance_combine '!A:B,2,FALSE),"Non trouvé")</f>
        <v>Haut-Uele</v>
      </c>
      <c r="B462" t="s">
        <v>113</v>
      </c>
      <c r="C462" s="3">
        <v>45218.479166666664</v>
      </c>
      <c r="D462" s="11">
        <f>Logs_reseau[[#This Row],[Duree_Panne_Min]]/1440</f>
        <v>4.8611111111111112E-2</v>
      </c>
      <c r="E462">
        <v>70</v>
      </c>
      <c r="F462" t="s">
        <v>2</v>
      </c>
      <c r="G462">
        <f>IFERROR(VLOOKUP(Logs_reseau[[#This Row],[Cell_ID]],'[1]Registre_Maintenance_combine '!A:C,3,FALSE),"Non trouvé")</f>
        <v>-7.8417870000000001</v>
      </c>
      <c r="H462">
        <f>IFERROR(VLOOKUP(Logs_reseau[[#This Row],[Cell_ID]],'[1]Registre_Maintenance_combine '!A:D,4,FALSE),"Non trouvé")</f>
        <v>14.730712</v>
      </c>
      <c r="I462" t="str">
        <f>IFERROR(VLOOKUP(Logs_reseau[[#This Row],[Cell_ID]],'[1]Registre_Maintenance_combine '!A:E,5,FALSE),"Non trouvé")</f>
        <v>5G</v>
      </c>
      <c r="J462" t="str">
        <f>IFERROR(VLOOKUP(Logs_reseau[[#This Row],[Cell_ID]],'[1]Registre_Maintenance_combine '!A:F,6,FALSE),"Non trouvé")</f>
        <v>Nokia</v>
      </c>
    </row>
    <row r="463" spans="1:10" x14ac:dyDescent="0.25">
      <c r="A463" t="str">
        <f>IFERROR(VLOOKUP(Logs_reseau[[#This Row],[Cell_ID]],'[1]Registre_Maintenance_combine '!A:B,2,FALSE),"Non trouvé")</f>
        <v>Haut-Uele</v>
      </c>
      <c r="B463" t="s">
        <v>113</v>
      </c>
      <c r="C463" s="3">
        <v>45220.206944444442</v>
      </c>
      <c r="D463" s="11">
        <f>Logs_reseau[[#This Row],[Duree_Panne_Min]]/1440</f>
        <v>7.0833333333333331E-2</v>
      </c>
      <c r="E463">
        <v>102</v>
      </c>
      <c r="F463" t="s">
        <v>4</v>
      </c>
      <c r="G463">
        <f>IFERROR(VLOOKUP(Logs_reseau[[#This Row],[Cell_ID]],'[1]Registre_Maintenance_combine '!A:C,3,FALSE),"Non trouvé")</f>
        <v>-7.8417870000000001</v>
      </c>
      <c r="H463">
        <f>IFERROR(VLOOKUP(Logs_reseau[[#This Row],[Cell_ID]],'[1]Registre_Maintenance_combine '!A:D,4,FALSE),"Non trouvé")</f>
        <v>14.730712</v>
      </c>
      <c r="I463" t="str">
        <f>IFERROR(VLOOKUP(Logs_reseau[[#This Row],[Cell_ID]],'[1]Registre_Maintenance_combine '!A:E,5,FALSE),"Non trouvé")</f>
        <v>5G</v>
      </c>
      <c r="J463" t="str">
        <f>IFERROR(VLOOKUP(Logs_reseau[[#This Row],[Cell_ID]],'[1]Registre_Maintenance_combine '!A:F,6,FALSE),"Non trouvé")</f>
        <v>Nokia</v>
      </c>
    </row>
    <row r="464" spans="1:10" x14ac:dyDescent="0.25">
      <c r="A464" t="str">
        <f>IFERROR(VLOOKUP(Logs_reseau[[#This Row],[Cell_ID]],'[1]Registre_Maintenance_combine '!A:B,2,FALSE),"Non trouvé")</f>
        <v>Haut-Uele</v>
      </c>
      <c r="B464" t="s">
        <v>113</v>
      </c>
      <c r="C464" s="3">
        <v>45211.477083333331</v>
      </c>
      <c r="D464" s="11">
        <f>Logs_reseau[[#This Row],[Duree_Panne_Min]]/1440</f>
        <v>1.5972222222222221E-2</v>
      </c>
      <c r="E464">
        <v>23</v>
      </c>
      <c r="F464" t="s">
        <v>4</v>
      </c>
      <c r="G464">
        <f>IFERROR(VLOOKUP(Logs_reseau[[#This Row],[Cell_ID]],'[1]Registre_Maintenance_combine '!A:C,3,FALSE),"Non trouvé")</f>
        <v>-7.8417870000000001</v>
      </c>
      <c r="H464">
        <f>IFERROR(VLOOKUP(Logs_reseau[[#This Row],[Cell_ID]],'[1]Registre_Maintenance_combine '!A:D,4,FALSE),"Non trouvé")</f>
        <v>14.730712</v>
      </c>
      <c r="I464" t="str">
        <f>IFERROR(VLOOKUP(Logs_reseau[[#This Row],[Cell_ID]],'[1]Registre_Maintenance_combine '!A:E,5,FALSE),"Non trouvé")</f>
        <v>5G</v>
      </c>
      <c r="J464" t="str">
        <f>IFERROR(VLOOKUP(Logs_reseau[[#This Row],[Cell_ID]],'[1]Registre_Maintenance_combine '!A:F,6,FALSE),"Non trouvé")</f>
        <v>Nokia</v>
      </c>
    </row>
    <row r="465" spans="1:10" x14ac:dyDescent="0.25">
      <c r="A465" t="str">
        <f>IFERROR(VLOOKUP(Logs_reseau[[#This Row],[Cell_ID]],'[1]Registre_Maintenance_combine '!A:B,2,FALSE),"Non trouvé")</f>
        <v>Non trouvé</v>
      </c>
      <c r="B465" t="s">
        <v>114</v>
      </c>
      <c r="C465" s="3">
        <v>45229.741666666669</v>
      </c>
      <c r="D465" s="11">
        <f>Logs_reseau[[#This Row],[Duree_Panne_Min]]/1440</f>
        <v>7.2916666666666671E-2</v>
      </c>
      <c r="E465">
        <v>105</v>
      </c>
      <c r="F465" t="s">
        <v>4</v>
      </c>
      <c r="G465" t="str">
        <f>IFERROR(VLOOKUP(Logs_reseau[[#This Row],[Cell_ID]],'[1]Registre_Maintenance_combine '!A:C,3,FALSE),"Non trouvé")</f>
        <v>Non trouvé</v>
      </c>
      <c r="H465" t="str">
        <f>IFERROR(VLOOKUP(Logs_reseau[[#This Row],[Cell_ID]],'[1]Registre_Maintenance_combine '!A:D,4,FALSE),"Non trouvé")</f>
        <v>Non trouvé</v>
      </c>
      <c r="I465" t="str">
        <f>IFERROR(VLOOKUP(Logs_reseau[[#This Row],[Cell_ID]],'[1]Registre_Maintenance_combine '!A:E,5,FALSE),"Non trouvé")</f>
        <v>Non trouvé</v>
      </c>
      <c r="J465" t="str">
        <f>IFERROR(VLOOKUP(Logs_reseau[[#This Row],[Cell_ID]],'[1]Registre_Maintenance_combine '!A:F,6,FALSE),"Non trouvé")</f>
        <v>Non trouvé</v>
      </c>
    </row>
    <row r="466" spans="1:10" x14ac:dyDescent="0.25">
      <c r="A466" t="str">
        <f>IFERROR(VLOOKUP(Logs_reseau[[#This Row],[Cell_ID]],'[1]Registre_Maintenance_combine '!A:B,2,FALSE),"Non trouvé")</f>
        <v>Non trouvé</v>
      </c>
      <c r="B466" t="s">
        <v>114</v>
      </c>
      <c r="C466" s="3">
        <v>45223.081944444442</v>
      </c>
      <c r="D466" s="11">
        <f>Logs_reseau[[#This Row],[Duree_Panne_Min]]/1440</f>
        <v>6.805555555555555E-2</v>
      </c>
      <c r="E466">
        <v>98</v>
      </c>
      <c r="F466" t="s">
        <v>4</v>
      </c>
      <c r="G466" t="str">
        <f>IFERROR(VLOOKUP(Logs_reseau[[#This Row],[Cell_ID]],'[1]Registre_Maintenance_combine '!A:C,3,FALSE),"Non trouvé")</f>
        <v>Non trouvé</v>
      </c>
      <c r="H466" t="str">
        <f>IFERROR(VLOOKUP(Logs_reseau[[#This Row],[Cell_ID]],'[1]Registre_Maintenance_combine '!A:D,4,FALSE),"Non trouvé")</f>
        <v>Non trouvé</v>
      </c>
      <c r="I466" t="str">
        <f>IFERROR(VLOOKUP(Logs_reseau[[#This Row],[Cell_ID]],'[1]Registre_Maintenance_combine '!A:E,5,FALSE),"Non trouvé")</f>
        <v>Non trouvé</v>
      </c>
      <c r="J466" t="str">
        <f>IFERROR(VLOOKUP(Logs_reseau[[#This Row],[Cell_ID]],'[1]Registre_Maintenance_combine '!A:F,6,FALSE),"Non trouvé")</f>
        <v>Non trouvé</v>
      </c>
    </row>
    <row r="467" spans="1:10" x14ac:dyDescent="0.25">
      <c r="A467" t="str">
        <f>IFERROR(VLOOKUP(Logs_reseau[[#This Row],[Cell_ID]],'[1]Registre_Maintenance_combine '!A:B,2,FALSE),"Non trouvé")</f>
        <v>Non trouvé</v>
      </c>
      <c r="B467" t="s">
        <v>114</v>
      </c>
      <c r="C467" s="3">
        <v>45207.713888888888</v>
      </c>
      <c r="D467" s="11">
        <f>Logs_reseau[[#This Row],[Duree_Panne_Min]]/1440</f>
        <v>6.5972222222222224E-2</v>
      </c>
      <c r="E467">
        <v>95</v>
      </c>
      <c r="F467" t="s">
        <v>4</v>
      </c>
      <c r="G467" t="str">
        <f>IFERROR(VLOOKUP(Logs_reseau[[#This Row],[Cell_ID]],'[1]Registre_Maintenance_combine '!A:C,3,FALSE),"Non trouvé")</f>
        <v>Non trouvé</v>
      </c>
      <c r="H467" t="str">
        <f>IFERROR(VLOOKUP(Logs_reseau[[#This Row],[Cell_ID]],'[1]Registre_Maintenance_combine '!A:D,4,FALSE),"Non trouvé")</f>
        <v>Non trouvé</v>
      </c>
      <c r="I467" t="str">
        <f>IFERROR(VLOOKUP(Logs_reseau[[#This Row],[Cell_ID]],'[1]Registre_Maintenance_combine '!A:E,5,FALSE),"Non trouvé")</f>
        <v>Non trouvé</v>
      </c>
      <c r="J467" t="str">
        <f>IFERROR(VLOOKUP(Logs_reseau[[#This Row],[Cell_ID]],'[1]Registre_Maintenance_combine '!A:F,6,FALSE),"Non trouvé")</f>
        <v>Non trouvé</v>
      </c>
    </row>
    <row r="468" spans="1:10" x14ac:dyDescent="0.25">
      <c r="A468" t="str">
        <f>IFERROR(VLOOKUP(Logs_reseau[[#This Row],[Cell_ID]],'[1]Registre_Maintenance_combine '!A:B,2,FALSE),"Non trouvé")</f>
        <v>Non trouvé</v>
      </c>
      <c r="B468" t="s">
        <v>114</v>
      </c>
      <c r="C468" s="3">
        <v>45230.776388888888</v>
      </c>
      <c r="D468" s="11">
        <f>Logs_reseau[[#This Row],[Duree_Panne_Min]]/1440</f>
        <v>1.8749999999999999E-2</v>
      </c>
      <c r="E468">
        <v>27</v>
      </c>
      <c r="F468" t="s">
        <v>4</v>
      </c>
      <c r="G468" t="str">
        <f>IFERROR(VLOOKUP(Logs_reseau[[#This Row],[Cell_ID]],'[1]Registre_Maintenance_combine '!A:C,3,FALSE),"Non trouvé")</f>
        <v>Non trouvé</v>
      </c>
      <c r="H468" t="str">
        <f>IFERROR(VLOOKUP(Logs_reseau[[#This Row],[Cell_ID]],'[1]Registre_Maintenance_combine '!A:D,4,FALSE),"Non trouvé")</f>
        <v>Non trouvé</v>
      </c>
      <c r="I468" t="str">
        <f>IFERROR(VLOOKUP(Logs_reseau[[#This Row],[Cell_ID]],'[1]Registre_Maintenance_combine '!A:E,5,FALSE),"Non trouvé")</f>
        <v>Non trouvé</v>
      </c>
      <c r="J468" t="str">
        <f>IFERROR(VLOOKUP(Logs_reseau[[#This Row],[Cell_ID]],'[1]Registre_Maintenance_combine '!A:F,6,FALSE),"Non trouvé")</f>
        <v>Non trouvé</v>
      </c>
    </row>
    <row r="469" spans="1:10" x14ac:dyDescent="0.25">
      <c r="A469" t="str">
        <f>IFERROR(VLOOKUP(Logs_reseau[[#This Row],[Cell_ID]],'[1]Registre_Maintenance_combine '!A:B,2,FALSE),"Non trouvé")</f>
        <v>Non trouvé</v>
      </c>
      <c r="B469" t="s">
        <v>114</v>
      </c>
      <c r="C469" s="3">
        <v>45220.15902777778</v>
      </c>
      <c r="D469" s="11">
        <f>Logs_reseau[[#This Row],[Duree_Panne_Min]]/1440</f>
        <v>4.8611111111111112E-2</v>
      </c>
      <c r="E469">
        <v>70</v>
      </c>
      <c r="F469" t="s">
        <v>4</v>
      </c>
      <c r="G469" t="str">
        <f>IFERROR(VLOOKUP(Logs_reseau[[#This Row],[Cell_ID]],'[1]Registre_Maintenance_combine '!A:C,3,FALSE),"Non trouvé")</f>
        <v>Non trouvé</v>
      </c>
      <c r="H469" t="str">
        <f>IFERROR(VLOOKUP(Logs_reseau[[#This Row],[Cell_ID]],'[1]Registre_Maintenance_combine '!A:D,4,FALSE),"Non trouvé")</f>
        <v>Non trouvé</v>
      </c>
      <c r="I469" t="str">
        <f>IFERROR(VLOOKUP(Logs_reseau[[#This Row],[Cell_ID]],'[1]Registre_Maintenance_combine '!A:E,5,FALSE),"Non trouvé")</f>
        <v>Non trouvé</v>
      </c>
      <c r="J469" t="str">
        <f>IFERROR(VLOOKUP(Logs_reseau[[#This Row],[Cell_ID]],'[1]Registre_Maintenance_combine '!A:F,6,FALSE),"Non trouvé")</f>
        <v>Non trouvé</v>
      </c>
    </row>
    <row r="470" spans="1:10" x14ac:dyDescent="0.25">
      <c r="A470" t="str">
        <f>IFERROR(VLOOKUP(Logs_reseau[[#This Row],[Cell_ID]],'[1]Registre_Maintenance_combine '!A:B,2,FALSE),"Non trouvé")</f>
        <v>Non trouvé</v>
      </c>
      <c r="B470" t="s">
        <v>115</v>
      </c>
      <c r="C470" s="3">
        <v>45229.929166666669</v>
      </c>
      <c r="D470" s="11">
        <f>Logs_reseau[[#This Row],[Duree_Panne_Min]]/1440</f>
        <v>3.3333333333333333E-2</v>
      </c>
      <c r="E470">
        <v>48</v>
      </c>
      <c r="F470" t="s">
        <v>4</v>
      </c>
      <c r="G470" t="str">
        <f>IFERROR(VLOOKUP(Logs_reseau[[#This Row],[Cell_ID]],'[1]Registre_Maintenance_combine '!A:C,3,FALSE),"Non trouvé")</f>
        <v>Non trouvé</v>
      </c>
      <c r="H470" t="str">
        <f>IFERROR(VLOOKUP(Logs_reseau[[#This Row],[Cell_ID]],'[1]Registre_Maintenance_combine '!A:D,4,FALSE),"Non trouvé")</f>
        <v>Non trouvé</v>
      </c>
      <c r="I470" t="str">
        <f>IFERROR(VLOOKUP(Logs_reseau[[#This Row],[Cell_ID]],'[1]Registre_Maintenance_combine '!A:E,5,FALSE),"Non trouvé")</f>
        <v>Non trouvé</v>
      </c>
      <c r="J470" t="str">
        <f>IFERROR(VLOOKUP(Logs_reseau[[#This Row],[Cell_ID]],'[1]Registre_Maintenance_combine '!A:F,6,FALSE),"Non trouvé")</f>
        <v>Non trouvé</v>
      </c>
    </row>
    <row r="471" spans="1:10" x14ac:dyDescent="0.25">
      <c r="A471" t="str">
        <f>IFERROR(VLOOKUP(Logs_reseau[[#This Row],[Cell_ID]],'[1]Registre_Maintenance_combine '!A:B,2,FALSE),"Non trouvé")</f>
        <v>Non trouvé</v>
      </c>
      <c r="B471" t="s">
        <v>115</v>
      </c>
      <c r="C471" s="3">
        <v>45212.682638888888</v>
      </c>
      <c r="D471" s="11">
        <f>Logs_reseau[[#This Row],[Duree_Panne_Min]]/1440</f>
        <v>0.05</v>
      </c>
      <c r="E471">
        <v>72</v>
      </c>
      <c r="F471" t="s">
        <v>1</v>
      </c>
      <c r="G471" t="str">
        <f>IFERROR(VLOOKUP(Logs_reseau[[#This Row],[Cell_ID]],'[1]Registre_Maintenance_combine '!A:C,3,FALSE),"Non trouvé")</f>
        <v>Non trouvé</v>
      </c>
      <c r="H471" t="str">
        <f>IFERROR(VLOOKUP(Logs_reseau[[#This Row],[Cell_ID]],'[1]Registre_Maintenance_combine '!A:D,4,FALSE),"Non trouvé")</f>
        <v>Non trouvé</v>
      </c>
      <c r="I471" t="str">
        <f>IFERROR(VLOOKUP(Logs_reseau[[#This Row],[Cell_ID]],'[1]Registre_Maintenance_combine '!A:E,5,FALSE),"Non trouvé")</f>
        <v>Non trouvé</v>
      </c>
      <c r="J471" t="str">
        <f>IFERROR(VLOOKUP(Logs_reseau[[#This Row],[Cell_ID]],'[1]Registre_Maintenance_combine '!A:F,6,FALSE),"Non trouvé")</f>
        <v>Non trouvé</v>
      </c>
    </row>
    <row r="472" spans="1:10" x14ac:dyDescent="0.25">
      <c r="A472" t="str">
        <f>IFERROR(VLOOKUP(Logs_reseau[[#This Row],[Cell_ID]],'[1]Registre_Maintenance_combine '!A:B,2,FALSE),"Non trouvé")</f>
        <v>Non trouvé</v>
      </c>
      <c r="B472" t="s">
        <v>116</v>
      </c>
      <c r="C472" s="3">
        <v>45227.329861111109</v>
      </c>
      <c r="D472" s="11">
        <f>Logs_reseau[[#This Row],[Duree_Panne_Min]]/1440</f>
        <v>1.9444444444444445E-2</v>
      </c>
      <c r="E472">
        <v>28</v>
      </c>
      <c r="F472" t="s">
        <v>2</v>
      </c>
      <c r="G472" t="str">
        <f>IFERROR(VLOOKUP(Logs_reseau[[#This Row],[Cell_ID]],'[1]Registre_Maintenance_combine '!A:C,3,FALSE),"Non trouvé")</f>
        <v>Non trouvé</v>
      </c>
      <c r="H472" t="str">
        <f>IFERROR(VLOOKUP(Logs_reseau[[#This Row],[Cell_ID]],'[1]Registre_Maintenance_combine '!A:D,4,FALSE),"Non trouvé")</f>
        <v>Non trouvé</v>
      </c>
      <c r="I472" t="str">
        <f>IFERROR(VLOOKUP(Logs_reseau[[#This Row],[Cell_ID]],'[1]Registre_Maintenance_combine '!A:E,5,FALSE),"Non trouvé")</f>
        <v>Non trouvé</v>
      </c>
      <c r="J472" t="str">
        <f>IFERROR(VLOOKUP(Logs_reseau[[#This Row],[Cell_ID]],'[1]Registre_Maintenance_combine '!A:F,6,FALSE),"Non trouvé")</f>
        <v>Non trouvé</v>
      </c>
    </row>
    <row r="473" spans="1:10" x14ac:dyDescent="0.25">
      <c r="A473" t="str">
        <f>IFERROR(VLOOKUP(Logs_reseau[[#This Row],[Cell_ID]],'[1]Registre_Maintenance_combine '!A:B,2,FALSE),"Non trouvé")</f>
        <v>Non trouvé</v>
      </c>
      <c r="B473" t="s">
        <v>116</v>
      </c>
      <c r="C473" s="3">
        <v>45226.385416666664</v>
      </c>
      <c r="D473" s="11">
        <f>Logs_reseau[[#This Row],[Duree_Panne_Min]]/1440</f>
        <v>7.4305555555555555E-2</v>
      </c>
      <c r="E473">
        <v>107</v>
      </c>
      <c r="F473" t="s">
        <v>2</v>
      </c>
      <c r="G473" t="str">
        <f>IFERROR(VLOOKUP(Logs_reseau[[#This Row],[Cell_ID]],'[1]Registre_Maintenance_combine '!A:C,3,FALSE),"Non trouvé")</f>
        <v>Non trouvé</v>
      </c>
      <c r="H473" t="str">
        <f>IFERROR(VLOOKUP(Logs_reseau[[#This Row],[Cell_ID]],'[1]Registre_Maintenance_combine '!A:D,4,FALSE),"Non trouvé")</f>
        <v>Non trouvé</v>
      </c>
      <c r="I473" t="str">
        <f>IFERROR(VLOOKUP(Logs_reseau[[#This Row],[Cell_ID]],'[1]Registre_Maintenance_combine '!A:E,5,FALSE),"Non trouvé")</f>
        <v>Non trouvé</v>
      </c>
      <c r="J473" t="str">
        <f>IFERROR(VLOOKUP(Logs_reseau[[#This Row],[Cell_ID]],'[1]Registre_Maintenance_combine '!A:F,6,FALSE),"Non trouvé")</f>
        <v>Non trouvé</v>
      </c>
    </row>
    <row r="474" spans="1:10" x14ac:dyDescent="0.25">
      <c r="A474" t="str">
        <f>IFERROR(VLOOKUP(Logs_reseau[[#This Row],[Cell_ID]],'[1]Registre_Maintenance_combine '!A:B,2,FALSE),"Non trouvé")</f>
        <v>Non trouvé</v>
      </c>
      <c r="B474" t="s">
        <v>116</v>
      </c>
      <c r="C474" s="3">
        <v>45229.678472222222</v>
      </c>
      <c r="D474" s="11">
        <f>Logs_reseau[[#This Row],[Duree_Panne_Min]]/1440</f>
        <v>4.5138888888888888E-2</v>
      </c>
      <c r="E474">
        <v>65</v>
      </c>
      <c r="F474" t="s">
        <v>1</v>
      </c>
      <c r="G474" t="str">
        <f>IFERROR(VLOOKUP(Logs_reseau[[#This Row],[Cell_ID]],'[1]Registre_Maintenance_combine '!A:C,3,FALSE),"Non trouvé")</f>
        <v>Non trouvé</v>
      </c>
      <c r="H474" t="str">
        <f>IFERROR(VLOOKUP(Logs_reseau[[#This Row],[Cell_ID]],'[1]Registre_Maintenance_combine '!A:D,4,FALSE),"Non trouvé")</f>
        <v>Non trouvé</v>
      </c>
      <c r="I474" t="str">
        <f>IFERROR(VLOOKUP(Logs_reseau[[#This Row],[Cell_ID]],'[1]Registre_Maintenance_combine '!A:E,5,FALSE),"Non trouvé")</f>
        <v>Non trouvé</v>
      </c>
      <c r="J474" t="str">
        <f>IFERROR(VLOOKUP(Logs_reseau[[#This Row],[Cell_ID]],'[1]Registre_Maintenance_combine '!A:F,6,FALSE),"Non trouvé")</f>
        <v>Non trouvé</v>
      </c>
    </row>
    <row r="475" spans="1:10" x14ac:dyDescent="0.25">
      <c r="A475" t="str">
        <f>IFERROR(VLOOKUP(Logs_reseau[[#This Row],[Cell_ID]],'[1]Registre_Maintenance_combine '!A:B,2,FALSE),"Non trouvé")</f>
        <v>Non trouvé</v>
      </c>
      <c r="B475" t="s">
        <v>116</v>
      </c>
      <c r="C475" s="3">
        <v>45201.427083333336</v>
      </c>
      <c r="D475" s="11">
        <f>Logs_reseau[[#This Row],[Duree_Panne_Min]]/1440</f>
        <v>3.4027777777777775E-2</v>
      </c>
      <c r="E475">
        <v>49</v>
      </c>
      <c r="F475" t="s">
        <v>1</v>
      </c>
      <c r="G475" t="str">
        <f>IFERROR(VLOOKUP(Logs_reseau[[#This Row],[Cell_ID]],'[1]Registre_Maintenance_combine '!A:C,3,FALSE),"Non trouvé")</f>
        <v>Non trouvé</v>
      </c>
      <c r="H475" t="str">
        <f>IFERROR(VLOOKUP(Logs_reseau[[#This Row],[Cell_ID]],'[1]Registre_Maintenance_combine '!A:D,4,FALSE),"Non trouvé")</f>
        <v>Non trouvé</v>
      </c>
      <c r="I475" t="str">
        <f>IFERROR(VLOOKUP(Logs_reseau[[#This Row],[Cell_ID]],'[1]Registre_Maintenance_combine '!A:E,5,FALSE),"Non trouvé")</f>
        <v>Non trouvé</v>
      </c>
      <c r="J475" t="str">
        <f>IFERROR(VLOOKUP(Logs_reseau[[#This Row],[Cell_ID]],'[1]Registre_Maintenance_combine '!A:F,6,FALSE),"Non trouvé")</f>
        <v>Non trouvé</v>
      </c>
    </row>
    <row r="476" spans="1:10" x14ac:dyDescent="0.25">
      <c r="A476" t="str">
        <f>IFERROR(VLOOKUP(Logs_reseau[[#This Row],[Cell_ID]],'[1]Registre_Maintenance_combine '!A:B,2,FALSE),"Non trouvé")</f>
        <v>Non trouvé</v>
      </c>
      <c r="B476" t="s">
        <v>116</v>
      </c>
      <c r="C476" s="3">
        <v>45223.493750000001</v>
      </c>
      <c r="D476" s="11">
        <f>Logs_reseau[[#This Row],[Duree_Panne_Min]]/1440</f>
        <v>5.2083333333333336E-2</v>
      </c>
      <c r="E476">
        <v>75</v>
      </c>
      <c r="F476" t="s">
        <v>2</v>
      </c>
      <c r="G476" t="str">
        <f>IFERROR(VLOOKUP(Logs_reseau[[#This Row],[Cell_ID]],'[1]Registre_Maintenance_combine '!A:C,3,FALSE),"Non trouvé")</f>
        <v>Non trouvé</v>
      </c>
      <c r="H476" t="str">
        <f>IFERROR(VLOOKUP(Logs_reseau[[#This Row],[Cell_ID]],'[1]Registre_Maintenance_combine '!A:D,4,FALSE),"Non trouvé")</f>
        <v>Non trouvé</v>
      </c>
      <c r="I476" t="str">
        <f>IFERROR(VLOOKUP(Logs_reseau[[#This Row],[Cell_ID]],'[1]Registre_Maintenance_combine '!A:E,5,FALSE),"Non trouvé")</f>
        <v>Non trouvé</v>
      </c>
      <c r="J476" t="str">
        <f>IFERROR(VLOOKUP(Logs_reseau[[#This Row],[Cell_ID]],'[1]Registre_Maintenance_combine '!A:F,6,FALSE),"Non trouvé")</f>
        <v>Non trouvé</v>
      </c>
    </row>
    <row r="477" spans="1:10" x14ac:dyDescent="0.25">
      <c r="A477" t="str">
        <f>IFERROR(VLOOKUP(Logs_reseau[[#This Row],[Cell_ID]],'[1]Registre_Maintenance_combine '!A:B,2,FALSE),"Non trouvé")</f>
        <v>Non trouvé</v>
      </c>
      <c r="B477" t="s">
        <v>117</v>
      </c>
      <c r="C477" s="3">
        <v>45203.157638888886</v>
      </c>
      <c r="D477" s="11">
        <f>Logs_reseau[[#This Row],[Duree_Panne_Min]]/1440</f>
        <v>1.7361111111111112E-2</v>
      </c>
      <c r="E477">
        <v>25</v>
      </c>
      <c r="F477" t="s">
        <v>2</v>
      </c>
      <c r="G477" t="str">
        <f>IFERROR(VLOOKUP(Logs_reseau[[#This Row],[Cell_ID]],'[1]Registre_Maintenance_combine '!A:C,3,FALSE),"Non trouvé")</f>
        <v>Non trouvé</v>
      </c>
      <c r="H477" t="str">
        <f>IFERROR(VLOOKUP(Logs_reseau[[#This Row],[Cell_ID]],'[1]Registre_Maintenance_combine '!A:D,4,FALSE),"Non trouvé")</f>
        <v>Non trouvé</v>
      </c>
      <c r="I477" t="str">
        <f>IFERROR(VLOOKUP(Logs_reseau[[#This Row],[Cell_ID]],'[1]Registre_Maintenance_combine '!A:E,5,FALSE),"Non trouvé")</f>
        <v>Non trouvé</v>
      </c>
      <c r="J477" t="str">
        <f>IFERROR(VLOOKUP(Logs_reseau[[#This Row],[Cell_ID]],'[1]Registre_Maintenance_combine '!A:F,6,FALSE),"Non trouvé")</f>
        <v>Non trouvé</v>
      </c>
    </row>
    <row r="478" spans="1:10" x14ac:dyDescent="0.25">
      <c r="A478" t="str">
        <f>IFERROR(VLOOKUP(Logs_reseau[[#This Row],[Cell_ID]],'[1]Registre_Maintenance_combine '!A:B,2,FALSE),"Non trouvé")</f>
        <v>Non trouvé</v>
      </c>
      <c r="B478" t="s">
        <v>117</v>
      </c>
      <c r="C478" s="3">
        <v>45227.775694444441</v>
      </c>
      <c r="D478" s="11">
        <f>Logs_reseau[[#This Row],[Duree_Panne_Min]]/1440</f>
        <v>5.2777777777777778E-2</v>
      </c>
      <c r="E478">
        <v>76</v>
      </c>
      <c r="F478" t="s">
        <v>1</v>
      </c>
      <c r="G478" t="str">
        <f>IFERROR(VLOOKUP(Logs_reseau[[#This Row],[Cell_ID]],'[1]Registre_Maintenance_combine '!A:C,3,FALSE),"Non trouvé")</f>
        <v>Non trouvé</v>
      </c>
      <c r="H478" t="str">
        <f>IFERROR(VLOOKUP(Logs_reseau[[#This Row],[Cell_ID]],'[1]Registre_Maintenance_combine '!A:D,4,FALSE),"Non trouvé")</f>
        <v>Non trouvé</v>
      </c>
      <c r="I478" t="str">
        <f>IFERROR(VLOOKUP(Logs_reseau[[#This Row],[Cell_ID]],'[1]Registre_Maintenance_combine '!A:E,5,FALSE),"Non trouvé")</f>
        <v>Non trouvé</v>
      </c>
      <c r="J478" t="str">
        <f>IFERROR(VLOOKUP(Logs_reseau[[#This Row],[Cell_ID]],'[1]Registre_Maintenance_combine '!A:F,6,FALSE),"Non trouvé")</f>
        <v>Non trouvé</v>
      </c>
    </row>
    <row r="479" spans="1:10" x14ac:dyDescent="0.25">
      <c r="A479" t="str">
        <f>IFERROR(VLOOKUP(Logs_reseau[[#This Row],[Cell_ID]],'[1]Registre_Maintenance_combine '!A:B,2,FALSE),"Non trouvé")</f>
        <v>Non trouvé</v>
      </c>
      <c r="B479" t="s">
        <v>117</v>
      </c>
      <c r="C479" s="3">
        <v>45221.095138888886</v>
      </c>
      <c r="D479" s="11">
        <f>Logs_reseau[[#This Row],[Duree_Panne_Min]]/1440</f>
        <v>3.8194444444444448E-2</v>
      </c>
      <c r="E479">
        <v>55</v>
      </c>
      <c r="F479" t="s">
        <v>1</v>
      </c>
      <c r="G479" t="str">
        <f>IFERROR(VLOOKUP(Logs_reseau[[#This Row],[Cell_ID]],'[1]Registre_Maintenance_combine '!A:C,3,FALSE),"Non trouvé")</f>
        <v>Non trouvé</v>
      </c>
      <c r="H479" t="str">
        <f>IFERROR(VLOOKUP(Logs_reseau[[#This Row],[Cell_ID]],'[1]Registre_Maintenance_combine '!A:D,4,FALSE),"Non trouvé")</f>
        <v>Non trouvé</v>
      </c>
      <c r="I479" t="str">
        <f>IFERROR(VLOOKUP(Logs_reseau[[#This Row],[Cell_ID]],'[1]Registre_Maintenance_combine '!A:E,5,FALSE),"Non trouvé")</f>
        <v>Non trouvé</v>
      </c>
      <c r="J479" t="str">
        <f>IFERROR(VLOOKUP(Logs_reseau[[#This Row],[Cell_ID]],'[1]Registre_Maintenance_combine '!A:F,6,FALSE),"Non trouvé")</f>
        <v>Non trouvé</v>
      </c>
    </row>
    <row r="480" spans="1:10" x14ac:dyDescent="0.25">
      <c r="A480" t="str">
        <f>IFERROR(VLOOKUP(Logs_reseau[[#This Row],[Cell_ID]],'[1]Registre_Maintenance_combine '!A:B,2,FALSE),"Non trouvé")</f>
        <v>Non trouvé</v>
      </c>
      <c r="B480" t="s">
        <v>117</v>
      </c>
      <c r="C480" s="3">
        <v>45216.838194444441</v>
      </c>
      <c r="D480" s="11">
        <f>Logs_reseau[[#This Row],[Duree_Panne_Min]]/1440</f>
        <v>6.6666666666666666E-2</v>
      </c>
      <c r="E480">
        <v>96</v>
      </c>
      <c r="F480" t="s">
        <v>4</v>
      </c>
      <c r="G480" t="str">
        <f>IFERROR(VLOOKUP(Logs_reseau[[#This Row],[Cell_ID]],'[1]Registre_Maintenance_combine '!A:C,3,FALSE),"Non trouvé")</f>
        <v>Non trouvé</v>
      </c>
      <c r="H480" t="str">
        <f>IFERROR(VLOOKUP(Logs_reseau[[#This Row],[Cell_ID]],'[1]Registre_Maintenance_combine '!A:D,4,FALSE),"Non trouvé")</f>
        <v>Non trouvé</v>
      </c>
      <c r="I480" t="str">
        <f>IFERROR(VLOOKUP(Logs_reseau[[#This Row],[Cell_ID]],'[1]Registre_Maintenance_combine '!A:E,5,FALSE),"Non trouvé")</f>
        <v>Non trouvé</v>
      </c>
      <c r="J480" t="str">
        <f>IFERROR(VLOOKUP(Logs_reseau[[#This Row],[Cell_ID]],'[1]Registre_Maintenance_combine '!A:F,6,FALSE),"Non trouvé")</f>
        <v>Non trouvé</v>
      </c>
    </row>
    <row r="481" spans="1:10" x14ac:dyDescent="0.25">
      <c r="A481" t="str">
        <f>IFERROR(VLOOKUP(Logs_reseau[[#This Row],[Cell_ID]],'[1]Registre_Maintenance_combine '!A:B,2,FALSE),"Non trouvé")</f>
        <v>Non trouvé</v>
      </c>
      <c r="B481" t="s">
        <v>117</v>
      </c>
      <c r="C481" s="3">
        <v>45225.664583333331</v>
      </c>
      <c r="D481" s="11">
        <f>Logs_reseau[[#This Row],[Duree_Panne_Min]]/1440</f>
        <v>4.027777777777778E-2</v>
      </c>
      <c r="E481">
        <v>58</v>
      </c>
      <c r="F481" t="s">
        <v>4</v>
      </c>
      <c r="G481" t="str">
        <f>IFERROR(VLOOKUP(Logs_reseau[[#This Row],[Cell_ID]],'[1]Registre_Maintenance_combine '!A:C,3,FALSE),"Non trouvé")</f>
        <v>Non trouvé</v>
      </c>
      <c r="H481" t="str">
        <f>IFERROR(VLOOKUP(Logs_reseau[[#This Row],[Cell_ID]],'[1]Registre_Maintenance_combine '!A:D,4,FALSE),"Non trouvé")</f>
        <v>Non trouvé</v>
      </c>
      <c r="I481" t="str">
        <f>IFERROR(VLOOKUP(Logs_reseau[[#This Row],[Cell_ID]],'[1]Registre_Maintenance_combine '!A:E,5,FALSE),"Non trouvé")</f>
        <v>Non trouvé</v>
      </c>
      <c r="J481" t="str">
        <f>IFERROR(VLOOKUP(Logs_reseau[[#This Row],[Cell_ID]],'[1]Registre_Maintenance_combine '!A:F,6,FALSE),"Non trouvé")</f>
        <v>Non trouvé</v>
      </c>
    </row>
    <row r="482" spans="1:10" x14ac:dyDescent="0.25">
      <c r="A482" t="str">
        <f>IFERROR(VLOOKUP(Logs_reseau[[#This Row],[Cell_ID]],'[1]Registre_Maintenance_combine '!A:B,2,FALSE),"Non trouvé")</f>
        <v>Non trouvé</v>
      </c>
      <c r="B482" t="s">
        <v>117</v>
      </c>
      <c r="C482" s="3">
        <v>45201.457638888889</v>
      </c>
      <c r="D482" s="11">
        <f>Logs_reseau[[#This Row],[Duree_Panne_Min]]/1440</f>
        <v>4.8611111111111112E-3</v>
      </c>
      <c r="E482">
        <v>7</v>
      </c>
      <c r="F482" t="s">
        <v>1</v>
      </c>
      <c r="G482" t="str">
        <f>IFERROR(VLOOKUP(Logs_reseau[[#This Row],[Cell_ID]],'[1]Registre_Maintenance_combine '!A:C,3,FALSE),"Non trouvé")</f>
        <v>Non trouvé</v>
      </c>
      <c r="H482" t="str">
        <f>IFERROR(VLOOKUP(Logs_reseau[[#This Row],[Cell_ID]],'[1]Registre_Maintenance_combine '!A:D,4,FALSE),"Non trouvé")</f>
        <v>Non trouvé</v>
      </c>
      <c r="I482" t="str">
        <f>IFERROR(VLOOKUP(Logs_reseau[[#This Row],[Cell_ID]],'[1]Registre_Maintenance_combine '!A:E,5,FALSE),"Non trouvé")</f>
        <v>Non trouvé</v>
      </c>
      <c r="J482" t="str">
        <f>IFERROR(VLOOKUP(Logs_reseau[[#This Row],[Cell_ID]],'[1]Registre_Maintenance_combine '!A:F,6,FALSE),"Non trouvé")</f>
        <v>Non trouvé</v>
      </c>
    </row>
    <row r="483" spans="1:10" x14ac:dyDescent="0.25">
      <c r="A483" t="str">
        <f>IFERROR(VLOOKUP(Logs_reseau[[#This Row],[Cell_ID]],'[1]Registre_Maintenance_combine '!A:B,2,FALSE),"Non trouvé")</f>
        <v>Maniema</v>
      </c>
      <c r="B483" t="s">
        <v>118</v>
      </c>
      <c r="C483" s="3">
        <v>45226.623611111114</v>
      </c>
      <c r="D483" s="11">
        <f>Logs_reseau[[#This Row],[Duree_Panne_Min]]/1440</f>
        <v>8.1944444444444445E-2</v>
      </c>
      <c r="E483">
        <v>118</v>
      </c>
      <c r="F483" t="s">
        <v>2</v>
      </c>
      <c r="G483">
        <f>IFERROR(VLOOKUP(Logs_reseau[[#This Row],[Cell_ID]],'[1]Registre_Maintenance_combine '!A:C,3,FALSE),"Non trouvé")</f>
        <v>1.938083</v>
      </c>
      <c r="H483">
        <f>IFERROR(VLOOKUP(Logs_reseau[[#This Row],[Cell_ID]],'[1]Registre_Maintenance_combine '!A:D,4,FALSE),"Non trouvé")</f>
        <v>28.25281</v>
      </c>
      <c r="I483" t="str">
        <f>IFERROR(VLOOKUP(Logs_reseau[[#This Row],[Cell_ID]],'[1]Registre_Maintenance_combine '!A:E,5,FALSE),"Non trouvé")</f>
        <v>4G</v>
      </c>
      <c r="J483" t="str">
        <f>IFERROR(VLOOKUP(Logs_reseau[[#This Row],[Cell_ID]],'[1]Registre_Maintenance_combine '!A:F,6,FALSE),"Non trouvé")</f>
        <v>Nokia</v>
      </c>
    </row>
    <row r="484" spans="1:10" x14ac:dyDescent="0.25">
      <c r="A484" t="str">
        <f>IFERROR(VLOOKUP(Logs_reseau[[#This Row],[Cell_ID]],'[1]Registre_Maintenance_combine '!A:B,2,FALSE),"Non trouvé")</f>
        <v>Maniema</v>
      </c>
      <c r="B484" t="s">
        <v>118</v>
      </c>
      <c r="C484" s="3">
        <v>45221.50277777778</v>
      </c>
      <c r="D484" s="11">
        <f>Logs_reseau[[#This Row],[Duree_Panne_Min]]/1440</f>
        <v>6.7361111111111108E-2</v>
      </c>
      <c r="E484">
        <v>97</v>
      </c>
      <c r="F484" t="s">
        <v>2</v>
      </c>
      <c r="G484">
        <f>IFERROR(VLOOKUP(Logs_reseau[[#This Row],[Cell_ID]],'[1]Registre_Maintenance_combine '!A:C,3,FALSE),"Non trouvé")</f>
        <v>1.938083</v>
      </c>
      <c r="H484">
        <f>IFERROR(VLOOKUP(Logs_reseau[[#This Row],[Cell_ID]],'[1]Registre_Maintenance_combine '!A:D,4,FALSE),"Non trouvé")</f>
        <v>28.25281</v>
      </c>
      <c r="I484" t="str">
        <f>IFERROR(VLOOKUP(Logs_reseau[[#This Row],[Cell_ID]],'[1]Registre_Maintenance_combine '!A:E,5,FALSE),"Non trouvé")</f>
        <v>4G</v>
      </c>
      <c r="J484" t="str">
        <f>IFERROR(VLOOKUP(Logs_reseau[[#This Row],[Cell_ID]],'[1]Registre_Maintenance_combine '!A:F,6,FALSE),"Non trouvé")</f>
        <v>Nokia</v>
      </c>
    </row>
    <row r="485" spans="1:10" x14ac:dyDescent="0.25">
      <c r="A485" t="str">
        <f>IFERROR(VLOOKUP(Logs_reseau[[#This Row],[Cell_ID]],'[1]Registre_Maintenance_combine '!A:B,2,FALSE),"Non trouvé")</f>
        <v>Non trouvé</v>
      </c>
      <c r="B485" t="s">
        <v>119</v>
      </c>
      <c r="C485" s="3">
        <v>45219.606249999997</v>
      </c>
      <c r="D485" s="11">
        <f>Logs_reseau[[#This Row],[Duree_Panne_Min]]/1440</f>
        <v>6.458333333333334E-2</v>
      </c>
      <c r="E485">
        <v>93</v>
      </c>
      <c r="F485" t="s">
        <v>4</v>
      </c>
      <c r="G485" t="str">
        <f>IFERROR(VLOOKUP(Logs_reseau[[#This Row],[Cell_ID]],'[1]Registre_Maintenance_combine '!A:C,3,FALSE),"Non trouvé")</f>
        <v>Non trouvé</v>
      </c>
      <c r="H485" t="str">
        <f>IFERROR(VLOOKUP(Logs_reseau[[#This Row],[Cell_ID]],'[1]Registre_Maintenance_combine '!A:D,4,FALSE),"Non trouvé")</f>
        <v>Non trouvé</v>
      </c>
      <c r="I485" t="str">
        <f>IFERROR(VLOOKUP(Logs_reseau[[#This Row],[Cell_ID]],'[1]Registre_Maintenance_combine '!A:E,5,FALSE),"Non trouvé")</f>
        <v>Non trouvé</v>
      </c>
      <c r="J485" t="str">
        <f>IFERROR(VLOOKUP(Logs_reseau[[#This Row],[Cell_ID]],'[1]Registre_Maintenance_combine '!A:F,6,FALSE),"Non trouvé")</f>
        <v>Non trouvé</v>
      </c>
    </row>
    <row r="486" spans="1:10" x14ac:dyDescent="0.25">
      <c r="A486" t="str">
        <f>IFERROR(VLOOKUP(Logs_reseau[[#This Row],[Cell_ID]],'[1]Registre_Maintenance_combine '!A:B,2,FALSE),"Non trouvé")</f>
        <v>Non trouvé</v>
      </c>
      <c r="B486" t="s">
        <v>119</v>
      </c>
      <c r="C486" s="3">
        <v>45216.578472222223</v>
      </c>
      <c r="D486" s="11">
        <f>Logs_reseau[[#This Row],[Duree_Panne_Min]]/1440</f>
        <v>5.486111111111111E-2</v>
      </c>
      <c r="E486">
        <v>79</v>
      </c>
      <c r="F486" t="s">
        <v>1</v>
      </c>
      <c r="G486" t="str">
        <f>IFERROR(VLOOKUP(Logs_reseau[[#This Row],[Cell_ID]],'[1]Registre_Maintenance_combine '!A:C,3,FALSE),"Non trouvé")</f>
        <v>Non trouvé</v>
      </c>
      <c r="H486" t="str">
        <f>IFERROR(VLOOKUP(Logs_reseau[[#This Row],[Cell_ID]],'[1]Registre_Maintenance_combine '!A:D,4,FALSE),"Non trouvé")</f>
        <v>Non trouvé</v>
      </c>
      <c r="I486" t="str">
        <f>IFERROR(VLOOKUP(Logs_reseau[[#This Row],[Cell_ID]],'[1]Registre_Maintenance_combine '!A:E,5,FALSE),"Non trouvé")</f>
        <v>Non trouvé</v>
      </c>
      <c r="J486" t="str">
        <f>IFERROR(VLOOKUP(Logs_reseau[[#This Row],[Cell_ID]],'[1]Registre_Maintenance_combine '!A:F,6,FALSE),"Non trouvé")</f>
        <v>Non trouvé</v>
      </c>
    </row>
    <row r="487" spans="1:10" x14ac:dyDescent="0.25">
      <c r="A487" t="str">
        <f>IFERROR(VLOOKUP(Logs_reseau[[#This Row],[Cell_ID]],'[1]Registre_Maintenance_combine '!A:B,2,FALSE),"Non trouvé")</f>
        <v>Non trouvé</v>
      </c>
      <c r="B487" t="s">
        <v>119</v>
      </c>
      <c r="C487" s="3">
        <v>45223.695138888892</v>
      </c>
      <c r="D487" s="11">
        <f>Logs_reseau[[#This Row],[Duree_Panne_Min]]/1440</f>
        <v>1.3888888888888888E-2</v>
      </c>
      <c r="E487">
        <v>20</v>
      </c>
      <c r="F487" t="s">
        <v>1</v>
      </c>
      <c r="G487" t="str">
        <f>IFERROR(VLOOKUP(Logs_reseau[[#This Row],[Cell_ID]],'[1]Registre_Maintenance_combine '!A:C,3,FALSE),"Non trouvé")</f>
        <v>Non trouvé</v>
      </c>
      <c r="H487" t="str">
        <f>IFERROR(VLOOKUP(Logs_reseau[[#This Row],[Cell_ID]],'[1]Registre_Maintenance_combine '!A:D,4,FALSE),"Non trouvé")</f>
        <v>Non trouvé</v>
      </c>
      <c r="I487" t="str">
        <f>IFERROR(VLOOKUP(Logs_reseau[[#This Row],[Cell_ID]],'[1]Registre_Maintenance_combine '!A:E,5,FALSE),"Non trouvé")</f>
        <v>Non trouvé</v>
      </c>
      <c r="J487" t="str">
        <f>IFERROR(VLOOKUP(Logs_reseau[[#This Row],[Cell_ID]],'[1]Registre_Maintenance_combine '!A:F,6,FALSE),"Non trouvé")</f>
        <v>Non trouvé</v>
      </c>
    </row>
    <row r="488" spans="1:10" x14ac:dyDescent="0.25">
      <c r="A488" t="str">
        <f>IFERROR(VLOOKUP(Logs_reseau[[#This Row],[Cell_ID]],'[1]Registre_Maintenance_combine '!A:B,2,FALSE),"Non trouvé")</f>
        <v>Non trouvé</v>
      </c>
      <c r="B488" t="s">
        <v>119</v>
      </c>
      <c r="C488" s="3">
        <v>45209.852083333331</v>
      </c>
      <c r="D488" s="11">
        <f>Logs_reseau[[#This Row],[Duree_Panne_Min]]/1440</f>
        <v>6.458333333333334E-2</v>
      </c>
      <c r="E488">
        <v>93</v>
      </c>
      <c r="F488" t="s">
        <v>1</v>
      </c>
      <c r="G488" t="str">
        <f>IFERROR(VLOOKUP(Logs_reseau[[#This Row],[Cell_ID]],'[1]Registre_Maintenance_combine '!A:C,3,FALSE),"Non trouvé")</f>
        <v>Non trouvé</v>
      </c>
      <c r="H488" t="str">
        <f>IFERROR(VLOOKUP(Logs_reseau[[#This Row],[Cell_ID]],'[1]Registre_Maintenance_combine '!A:D,4,FALSE),"Non trouvé")</f>
        <v>Non trouvé</v>
      </c>
      <c r="I488" t="str">
        <f>IFERROR(VLOOKUP(Logs_reseau[[#This Row],[Cell_ID]],'[1]Registre_Maintenance_combine '!A:E,5,FALSE),"Non trouvé")</f>
        <v>Non trouvé</v>
      </c>
      <c r="J488" t="str">
        <f>IFERROR(VLOOKUP(Logs_reseau[[#This Row],[Cell_ID]],'[1]Registre_Maintenance_combine '!A:F,6,FALSE),"Non trouvé")</f>
        <v>Non trouvé</v>
      </c>
    </row>
    <row r="489" spans="1:10" x14ac:dyDescent="0.25">
      <c r="A489" t="str">
        <f>IFERROR(VLOOKUP(Logs_reseau[[#This Row],[Cell_ID]],'[1]Registre_Maintenance_combine '!A:B,2,FALSE),"Non trouvé")</f>
        <v>Non trouvé</v>
      </c>
      <c r="B489" t="s">
        <v>119</v>
      </c>
      <c r="C489" s="3">
        <v>45214.043749999997</v>
      </c>
      <c r="D489" s="11">
        <f>Logs_reseau[[#This Row],[Duree_Panne_Min]]/1440</f>
        <v>4.8611111111111112E-2</v>
      </c>
      <c r="E489">
        <v>70</v>
      </c>
      <c r="F489" t="s">
        <v>4</v>
      </c>
      <c r="G489" t="str">
        <f>IFERROR(VLOOKUP(Logs_reseau[[#This Row],[Cell_ID]],'[1]Registre_Maintenance_combine '!A:C,3,FALSE),"Non trouvé")</f>
        <v>Non trouvé</v>
      </c>
      <c r="H489" t="str">
        <f>IFERROR(VLOOKUP(Logs_reseau[[#This Row],[Cell_ID]],'[1]Registre_Maintenance_combine '!A:D,4,FALSE),"Non trouvé")</f>
        <v>Non trouvé</v>
      </c>
      <c r="I489" t="str">
        <f>IFERROR(VLOOKUP(Logs_reseau[[#This Row],[Cell_ID]],'[1]Registre_Maintenance_combine '!A:E,5,FALSE),"Non trouvé")</f>
        <v>Non trouvé</v>
      </c>
      <c r="J489" t="str">
        <f>IFERROR(VLOOKUP(Logs_reseau[[#This Row],[Cell_ID]],'[1]Registre_Maintenance_combine '!A:F,6,FALSE),"Non trouvé")</f>
        <v>Non trouvé</v>
      </c>
    </row>
    <row r="490" spans="1:10" x14ac:dyDescent="0.25">
      <c r="A490" t="str">
        <f>IFERROR(VLOOKUP(Logs_reseau[[#This Row],[Cell_ID]],'[1]Registre_Maintenance_combine '!A:B,2,FALSE),"Non trouvé")</f>
        <v>Non trouvé</v>
      </c>
      <c r="B490" t="s">
        <v>119</v>
      </c>
      <c r="C490" s="3">
        <v>45205.474305555559</v>
      </c>
      <c r="D490" s="11">
        <f>Logs_reseau[[#This Row],[Duree_Panne_Min]]/1440</f>
        <v>7.013888888888889E-2</v>
      </c>
      <c r="E490">
        <v>101</v>
      </c>
      <c r="F490" t="s">
        <v>4</v>
      </c>
      <c r="G490" t="str">
        <f>IFERROR(VLOOKUP(Logs_reseau[[#This Row],[Cell_ID]],'[1]Registre_Maintenance_combine '!A:C,3,FALSE),"Non trouvé")</f>
        <v>Non trouvé</v>
      </c>
      <c r="H490" t="str">
        <f>IFERROR(VLOOKUP(Logs_reseau[[#This Row],[Cell_ID]],'[1]Registre_Maintenance_combine '!A:D,4,FALSE),"Non trouvé")</f>
        <v>Non trouvé</v>
      </c>
      <c r="I490" t="str">
        <f>IFERROR(VLOOKUP(Logs_reseau[[#This Row],[Cell_ID]],'[1]Registre_Maintenance_combine '!A:E,5,FALSE),"Non trouvé")</f>
        <v>Non trouvé</v>
      </c>
      <c r="J490" t="str">
        <f>IFERROR(VLOOKUP(Logs_reseau[[#This Row],[Cell_ID]],'[1]Registre_Maintenance_combine '!A:F,6,FALSE),"Non trouvé")</f>
        <v>Non trouvé</v>
      </c>
    </row>
    <row r="491" spans="1:10" x14ac:dyDescent="0.25">
      <c r="A491" t="str">
        <f>IFERROR(VLOOKUP(Logs_reseau[[#This Row],[Cell_ID]],'[1]Registre_Maintenance_combine '!A:B,2,FALSE),"Non trouvé")</f>
        <v>Non trouvé</v>
      </c>
      <c r="B491" t="s">
        <v>119</v>
      </c>
      <c r="C491" s="3">
        <v>45209.127083333333</v>
      </c>
      <c r="D491" s="11">
        <f>Logs_reseau[[#This Row],[Duree_Panne_Min]]/1440</f>
        <v>1.6666666666666666E-2</v>
      </c>
      <c r="E491">
        <v>24</v>
      </c>
      <c r="F491" t="s">
        <v>4</v>
      </c>
      <c r="G491" t="str">
        <f>IFERROR(VLOOKUP(Logs_reseau[[#This Row],[Cell_ID]],'[1]Registre_Maintenance_combine '!A:C,3,FALSE),"Non trouvé")</f>
        <v>Non trouvé</v>
      </c>
      <c r="H491" t="str">
        <f>IFERROR(VLOOKUP(Logs_reseau[[#This Row],[Cell_ID]],'[1]Registre_Maintenance_combine '!A:D,4,FALSE),"Non trouvé")</f>
        <v>Non trouvé</v>
      </c>
      <c r="I491" t="str">
        <f>IFERROR(VLOOKUP(Logs_reseau[[#This Row],[Cell_ID]],'[1]Registre_Maintenance_combine '!A:E,5,FALSE),"Non trouvé")</f>
        <v>Non trouvé</v>
      </c>
      <c r="J491" t="str">
        <f>IFERROR(VLOOKUP(Logs_reseau[[#This Row],[Cell_ID]],'[1]Registre_Maintenance_combine '!A:F,6,FALSE),"Non trouvé")</f>
        <v>Non trouvé</v>
      </c>
    </row>
    <row r="492" spans="1:10" x14ac:dyDescent="0.25">
      <c r="A492" t="str">
        <f>IFERROR(VLOOKUP(Logs_reseau[[#This Row],[Cell_ID]],'[1]Registre_Maintenance_combine '!A:B,2,FALSE),"Non trouvé")</f>
        <v>Non trouvé</v>
      </c>
      <c r="B492" t="s">
        <v>120</v>
      </c>
      <c r="C492" s="3">
        <v>45217.365972222222</v>
      </c>
      <c r="D492" s="11">
        <f>Logs_reseau[[#This Row],[Duree_Panne_Min]]/1440</f>
        <v>3.1944444444444442E-2</v>
      </c>
      <c r="E492">
        <v>46</v>
      </c>
      <c r="F492" t="s">
        <v>4</v>
      </c>
      <c r="G492" t="str">
        <f>IFERROR(VLOOKUP(Logs_reseau[[#This Row],[Cell_ID]],'[1]Registre_Maintenance_combine '!A:C,3,FALSE),"Non trouvé")</f>
        <v>Non trouvé</v>
      </c>
      <c r="H492" t="str">
        <f>IFERROR(VLOOKUP(Logs_reseau[[#This Row],[Cell_ID]],'[1]Registre_Maintenance_combine '!A:D,4,FALSE),"Non trouvé")</f>
        <v>Non trouvé</v>
      </c>
      <c r="I492" t="str">
        <f>IFERROR(VLOOKUP(Logs_reseau[[#This Row],[Cell_ID]],'[1]Registre_Maintenance_combine '!A:E,5,FALSE),"Non trouvé")</f>
        <v>Non trouvé</v>
      </c>
      <c r="J492" t="str">
        <f>IFERROR(VLOOKUP(Logs_reseau[[#This Row],[Cell_ID]],'[1]Registre_Maintenance_combine '!A:F,6,FALSE),"Non trouvé")</f>
        <v>Non trouvé</v>
      </c>
    </row>
    <row r="493" spans="1:10" x14ac:dyDescent="0.25">
      <c r="A493" t="str">
        <f>IFERROR(VLOOKUP(Logs_reseau[[#This Row],[Cell_ID]],'[1]Registre_Maintenance_combine '!A:B,2,FALSE),"Non trouvé")</f>
        <v>Non trouvé</v>
      </c>
      <c r="B493" t="s">
        <v>120</v>
      </c>
      <c r="C493" s="3">
        <v>45221.84652777778</v>
      </c>
      <c r="D493" s="11">
        <f>Logs_reseau[[#This Row],[Duree_Panne_Min]]/1440</f>
        <v>1.1111111111111112E-2</v>
      </c>
      <c r="E493">
        <v>16</v>
      </c>
      <c r="F493" t="s">
        <v>2</v>
      </c>
      <c r="G493" t="str">
        <f>IFERROR(VLOOKUP(Logs_reseau[[#This Row],[Cell_ID]],'[1]Registre_Maintenance_combine '!A:C,3,FALSE),"Non trouvé")</f>
        <v>Non trouvé</v>
      </c>
      <c r="H493" t="str">
        <f>IFERROR(VLOOKUP(Logs_reseau[[#This Row],[Cell_ID]],'[1]Registre_Maintenance_combine '!A:D,4,FALSE),"Non trouvé")</f>
        <v>Non trouvé</v>
      </c>
      <c r="I493" t="str">
        <f>IFERROR(VLOOKUP(Logs_reseau[[#This Row],[Cell_ID]],'[1]Registre_Maintenance_combine '!A:E,5,FALSE),"Non trouvé")</f>
        <v>Non trouvé</v>
      </c>
      <c r="J493" t="str">
        <f>IFERROR(VLOOKUP(Logs_reseau[[#This Row],[Cell_ID]],'[1]Registre_Maintenance_combine '!A:F,6,FALSE),"Non trouvé")</f>
        <v>Non trouvé</v>
      </c>
    </row>
    <row r="494" spans="1:10" x14ac:dyDescent="0.25">
      <c r="A494" t="str">
        <f>IFERROR(VLOOKUP(Logs_reseau[[#This Row],[Cell_ID]],'[1]Registre_Maintenance_combine '!A:B,2,FALSE),"Non trouvé")</f>
        <v>Non trouvé</v>
      </c>
      <c r="B494" t="s">
        <v>120</v>
      </c>
      <c r="C494" s="3">
        <v>45213.130555555559</v>
      </c>
      <c r="D494" s="11">
        <f>Logs_reseau[[#This Row],[Duree_Panne_Min]]/1440</f>
        <v>6.5972222222222224E-2</v>
      </c>
      <c r="E494">
        <v>95</v>
      </c>
      <c r="F494" t="s">
        <v>2</v>
      </c>
      <c r="G494" t="str">
        <f>IFERROR(VLOOKUP(Logs_reseau[[#This Row],[Cell_ID]],'[1]Registre_Maintenance_combine '!A:C,3,FALSE),"Non trouvé")</f>
        <v>Non trouvé</v>
      </c>
      <c r="H494" t="str">
        <f>IFERROR(VLOOKUP(Logs_reseau[[#This Row],[Cell_ID]],'[1]Registre_Maintenance_combine '!A:D,4,FALSE),"Non trouvé")</f>
        <v>Non trouvé</v>
      </c>
      <c r="I494" t="str">
        <f>IFERROR(VLOOKUP(Logs_reseau[[#This Row],[Cell_ID]],'[1]Registre_Maintenance_combine '!A:E,5,FALSE),"Non trouvé")</f>
        <v>Non trouvé</v>
      </c>
      <c r="J494" t="str">
        <f>IFERROR(VLOOKUP(Logs_reseau[[#This Row],[Cell_ID]],'[1]Registre_Maintenance_combine '!A:F,6,FALSE),"Non trouvé")</f>
        <v>Non trouvé</v>
      </c>
    </row>
    <row r="495" spans="1:10" x14ac:dyDescent="0.25">
      <c r="A495" t="str">
        <f>IFERROR(VLOOKUP(Logs_reseau[[#This Row],[Cell_ID]],'[1]Registre_Maintenance_combine '!A:B,2,FALSE),"Non trouvé")</f>
        <v>Non trouvé</v>
      </c>
      <c r="B495" t="s">
        <v>120</v>
      </c>
      <c r="C495" s="3">
        <v>45210.768750000003</v>
      </c>
      <c r="D495" s="11">
        <f>Logs_reseau[[#This Row],[Duree_Panne_Min]]/1440</f>
        <v>1.5277777777777777E-2</v>
      </c>
      <c r="E495">
        <v>22</v>
      </c>
      <c r="F495" t="s">
        <v>2</v>
      </c>
      <c r="G495" t="str">
        <f>IFERROR(VLOOKUP(Logs_reseau[[#This Row],[Cell_ID]],'[1]Registre_Maintenance_combine '!A:C,3,FALSE),"Non trouvé")</f>
        <v>Non trouvé</v>
      </c>
      <c r="H495" t="str">
        <f>IFERROR(VLOOKUP(Logs_reseau[[#This Row],[Cell_ID]],'[1]Registre_Maintenance_combine '!A:D,4,FALSE),"Non trouvé")</f>
        <v>Non trouvé</v>
      </c>
      <c r="I495" t="str">
        <f>IFERROR(VLOOKUP(Logs_reseau[[#This Row],[Cell_ID]],'[1]Registre_Maintenance_combine '!A:E,5,FALSE),"Non trouvé")</f>
        <v>Non trouvé</v>
      </c>
      <c r="J495" t="str">
        <f>IFERROR(VLOOKUP(Logs_reseau[[#This Row],[Cell_ID]],'[1]Registre_Maintenance_combine '!A:F,6,FALSE),"Non trouvé")</f>
        <v>Non trouvé</v>
      </c>
    </row>
    <row r="496" spans="1:10" x14ac:dyDescent="0.25">
      <c r="A496" t="str">
        <f>IFERROR(VLOOKUP(Logs_reseau[[#This Row],[Cell_ID]],'[1]Registre_Maintenance_combine '!A:B,2,FALSE),"Non trouvé")</f>
        <v>Sud-Ubangi</v>
      </c>
      <c r="B496" t="s">
        <v>121</v>
      </c>
      <c r="C496" s="3">
        <v>45203.810416666667</v>
      </c>
      <c r="D496" s="11">
        <f>Logs_reseau[[#This Row],[Duree_Panne_Min]]/1440</f>
        <v>9.7222222222222224E-3</v>
      </c>
      <c r="E496">
        <v>14</v>
      </c>
      <c r="F496" t="s">
        <v>1</v>
      </c>
      <c r="G496">
        <f>IFERROR(VLOOKUP(Logs_reseau[[#This Row],[Cell_ID]],'[1]Registre_Maintenance_combine '!A:C,3,FALSE),"Non trouvé")</f>
        <v>3.4676979999999999</v>
      </c>
      <c r="H496">
        <f>IFERROR(VLOOKUP(Logs_reseau[[#This Row],[Cell_ID]],'[1]Registre_Maintenance_combine '!A:D,4,FALSE),"Non trouvé")</f>
        <v>13.459707</v>
      </c>
      <c r="I496" t="str">
        <f>IFERROR(VLOOKUP(Logs_reseau[[#This Row],[Cell_ID]],'[1]Registre_Maintenance_combine '!A:E,5,FALSE),"Non trouvé")</f>
        <v>5G</v>
      </c>
      <c r="J496" t="str">
        <f>IFERROR(VLOOKUP(Logs_reseau[[#This Row],[Cell_ID]],'[1]Registre_Maintenance_combine '!A:F,6,FALSE),"Non trouvé")</f>
        <v>Huawei</v>
      </c>
    </row>
    <row r="497" spans="1:10" x14ac:dyDescent="0.25">
      <c r="A497" t="str">
        <f>IFERROR(VLOOKUP(Logs_reseau[[#This Row],[Cell_ID]],'[1]Registre_Maintenance_combine '!A:B,2,FALSE),"Non trouvé")</f>
        <v>Sud-Ubangi</v>
      </c>
      <c r="B497" t="s">
        <v>121</v>
      </c>
      <c r="C497" s="3">
        <v>45221.265972222223</v>
      </c>
      <c r="D497" s="11">
        <f>Logs_reseau[[#This Row],[Duree_Panne_Min]]/1440</f>
        <v>7.2222222222222215E-2</v>
      </c>
      <c r="E497">
        <v>104</v>
      </c>
      <c r="F497" t="s">
        <v>1</v>
      </c>
      <c r="G497">
        <f>IFERROR(VLOOKUP(Logs_reseau[[#This Row],[Cell_ID]],'[1]Registre_Maintenance_combine '!A:C,3,FALSE),"Non trouvé")</f>
        <v>3.4676979999999999</v>
      </c>
      <c r="H497">
        <f>IFERROR(VLOOKUP(Logs_reseau[[#This Row],[Cell_ID]],'[1]Registre_Maintenance_combine '!A:D,4,FALSE),"Non trouvé")</f>
        <v>13.459707</v>
      </c>
      <c r="I497" t="str">
        <f>IFERROR(VLOOKUP(Logs_reseau[[#This Row],[Cell_ID]],'[1]Registre_Maintenance_combine '!A:E,5,FALSE),"Non trouvé")</f>
        <v>5G</v>
      </c>
      <c r="J497" t="str">
        <f>IFERROR(VLOOKUP(Logs_reseau[[#This Row],[Cell_ID]],'[1]Registre_Maintenance_combine '!A:F,6,FALSE),"Non trouvé")</f>
        <v>Huawei</v>
      </c>
    </row>
    <row r="498" spans="1:10" x14ac:dyDescent="0.25">
      <c r="A498" t="str">
        <f>IFERROR(VLOOKUP(Logs_reseau[[#This Row],[Cell_ID]],'[1]Registre_Maintenance_combine '!A:B,2,FALSE),"Non trouvé")</f>
        <v>Bas-Uele</v>
      </c>
      <c r="B498" t="s">
        <v>122</v>
      </c>
      <c r="C498" s="3">
        <v>45213.428472222222</v>
      </c>
      <c r="D498" s="11">
        <f>Logs_reseau[[#This Row],[Duree_Panne_Min]]/1440</f>
        <v>6.1111111111111109E-2</v>
      </c>
      <c r="E498">
        <v>88</v>
      </c>
      <c r="F498" t="s">
        <v>1</v>
      </c>
      <c r="G498">
        <f>IFERROR(VLOOKUP(Logs_reseau[[#This Row],[Cell_ID]],'[1]Registre_Maintenance_combine '!A:C,3,FALSE),"Non trouvé")</f>
        <v>-7.3952039999999997</v>
      </c>
      <c r="H498">
        <f>IFERROR(VLOOKUP(Logs_reseau[[#This Row],[Cell_ID]],'[1]Registre_Maintenance_combine '!A:D,4,FALSE),"Non trouvé")</f>
        <v>21.651043999999999</v>
      </c>
      <c r="I498" t="str">
        <f>IFERROR(VLOOKUP(Logs_reseau[[#This Row],[Cell_ID]],'[1]Registre_Maintenance_combine '!A:E,5,FALSE),"Non trouvé")</f>
        <v>4G</v>
      </c>
      <c r="J498" t="str">
        <f>IFERROR(VLOOKUP(Logs_reseau[[#This Row],[Cell_ID]],'[1]Registre_Maintenance_combine '!A:F,6,FALSE),"Non trouvé")</f>
        <v>Huawei</v>
      </c>
    </row>
    <row r="499" spans="1:10" x14ac:dyDescent="0.25">
      <c r="A499" t="str">
        <f>IFERROR(VLOOKUP(Logs_reseau[[#This Row],[Cell_ID]],'[1]Registre_Maintenance_combine '!A:B,2,FALSE),"Non trouvé")</f>
        <v>Bas-Uele</v>
      </c>
      <c r="B499" t="s">
        <v>122</v>
      </c>
      <c r="C499" s="3">
        <v>45210.912499999999</v>
      </c>
      <c r="D499" s="11">
        <f>Logs_reseau[[#This Row],[Duree_Panne_Min]]/1440</f>
        <v>5.5555555555555552E-2</v>
      </c>
      <c r="E499">
        <v>80</v>
      </c>
      <c r="F499" t="s">
        <v>1</v>
      </c>
      <c r="G499">
        <f>IFERROR(VLOOKUP(Logs_reseau[[#This Row],[Cell_ID]],'[1]Registre_Maintenance_combine '!A:C,3,FALSE),"Non trouvé")</f>
        <v>-7.3952039999999997</v>
      </c>
      <c r="H499">
        <f>IFERROR(VLOOKUP(Logs_reseau[[#This Row],[Cell_ID]],'[1]Registre_Maintenance_combine '!A:D,4,FALSE),"Non trouvé")</f>
        <v>21.651043999999999</v>
      </c>
      <c r="I499" t="str">
        <f>IFERROR(VLOOKUP(Logs_reseau[[#This Row],[Cell_ID]],'[1]Registre_Maintenance_combine '!A:E,5,FALSE),"Non trouvé")</f>
        <v>4G</v>
      </c>
      <c r="J499" t="str">
        <f>IFERROR(VLOOKUP(Logs_reseau[[#This Row],[Cell_ID]],'[1]Registre_Maintenance_combine '!A:F,6,FALSE),"Non trouvé")</f>
        <v>Huawei</v>
      </c>
    </row>
    <row r="500" spans="1:10" x14ac:dyDescent="0.25">
      <c r="A500" t="str">
        <f>IFERROR(VLOOKUP(Logs_reseau[[#This Row],[Cell_ID]],'[1]Registre_Maintenance_combine '!A:B,2,FALSE),"Non trouvé")</f>
        <v>Kasai-Central</v>
      </c>
      <c r="B500" t="s">
        <v>123</v>
      </c>
      <c r="C500" s="3">
        <v>45219.101388888892</v>
      </c>
      <c r="D500" s="11">
        <f>Logs_reseau[[#This Row],[Duree_Panne_Min]]/1440</f>
        <v>9.7222222222222224E-3</v>
      </c>
      <c r="E500">
        <v>14</v>
      </c>
      <c r="F500" t="s">
        <v>4</v>
      </c>
      <c r="G500">
        <f>IFERROR(VLOOKUP(Logs_reseau[[#This Row],[Cell_ID]],'[1]Registre_Maintenance_combine '!A:C,3,FALSE),"Non trouvé")</f>
        <v>1.897178</v>
      </c>
      <c r="H500">
        <f>IFERROR(VLOOKUP(Logs_reseau[[#This Row],[Cell_ID]],'[1]Registre_Maintenance_combine '!A:D,4,FALSE),"Non trouvé")</f>
        <v>23.902604</v>
      </c>
      <c r="I500" t="str">
        <f>IFERROR(VLOOKUP(Logs_reseau[[#This Row],[Cell_ID]],'[1]Registre_Maintenance_combine '!A:E,5,FALSE),"Non trouvé")</f>
        <v>3G</v>
      </c>
      <c r="J500" t="str">
        <f>IFERROR(VLOOKUP(Logs_reseau[[#This Row],[Cell_ID]],'[1]Registre_Maintenance_combine '!A:F,6,FALSE),"Non trouvé")</f>
        <v>Nokia</v>
      </c>
    </row>
    <row r="501" spans="1:10" x14ac:dyDescent="0.25">
      <c r="A501" t="str">
        <f>IFERROR(VLOOKUP(Logs_reseau[[#This Row],[Cell_ID]],'[1]Registre_Maintenance_combine '!A:B,2,FALSE),"Non trouvé")</f>
        <v>Kasai-Central</v>
      </c>
      <c r="B501" t="s">
        <v>123</v>
      </c>
      <c r="C501" s="3">
        <v>45202.323611111111</v>
      </c>
      <c r="D501" s="11">
        <f>Logs_reseau[[#This Row],[Duree_Panne_Min]]/1440</f>
        <v>3.1944444444444442E-2</v>
      </c>
      <c r="E501">
        <v>46</v>
      </c>
      <c r="F501" t="s">
        <v>4</v>
      </c>
      <c r="G501">
        <f>IFERROR(VLOOKUP(Logs_reseau[[#This Row],[Cell_ID]],'[1]Registre_Maintenance_combine '!A:C,3,FALSE),"Non trouvé")</f>
        <v>1.897178</v>
      </c>
      <c r="H501">
        <f>IFERROR(VLOOKUP(Logs_reseau[[#This Row],[Cell_ID]],'[1]Registre_Maintenance_combine '!A:D,4,FALSE),"Non trouvé")</f>
        <v>23.902604</v>
      </c>
      <c r="I501" t="str">
        <f>IFERROR(VLOOKUP(Logs_reseau[[#This Row],[Cell_ID]],'[1]Registre_Maintenance_combine '!A:E,5,FALSE),"Non trouvé")</f>
        <v>3G</v>
      </c>
      <c r="J501" t="str">
        <f>IFERROR(VLOOKUP(Logs_reseau[[#This Row],[Cell_ID]],'[1]Registre_Maintenance_combine '!A:F,6,FALSE),"Non trouvé")</f>
        <v>Nokia</v>
      </c>
    </row>
    <row r="502" spans="1:10" x14ac:dyDescent="0.25">
      <c r="A502" t="str">
        <f>IFERROR(VLOOKUP(Logs_reseau[[#This Row],[Cell_ID]],'[1]Registre_Maintenance_combine '!A:B,2,FALSE),"Non trouvé")</f>
        <v>Kasai-Central</v>
      </c>
      <c r="B502" t="s">
        <v>123</v>
      </c>
      <c r="C502" s="3">
        <v>45218.693055555559</v>
      </c>
      <c r="D502" s="11">
        <f>Logs_reseau[[#This Row],[Duree_Panne_Min]]/1440</f>
        <v>2.4305555555555556E-2</v>
      </c>
      <c r="E502">
        <v>35</v>
      </c>
      <c r="F502" t="s">
        <v>4</v>
      </c>
      <c r="G502">
        <f>IFERROR(VLOOKUP(Logs_reseau[[#This Row],[Cell_ID]],'[1]Registre_Maintenance_combine '!A:C,3,FALSE),"Non trouvé")</f>
        <v>1.897178</v>
      </c>
      <c r="H502">
        <f>IFERROR(VLOOKUP(Logs_reseau[[#This Row],[Cell_ID]],'[1]Registre_Maintenance_combine '!A:D,4,FALSE),"Non trouvé")</f>
        <v>23.902604</v>
      </c>
      <c r="I502" t="str">
        <f>IFERROR(VLOOKUP(Logs_reseau[[#This Row],[Cell_ID]],'[1]Registre_Maintenance_combine '!A:E,5,FALSE),"Non trouvé")</f>
        <v>3G</v>
      </c>
      <c r="J502" t="str">
        <f>IFERROR(VLOOKUP(Logs_reseau[[#This Row],[Cell_ID]],'[1]Registre_Maintenance_combine '!A:F,6,FALSE),"Non trouvé")</f>
        <v>Nokia</v>
      </c>
    </row>
    <row r="503" spans="1:10" x14ac:dyDescent="0.25">
      <c r="A503" t="str">
        <f>IFERROR(VLOOKUP(Logs_reseau[[#This Row],[Cell_ID]],'[1]Registre_Maintenance_combine '!A:B,2,FALSE),"Non trouvé")</f>
        <v>Kasai-Central</v>
      </c>
      <c r="B503" t="s">
        <v>123</v>
      </c>
      <c r="C503" s="3">
        <v>45205.47152777778</v>
      </c>
      <c r="D503" s="11">
        <f>Logs_reseau[[#This Row],[Duree_Panne_Min]]/1440</f>
        <v>8.1250000000000003E-2</v>
      </c>
      <c r="E503">
        <v>117</v>
      </c>
      <c r="F503" t="s">
        <v>4</v>
      </c>
      <c r="G503">
        <f>IFERROR(VLOOKUP(Logs_reseau[[#This Row],[Cell_ID]],'[1]Registre_Maintenance_combine '!A:C,3,FALSE),"Non trouvé")</f>
        <v>1.897178</v>
      </c>
      <c r="H503">
        <f>IFERROR(VLOOKUP(Logs_reseau[[#This Row],[Cell_ID]],'[1]Registre_Maintenance_combine '!A:D,4,FALSE),"Non trouvé")</f>
        <v>23.902604</v>
      </c>
      <c r="I503" t="str">
        <f>IFERROR(VLOOKUP(Logs_reseau[[#This Row],[Cell_ID]],'[1]Registre_Maintenance_combine '!A:E,5,FALSE),"Non trouvé")</f>
        <v>3G</v>
      </c>
      <c r="J503" t="str">
        <f>IFERROR(VLOOKUP(Logs_reseau[[#This Row],[Cell_ID]],'[1]Registre_Maintenance_combine '!A:F,6,FALSE),"Non trouvé")</f>
        <v>Nokia</v>
      </c>
    </row>
    <row r="504" spans="1:10" x14ac:dyDescent="0.25">
      <c r="A504" t="str">
        <f>IFERROR(VLOOKUP(Logs_reseau[[#This Row],[Cell_ID]],'[1]Registre_Maintenance_combine '!A:B,2,FALSE),"Non trouvé")</f>
        <v>Bas-Uele</v>
      </c>
      <c r="B504" t="s">
        <v>124</v>
      </c>
      <c r="C504" s="3">
        <v>45211.74722222222</v>
      </c>
      <c r="D504" s="11">
        <f>Logs_reseau[[#This Row],[Duree_Panne_Min]]/1440</f>
        <v>3.6111111111111108E-2</v>
      </c>
      <c r="E504">
        <v>52</v>
      </c>
      <c r="F504" t="s">
        <v>2</v>
      </c>
      <c r="G504">
        <f>IFERROR(VLOOKUP(Logs_reseau[[#This Row],[Cell_ID]],'[1]Registre_Maintenance_combine '!A:C,3,FALSE),"Non trouvé")</f>
        <v>-1.6893210000000001</v>
      </c>
      <c r="H504">
        <f>IFERROR(VLOOKUP(Logs_reseau[[#This Row],[Cell_ID]],'[1]Registre_Maintenance_combine '!A:D,4,FALSE),"Non trouvé")</f>
        <v>30.446543999999999</v>
      </c>
      <c r="I504" t="str">
        <f>IFERROR(VLOOKUP(Logs_reseau[[#This Row],[Cell_ID]],'[1]Registre_Maintenance_combine '!A:E,5,FALSE),"Non trouvé")</f>
        <v>4G</v>
      </c>
      <c r="J504" t="str">
        <f>IFERROR(VLOOKUP(Logs_reseau[[#This Row],[Cell_ID]],'[1]Registre_Maintenance_combine '!A:F,6,FALSE),"Non trouvé")</f>
        <v>Huawei</v>
      </c>
    </row>
    <row r="505" spans="1:10" x14ac:dyDescent="0.25">
      <c r="A505" t="str">
        <f>IFERROR(VLOOKUP(Logs_reseau[[#This Row],[Cell_ID]],'[1]Registre_Maintenance_combine '!A:B,2,FALSE),"Non trouvé")</f>
        <v>Bas-Uele</v>
      </c>
      <c r="B505" t="s">
        <v>124</v>
      </c>
      <c r="C505" s="3">
        <v>45212.07916666667</v>
      </c>
      <c r="D505" s="11">
        <f>Logs_reseau[[#This Row],[Duree_Panne_Min]]/1440</f>
        <v>6.6666666666666666E-2</v>
      </c>
      <c r="E505">
        <v>96</v>
      </c>
      <c r="F505" t="s">
        <v>1</v>
      </c>
      <c r="G505">
        <f>IFERROR(VLOOKUP(Logs_reseau[[#This Row],[Cell_ID]],'[1]Registre_Maintenance_combine '!A:C,3,FALSE),"Non trouvé")</f>
        <v>-1.6893210000000001</v>
      </c>
      <c r="H505">
        <f>IFERROR(VLOOKUP(Logs_reseau[[#This Row],[Cell_ID]],'[1]Registre_Maintenance_combine '!A:D,4,FALSE),"Non trouvé")</f>
        <v>30.446543999999999</v>
      </c>
      <c r="I505" t="str">
        <f>IFERROR(VLOOKUP(Logs_reseau[[#This Row],[Cell_ID]],'[1]Registre_Maintenance_combine '!A:E,5,FALSE),"Non trouvé")</f>
        <v>4G</v>
      </c>
      <c r="J505" t="str">
        <f>IFERROR(VLOOKUP(Logs_reseau[[#This Row],[Cell_ID]],'[1]Registre_Maintenance_combine '!A:F,6,FALSE),"Non trouvé")</f>
        <v>Huawei</v>
      </c>
    </row>
    <row r="506" spans="1:10" x14ac:dyDescent="0.25">
      <c r="A506" t="str">
        <f>IFERROR(VLOOKUP(Logs_reseau[[#This Row],[Cell_ID]],'[1]Registre_Maintenance_combine '!A:B,2,FALSE),"Non trouvé")</f>
        <v>Bas-Uele</v>
      </c>
      <c r="B506" t="s">
        <v>124</v>
      </c>
      <c r="C506" s="3">
        <v>45214.067361111112</v>
      </c>
      <c r="D506" s="11">
        <f>Logs_reseau[[#This Row],[Duree_Panne_Min]]/1440</f>
        <v>3.6805555555555557E-2</v>
      </c>
      <c r="E506">
        <v>53</v>
      </c>
      <c r="F506" t="s">
        <v>1</v>
      </c>
      <c r="G506">
        <f>IFERROR(VLOOKUP(Logs_reseau[[#This Row],[Cell_ID]],'[1]Registre_Maintenance_combine '!A:C,3,FALSE),"Non trouvé")</f>
        <v>-1.6893210000000001</v>
      </c>
      <c r="H506">
        <f>IFERROR(VLOOKUP(Logs_reseau[[#This Row],[Cell_ID]],'[1]Registre_Maintenance_combine '!A:D,4,FALSE),"Non trouvé")</f>
        <v>30.446543999999999</v>
      </c>
      <c r="I506" t="str">
        <f>IFERROR(VLOOKUP(Logs_reseau[[#This Row],[Cell_ID]],'[1]Registre_Maintenance_combine '!A:E,5,FALSE),"Non trouvé")</f>
        <v>4G</v>
      </c>
      <c r="J506" t="str">
        <f>IFERROR(VLOOKUP(Logs_reseau[[#This Row],[Cell_ID]],'[1]Registre_Maintenance_combine '!A:F,6,FALSE),"Non trouvé")</f>
        <v>Huawei</v>
      </c>
    </row>
    <row r="507" spans="1:10" x14ac:dyDescent="0.25">
      <c r="A507" t="str">
        <f>IFERROR(VLOOKUP(Logs_reseau[[#This Row],[Cell_ID]],'[1]Registre_Maintenance_combine '!A:B,2,FALSE),"Non trouvé")</f>
        <v>Bas-Uele</v>
      </c>
      <c r="B507" t="s">
        <v>124</v>
      </c>
      <c r="C507" s="3">
        <v>45202.717361111114</v>
      </c>
      <c r="D507" s="11">
        <f>Logs_reseau[[#This Row],[Duree_Panne_Min]]/1440</f>
        <v>7.4305555555555555E-2</v>
      </c>
      <c r="E507">
        <v>107</v>
      </c>
      <c r="F507" t="s">
        <v>4</v>
      </c>
      <c r="G507">
        <f>IFERROR(VLOOKUP(Logs_reseau[[#This Row],[Cell_ID]],'[1]Registre_Maintenance_combine '!A:C,3,FALSE),"Non trouvé")</f>
        <v>-1.6893210000000001</v>
      </c>
      <c r="H507">
        <f>IFERROR(VLOOKUP(Logs_reseau[[#This Row],[Cell_ID]],'[1]Registre_Maintenance_combine '!A:D,4,FALSE),"Non trouvé")</f>
        <v>30.446543999999999</v>
      </c>
      <c r="I507" t="str">
        <f>IFERROR(VLOOKUP(Logs_reseau[[#This Row],[Cell_ID]],'[1]Registre_Maintenance_combine '!A:E,5,FALSE),"Non trouvé")</f>
        <v>4G</v>
      </c>
      <c r="J507" t="str">
        <f>IFERROR(VLOOKUP(Logs_reseau[[#This Row],[Cell_ID]],'[1]Registre_Maintenance_combine '!A:F,6,FALSE),"Non trouvé")</f>
        <v>Huawei</v>
      </c>
    </row>
    <row r="508" spans="1:10" x14ac:dyDescent="0.25">
      <c r="A508" t="str">
        <f>IFERROR(VLOOKUP(Logs_reseau[[#This Row],[Cell_ID]],'[1]Registre_Maintenance_combine '!A:B,2,FALSE),"Non trouvé")</f>
        <v>Non trouvé</v>
      </c>
      <c r="B508" t="s">
        <v>125</v>
      </c>
      <c r="C508" s="3">
        <v>45210.270138888889</v>
      </c>
      <c r="D508" s="11">
        <f>Logs_reseau[[#This Row],[Duree_Panne_Min]]/1440</f>
        <v>2.5000000000000001E-2</v>
      </c>
      <c r="E508">
        <v>36</v>
      </c>
      <c r="F508" t="s">
        <v>2</v>
      </c>
      <c r="G508" t="str">
        <f>IFERROR(VLOOKUP(Logs_reseau[[#This Row],[Cell_ID]],'[1]Registre_Maintenance_combine '!A:C,3,FALSE),"Non trouvé")</f>
        <v>Non trouvé</v>
      </c>
      <c r="H508" t="str">
        <f>IFERROR(VLOOKUP(Logs_reseau[[#This Row],[Cell_ID]],'[1]Registre_Maintenance_combine '!A:D,4,FALSE),"Non trouvé")</f>
        <v>Non trouvé</v>
      </c>
      <c r="I508" t="str">
        <f>IFERROR(VLOOKUP(Logs_reseau[[#This Row],[Cell_ID]],'[1]Registre_Maintenance_combine '!A:E,5,FALSE),"Non trouvé")</f>
        <v>Non trouvé</v>
      </c>
      <c r="J508" t="str">
        <f>IFERROR(VLOOKUP(Logs_reseau[[#This Row],[Cell_ID]],'[1]Registre_Maintenance_combine '!A:F,6,FALSE),"Non trouvé")</f>
        <v>Non trouvé</v>
      </c>
    </row>
    <row r="509" spans="1:10" x14ac:dyDescent="0.25">
      <c r="A509" t="str">
        <f>IFERROR(VLOOKUP(Logs_reseau[[#This Row],[Cell_ID]],'[1]Registre_Maintenance_combine '!A:B,2,FALSE),"Non trouvé")</f>
        <v>Non trouvé</v>
      </c>
      <c r="B509" t="s">
        <v>125</v>
      </c>
      <c r="C509" s="3">
        <v>45205.11041666667</v>
      </c>
      <c r="D509" s="11">
        <f>Logs_reseau[[#This Row],[Duree_Panne_Min]]/1440</f>
        <v>6.2500000000000003E-3</v>
      </c>
      <c r="E509">
        <v>9</v>
      </c>
      <c r="F509" t="s">
        <v>2</v>
      </c>
      <c r="G509" t="str">
        <f>IFERROR(VLOOKUP(Logs_reseau[[#This Row],[Cell_ID]],'[1]Registre_Maintenance_combine '!A:C,3,FALSE),"Non trouvé")</f>
        <v>Non trouvé</v>
      </c>
      <c r="H509" t="str">
        <f>IFERROR(VLOOKUP(Logs_reseau[[#This Row],[Cell_ID]],'[1]Registre_Maintenance_combine '!A:D,4,FALSE),"Non trouvé")</f>
        <v>Non trouvé</v>
      </c>
      <c r="I509" t="str">
        <f>IFERROR(VLOOKUP(Logs_reseau[[#This Row],[Cell_ID]],'[1]Registre_Maintenance_combine '!A:E,5,FALSE),"Non trouvé")</f>
        <v>Non trouvé</v>
      </c>
      <c r="J509" t="str">
        <f>IFERROR(VLOOKUP(Logs_reseau[[#This Row],[Cell_ID]],'[1]Registre_Maintenance_combine '!A:F,6,FALSE),"Non trouvé")</f>
        <v>Non trouvé</v>
      </c>
    </row>
    <row r="510" spans="1:10" x14ac:dyDescent="0.25">
      <c r="A510" t="str">
        <f>IFERROR(VLOOKUP(Logs_reseau[[#This Row],[Cell_ID]],'[1]Registre_Maintenance_combine '!A:B,2,FALSE),"Non trouvé")</f>
        <v>Non trouvé</v>
      </c>
      <c r="B510" t="s">
        <v>125</v>
      </c>
      <c r="C510" s="3">
        <v>45227.724305555559</v>
      </c>
      <c r="D510" s="11">
        <f>Logs_reseau[[#This Row],[Duree_Panne_Min]]/1440</f>
        <v>3.1944444444444442E-2</v>
      </c>
      <c r="E510">
        <v>46</v>
      </c>
      <c r="F510" t="s">
        <v>1</v>
      </c>
      <c r="G510" t="str">
        <f>IFERROR(VLOOKUP(Logs_reseau[[#This Row],[Cell_ID]],'[1]Registre_Maintenance_combine '!A:C,3,FALSE),"Non trouvé")</f>
        <v>Non trouvé</v>
      </c>
      <c r="H510" t="str">
        <f>IFERROR(VLOOKUP(Logs_reseau[[#This Row],[Cell_ID]],'[1]Registre_Maintenance_combine '!A:D,4,FALSE),"Non trouvé")</f>
        <v>Non trouvé</v>
      </c>
      <c r="I510" t="str">
        <f>IFERROR(VLOOKUP(Logs_reseau[[#This Row],[Cell_ID]],'[1]Registre_Maintenance_combine '!A:E,5,FALSE),"Non trouvé")</f>
        <v>Non trouvé</v>
      </c>
      <c r="J510" t="str">
        <f>IFERROR(VLOOKUP(Logs_reseau[[#This Row],[Cell_ID]],'[1]Registre_Maintenance_combine '!A:F,6,FALSE),"Non trouvé")</f>
        <v>Non trouvé</v>
      </c>
    </row>
    <row r="511" spans="1:10" x14ac:dyDescent="0.25">
      <c r="A511" t="str">
        <f>IFERROR(VLOOKUP(Logs_reseau[[#This Row],[Cell_ID]],'[1]Registre_Maintenance_combine '!A:B,2,FALSE),"Non trouvé")</f>
        <v>Non trouvé</v>
      </c>
      <c r="B511" t="s">
        <v>125</v>
      </c>
      <c r="C511" s="3">
        <v>45216.26666666667</v>
      </c>
      <c r="D511" s="11">
        <f>Logs_reseau[[#This Row],[Duree_Panne_Min]]/1440</f>
        <v>1.8749999999999999E-2</v>
      </c>
      <c r="E511">
        <v>27</v>
      </c>
      <c r="F511" t="s">
        <v>2</v>
      </c>
      <c r="G511" t="str">
        <f>IFERROR(VLOOKUP(Logs_reseau[[#This Row],[Cell_ID]],'[1]Registre_Maintenance_combine '!A:C,3,FALSE),"Non trouvé")</f>
        <v>Non trouvé</v>
      </c>
      <c r="H511" t="str">
        <f>IFERROR(VLOOKUP(Logs_reseau[[#This Row],[Cell_ID]],'[1]Registre_Maintenance_combine '!A:D,4,FALSE),"Non trouvé")</f>
        <v>Non trouvé</v>
      </c>
      <c r="I511" t="str">
        <f>IFERROR(VLOOKUP(Logs_reseau[[#This Row],[Cell_ID]],'[1]Registre_Maintenance_combine '!A:E,5,FALSE),"Non trouvé")</f>
        <v>Non trouvé</v>
      </c>
      <c r="J511" t="str">
        <f>IFERROR(VLOOKUP(Logs_reseau[[#This Row],[Cell_ID]],'[1]Registre_Maintenance_combine '!A:F,6,FALSE),"Non trouvé")</f>
        <v>Non trouvé</v>
      </c>
    </row>
    <row r="512" spans="1:10" x14ac:dyDescent="0.25">
      <c r="A512" t="str">
        <f>IFERROR(VLOOKUP(Logs_reseau[[#This Row],[Cell_ID]],'[1]Registre_Maintenance_combine '!A:B,2,FALSE),"Non trouvé")</f>
        <v>Non trouvé</v>
      </c>
      <c r="B512" t="s">
        <v>126</v>
      </c>
      <c r="C512" s="3">
        <v>45228.511805555558</v>
      </c>
      <c r="D512" s="11">
        <f>Logs_reseau[[#This Row],[Duree_Panne_Min]]/1440</f>
        <v>7.4999999999999997E-2</v>
      </c>
      <c r="E512">
        <v>108</v>
      </c>
      <c r="F512" t="s">
        <v>1</v>
      </c>
      <c r="G512" t="str">
        <f>IFERROR(VLOOKUP(Logs_reseau[[#This Row],[Cell_ID]],'[1]Registre_Maintenance_combine '!A:C,3,FALSE),"Non trouvé")</f>
        <v>Non trouvé</v>
      </c>
      <c r="H512" t="str">
        <f>IFERROR(VLOOKUP(Logs_reseau[[#This Row],[Cell_ID]],'[1]Registre_Maintenance_combine '!A:D,4,FALSE),"Non trouvé")</f>
        <v>Non trouvé</v>
      </c>
      <c r="I512" t="str">
        <f>IFERROR(VLOOKUP(Logs_reseau[[#This Row],[Cell_ID]],'[1]Registre_Maintenance_combine '!A:E,5,FALSE),"Non trouvé")</f>
        <v>Non trouvé</v>
      </c>
      <c r="J512" t="str">
        <f>IFERROR(VLOOKUP(Logs_reseau[[#This Row],[Cell_ID]],'[1]Registre_Maintenance_combine '!A:F,6,FALSE),"Non trouvé")</f>
        <v>Non trouvé</v>
      </c>
    </row>
    <row r="513" spans="1:10" x14ac:dyDescent="0.25">
      <c r="A513" t="str">
        <f>IFERROR(VLOOKUP(Logs_reseau[[#This Row],[Cell_ID]],'[1]Registre_Maintenance_combine '!A:B,2,FALSE),"Non trouvé")</f>
        <v>Non trouvé</v>
      </c>
      <c r="B513" t="s">
        <v>126</v>
      </c>
      <c r="C513" s="3">
        <v>45223.668055555558</v>
      </c>
      <c r="D513" s="11">
        <f>Logs_reseau[[#This Row],[Duree_Panne_Min]]/1440</f>
        <v>5.9722222222222225E-2</v>
      </c>
      <c r="E513">
        <v>86</v>
      </c>
      <c r="F513" t="s">
        <v>4</v>
      </c>
      <c r="G513" t="str">
        <f>IFERROR(VLOOKUP(Logs_reseau[[#This Row],[Cell_ID]],'[1]Registre_Maintenance_combine '!A:C,3,FALSE),"Non trouvé")</f>
        <v>Non trouvé</v>
      </c>
      <c r="H513" t="str">
        <f>IFERROR(VLOOKUP(Logs_reseau[[#This Row],[Cell_ID]],'[1]Registre_Maintenance_combine '!A:D,4,FALSE),"Non trouvé")</f>
        <v>Non trouvé</v>
      </c>
      <c r="I513" t="str">
        <f>IFERROR(VLOOKUP(Logs_reseau[[#This Row],[Cell_ID]],'[1]Registre_Maintenance_combine '!A:E,5,FALSE),"Non trouvé")</f>
        <v>Non trouvé</v>
      </c>
      <c r="J513" t="str">
        <f>IFERROR(VLOOKUP(Logs_reseau[[#This Row],[Cell_ID]],'[1]Registre_Maintenance_combine '!A:F,6,FALSE),"Non trouvé")</f>
        <v>Non trouvé</v>
      </c>
    </row>
    <row r="514" spans="1:10" x14ac:dyDescent="0.25">
      <c r="A514" t="str">
        <f>IFERROR(VLOOKUP(Logs_reseau[[#This Row],[Cell_ID]],'[1]Registre_Maintenance_combine '!A:B,2,FALSE),"Non trouvé")</f>
        <v>Non trouvé</v>
      </c>
      <c r="B514" t="s">
        <v>126</v>
      </c>
      <c r="C514" s="3">
        <v>45213.244444444441</v>
      </c>
      <c r="D514" s="11">
        <f>Logs_reseau[[#This Row],[Duree_Panne_Min]]/1440</f>
        <v>5.0694444444444445E-2</v>
      </c>
      <c r="E514">
        <v>73</v>
      </c>
      <c r="F514" t="s">
        <v>4</v>
      </c>
      <c r="G514" t="str">
        <f>IFERROR(VLOOKUP(Logs_reseau[[#This Row],[Cell_ID]],'[1]Registre_Maintenance_combine '!A:C,3,FALSE),"Non trouvé")</f>
        <v>Non trouvé</v>
      </c>
      <c r="H514" t="str">
        <f>IFERROR(VLOOKUP(Logs_reseau[[#This Row],[Cell_ID]],'[1]Registre_Maintenance_combine '!A:D,4,FALSE),"Non trouvé")</f>
        <v>Non trouvé</v>
      </c>
      <c r="I514" t="str">
        <f>IFERROR(VLOOKUP(Logs_reseau[[#This Row],[Cell_ID]],'[1]Registre_Maintenance_combine '!A:E,5,FALSE),"Non trouvé")</f>
        <v>Non trouvé</v>
      </c>
      <c r="J514" t="str">
        <f>IFERROR(VLOOKUP(Logs_reseau[[#This Row],[Cell_ID]],'[1]Registre_Maintenance_combine '!A:F,6,FALSE),"Non trouvé")</f>
        <v>Non trouvé</v>
      </c>
    </row>
    <row r="515" spans="1:10" x14ac:dyDescent="0.25">
      <c r="A515" t="str">
        <f>IFERROR(VLOOKUP(Logs_reseau[[#This Row],[Cell_ID]],'[1]Registre_Maintenance_combine '!A:B,2,FALSE),"Non trouvé")</f>
        <v>Non trouvé</v>
      </c>
      <c r="B515" t="s">
        <v>127</v>
      </c>
      <c r="C515" s="3">
        <v>45207.145138888889</v>
      </c>
      <c r="D515" s="11">
        <f>Logs_reseau[[#This Row],[Duree_Panne_Min]]/1440</f>
        <v>1.1111111111111112E-2</v>
      </c>
      <c r="E515">
        <v>16</v>
      </c>
      <c r="F515" t="s">
        <v>2</v>
      </c>
      <c r="G515" t="str">
        <f>IFERROR(VLOOKUP(Logs_reseau[[#This Row],[Cell_ID]],'[1]Registre_Maintenance_combine '!A:C,3,FALSE),"Non trouvé")</f>
        <v>Non trouvé</v>
      </c>
      <c r="H515" t="str">
        <f>IFERROR(VLOOKUP(Logs_reseau[[#This Row],[Cell_ID]],'[1]Registre_Maintenance_combine '!A:D,4,FALSE),"Non trouvé")</f>
        <v>Non trouvé</v>
      </c>
      <c r="I515" t="str">
        <f>IFERROR(VLOOKUP(Logs_reseau[[#This Row],[Cell_ID]],'[1]Registre_Maintenance_combine '!A:E,5,FALSE),"Non trouvé")</f>
        <v>Non trouvé</v>
      </c>
      <c r="J515" t="str">
        <f>IFERROR(VLOOKUP(Logs_reseau[[#This Row],[Cell_ID]],'[1]Registre_Maintenance_combine '!A:F,6,FALSE),"Non trouvé")</f>
        <v>Non trouvé</v>
      </c>
    </row>
    <row r="516" spans="1:10" x14ac:dyDescent="0.25">
      <c r="A516" t="str">
        <f>IFERROR(VLOOKUP(Logs_reseau[[#This Row],[Cell_ID]],'[1]Registre_Maintenance_combine '!A:B,2,FALSE),"Non trouvé")</f>
        <v>Non trouvé</v>
      </c>
      <c r="B516" t="s">
        <v>127</v>
      </c>
      <c r="C516" s="3">
        <v>45226.997916666667</v>
      </c>
      <c r="D516" s="11">
        <f>Logs_reseau[[#This Row],[Duree_Panne_Min]]/1440</f>
        <v>5.5555555555555552E-2</v>
      </c>
      <c r="E516">
        <v>80</v>
      </c>
      <c r="F516" t="s">
        <v>1</v>
      </c>
      <c r="G516" t="str">
        <f>IFERROR(VLOOKUP(Logs_reseau[[#This Row],[Cell_ID]],'[1]Registre_Maintenance_combine '!A:C,3,FALSE),"Non trouvé")</f>
        <v>Non trouvé</v>
      </c>
      <c r="H516" t="str">
        <f>IFERROR(VLOOKUP(Logs_reseau[[#This Row],[Cell_ID]],'[1]Registre_Maintenance_combine '!A:D,4,FALSE),"Non trouvé")</f>
        <v>Non trouvé</v>
      </c>
      <c r="I516" t="str">
        <f>IFERROR(VLOOKUP(Logs_reseau[[#This Row],[Cell_ID]],'[1]Registre_Maintenance_combine '!A:E,5,FALSE),"Non trouvé")</f>
        <v>Non trouvé</v>
      </c>
      <c r="J516" t="str">
        <f>IFERROR(VLOOKUP(Logs_reseau[[#This Row],[Cell_ID]],'[1]Registre_Maintenance_combine '!A:F,6,FALSE),"Non trouvé")</f>
        <v>Non trouvé</v>
      </c>
    </row>
    <row r="517" spans="1:10" x14ac:dyDescent="0.25">
      <c r="A517" t="str">
        <f>IFERROR(VLOOKUP(Logs_reseau[[#This Row],[Cell_ID]],'[1]Registre_Maintenance_combine '!A:B,2,FALSE),"Non trouvé")</f>
        <v>Non trouvé</v>
      </c>
      <c r="B517" t="s">
        <v>127</v>
      </c>
      <c r="C517" s="3">
        <v>45214.114583333336</v>
      </c>
      <c r="D517" s="11">
        <f>Logs_reseau[[#This Row],[Duree_Panne_Min]]/1440</f>
        <v>3.3333333333333333E-2</v>
      </c>
      <c r="E517">
        <v>48</v>
      </c>
      <c r="F517" t="s">
        <v>4</v>
      </c>
      <c r="G517" t="str">
        <f>IFERROR(VLOOKUP(Logs_reseau[[#This Row],[Cell_ID]],'[1]Registre_Maintenance_combine '!A:C,3,FALSE),"Non trouvé")</f>
        <v>Non trouvé</v>
      </c>
      <c r="H517" t="str">
        <f>IFERROR(VLOOKUP(Logs_reseau[[#This Row],[Cell_ID]],'[1]Registre_Maintenance_combine '!A:D,4,FALSE),"Non trouvé")</f>
        <v>Non trouvé</v>
      </c>
      <c r="I517" t="str">
        <f>IFERROR(VLOOKUP(Logs_reseau[[#This Row],[Cell_ID]],'[1]Registre_Maintenance_combine '!A:E,5,FALSE),"Non trouvé")</f>
        <v>Non trouvé</v>
      </c>
      <c r="J517" t="str">
        <f>IFERROR(VLOOKUP(Logs_reseau[[#This Row],[Cell_ID]],'[1]Registre_Maintenance_combine '!A:F,6,FALSE),"Non trouvé")</f>
        <v>Non trouvé</v>
      </c>
    </row>
    <row r="518" spans="1:10" x14ac:dyDescent="0.25">
      <c r="A518" t="str">
        <f>IFERROR(VLOOKUP(Logs_reseau[[#This Row],[Cell_ID]],'[1]Registre_Maintenance_combine '!A:B,2,FALSE),"Non trouvé")</f>
        <v>Non trouvé</v>
      </c>
      <c r="B518" t="s">
        <v>127</v>
      </c>
      <c r="C518" s="3">
        <v>45230.033333333333</v>
      </c>
      <c r="D518" s="11">
        <f>Logs_reseau[[#This Row],[Duree_Panne_Min]]/1440</f>
        <v>3.5416666666666666E-2</v>
      </c>
      <c r="E518">
        <v>51</v>
      </c>
      <c r="F518" t="s">
        <v>1</v>
      </c>
      <c r="G518" t="str">
        <f>IFERROR(VLOOKUP(Logs_reseau[[#This Row],[Cell_ID]],'[1]Registre_Maintenance_combine '!A:C,3,FALSE),"Non trouvé")</f>
        <v>Non trouvé</v>
      </c>
      <c r="H518" t="str">
        <f>IFERROR(VLOOKUP(Logs_reseau[[#This Row],[Cell_ID]],'[1]Registre_Maintenance_combine '!A:D,4,FALSE),"Non trouvé")</f>
        <v>Non trouvé</v>
      </c>
      <c r="I518" t="str">
        <f>IFERROR(VLOOKUP(Logs_reseau[[#This Row],[Cell_ID]],'[1]Registre_Maintenance_combine '!A:E,5,FALSE),"Non trouvé")</f>
        <v>Non trouvé</v>
      </c>
      <c r="J518" t="str">
        <f>IFERROR(VLOOKUP(Logs_reseau[[#This Row],[Cell_ID]],'[1]Registre_Maintenance_combine '!A:F,6,FALSE),"Non trouvé")</f>
        <v>Non trouvé</v>
      </c>
    </row>
    <row r="519" spans="1:10" x14ac:dyDescent="0.25">
      <c r="A519" t="str">
        <f>IFERROR(VLOOKUP(Logs_reseau[[#This Row],[Cell_ID]],'[1]Registre_Maintenance_combine '!A:B,2,FALSE),"Non trouvé")</f>
        <v>Non trouvé</v>
      </c>
      <c r="B519" t="s">
        <v>127</v>
      </c>
      <c r="C519" s="3">
        <v>45209.996527777781</v>
      </c>
      <c r="D519" s="11">
        <f>Logs_reseau[[#This Row],[Duree_Panne_Min]]/1440</f>
        <v>7.1527777777777773E-2</v>
      </c>
      <c r="E519">
        <v>103</v>
      </c>
      <c r="F519" t="s">
        <v>2</v>
      </c>
      <c r="G519" t="str">
        <f>IFERROR(VLOOKUP(Logs_reseau[[#This Row],[Cell_ID]],'[1]Registre_Maintenance_combine '!A:C,3,FALSE),"Non trouvé")</f>
        <v>Non trouvé</v>
      </c>
      <c r="H519" t="str">
        <f>IFERROR(VLOOKUP(Logs_reseau[[#This Row],[Cell_ID]],'[1]Registre_Maintenance_combine '!A:D,4,FALSE),"Non trouvé")</f>
        <v>Non trouvé</v>
      </c>
      <c r="I519" t="str">
        <f>IFERROR(VLOOKUP(Logs_reseau[[#This Row],[Cell_ID]],'[1]Registre_Maintenance_combine '!A:E,5,FALSE),"Non trouvé")</f>
        <v>Non trouvé</v>
      </c>
      <c r="J519" t="str">
        <f>IFERROR(VLOOKUP(Logs_reseau[[#This Row],[Cell_ID]],'[1]Registre_Maintenance_combine '!A:F,6,FALSE),"Non trouvé")</f>
        <v>Non trouvé</v>
      </c>
    </row>
    <row r="520" spans="1:10" x14ac:dyDescent="0.25">
      <c r="A520" t="str">
        <f>IFERROR(VLOOKUP(Logs_reseau[[#This Row],[Cell_ID]],'[1]Registre_Maintenance_combine '!A:B,2,FALSE),"Non trouvé")</f>
        <v>Non trouvé</v>
      </c>
      <c r="B520" t="s">
        <v>127</v>
      </c>
      <c r="C520" s="3">
        <v>45214.774305555555</v>
      </c>
      <c r="D520" s="11">
        <f>Logs_reseau[[#This Row],[Duree_Panne_Min]]/1440</f>
        <v>6.25E-2</v>
      </c>
      <c r="E520">
        <v>90</v>
      </c>
      <c r="F520" t="s">
        <v>4</v>
      </c>
      <c r="G520" t="str">
        <f>IFERROR(VLOOKUP(Logs_reseau[[#This Row],[Cell_ID]],'[1]Registre_Maintenance_combine '!A:C,3,FALSE),"Non trouvé")</f>
        <v>Non trouvé</v>
      </c>
      <c r="H520" t="str">
        <f>IFERROR(VLOOKUP(Logs_reseau[[#This Row],[Cell_ID]],'[1]Registre_Maintenance_combine '!A:D,4,FALSE),"Non trouvé")</f>
        <v>Non trouvé</v>
      </c>
      <c r="I520" t="str">
        <f>IFERROR(VLOOKUP(Logs_reseau[[#This Row],[Cell_ID]],'[1]Registre_Maintenance_combine '!A:E,5,FALSE),"Non trouvé")</f>
        <v>Non trouvé</v>
      </c>
      <c r="J520" t="str">
        <f>IFERROR(VLOOKUP(Logs_reseau[[#This Row],[Cell_ID]],'[1]Registre_Maintenance_combine '!A:F,6,FALSE),"Non trouvé")</f>
        <v>Non trouvé</v>
      </c>
    </row>
    <row r="521" spans="1:10" x14ac:dyDescent="0.25">
      <c r="A521" t="str">
        <f>IFERROR(VLOOKUP(Logs_reseau[[#This Row],[Cell_ID]],'[1]Registre_Maintenance_combine '!A:B,2,FALSE),"Non trouvé")</f>
        <v>Non trouvé</v>
      </c>
      <c r="B521" t="s">
        <v>127</v>
      </c>
      <c r="C521" s="3">
        <v>45211.906944444447</v>
      </c>
      <c r="D521" s="11">
        <f>Logs_reseau[[#This Row],[Duree_Panne_Min]]/1440</f>
        <v>1.6666666666666666E-2</v>
      </c>
      <c r="E521">
        <v>24</v>
      </c>
      <c r="F521" t="s">
        <v>2</v>
      </c>
      <c r="G521" t="str">
        <f>IFERROR(VLOOKUP(Logs_reseau[[#This Row],[Cell_ID]],'[1]Registre_Maintenance_combine '!A:C,3,FALSE),"Non trouvé")</f>
        <v>Non trouvé</v>
      </c>
      <c r="H521" t="str">
        <f>IFERROR(VLOOKUP(Logs_reseau[[#This Row],[Cell_ID]],'[1]Registre_Maintenance_combine '!A:D,4,FALSE),"Non trouvé")</f>
        <v>Non trouvé</v>
      </c>
      <c r="I521" t="str">
        <f>IFERROR(VLOOKUP(Logs_reseau[[#This Row],[Cell_ID]],'[1]Registre_Maintenance_combine '!A:E,5,FALSE),"Non trouvé")</f>
        <v>Non trouvé</v>
      </c>
      <c r="J521" t="str">
        <f>IFERROR(VLOOKUP(Logs_reseau[[#This Row],[Cell_ID]],'[1]Registre_Maintenance_combine '!A:F,6,FALSE),"Non trouvé")</f>
        <v>Non trouvé</v>
      </c>
    </row>
    <row r="522" spans="1:10" x14ac:dyDescent="0.25">
      <c r="A522" t="str">
        <f>IFERROR(VLOOKUP(Logs_reseau[[#This Row],[Cell_ID]],'[1]Registre_Maintenance_combine '!A:B,2,FALSE),"Non trouvé")</f>
        <v>Non trouvé</v>
      </c>
      <c r="B522" t="s">
        <v>127</v>
      </c>
      <c r="C522" s="3">
        <v>45230.327777777777</v>
      </c>
      <c r="D522" s="11">
        <f>Logs_reseau[[#This Row],[Duree_Panne_Min]]/1440</f>
        <v>8.0555555555555561E-2</v>
      </c>
      <c r="E522">
        <v>116</v>
      </c>
      <c r="F522" t="s">
        <v>1</v>
      </c>
      <c r="G522" t="str">
        <f>IFERROR(VLOOKUP(Logs_reseau[[#This Row],[Cell_ID]],'[1]Registre_Maintenance_combine '!A:C,3,FALSE),"Non trouvé")</f>
        <v>Non trouvé</v>
      </c>
      <c r="H522" t="str">
        <f>IFERROR(VLOOKUP(Logs_reseau[[#This Row],[Cell_ID]],'[1]Registre_Maintenance_combine '!A:D,4,FALSE),"Non trouvé")</f>
        <v>Non trouvé</v>
      </c>
      <c r="I522" t="str">
        <f>IFERROR(VLOOKUP(Logs_reseau[[#This Row],[Cell_ID]],'[1]Registre_Maintenance_combine '!A:E,5,FALSE),"Non trouvé")</f>
        <v>Non trouvé</v>
      </c>
      <c r="J522" t="str">
        <f>IFERROR(VLOOKUP(Logs_reseau[[#This Row],[Cell_ID]],'[1]Registre_Maintenance_combine '!A:F,6,FALSE),"Non trouvé")</f>
        <v>Non trouvé</v>
      </c>
    </row>
    <row r="523" spans="1:10" x14ac:dyDescent="0.25">
      <c r="A523" t="str">
        <f>IFERROR(VLOOKUP(Logs_reseau[[#This Row],[Cell_ID]],'[1]Registre_Maintenance_combine '!A:B,2,FALSE),"Non trouvé")</f>
        <v>Non trouvé</v>
      </c>
      <c r="B523" t="s">
        <v>127</v>
      </c>
      <c r="C523" s="3">
        <v>45207.503472222219</v>
      </c>
      <c r="D523" s="11">
        <f>Logs_reseau[[#This Row],[Duree_Panne_Min]]/1440</f>
        <v>4.3055555555555555E-2</v>
      </c>
      <c r="E523">
        <v>62</v>
      </c>
      <c r="F523" t="s">
        <v>1</v>
      </c>
      <c r="G523" t="str">
        <f>IFERROR(VLOOKUP(Logs_reseau[[#This Row],[Cell_ID]],'[1]Registre_Maintenance_combine '!A:C,3,FALSE),"Non trouvé")</f>
        <v>Non trouvé</v>
      </c>
      <c r="H523" t="str">
        <f>IFERROR(VLOOKUP(Logs_reseau[[#This Row],[Cell_ID]],'[1]Registre_Maintenance_combine '!A:D,4,FALSE),"Non trouvé")</f>
        <v>Non trouvé</v>
      </c>
      <c r="I523" t="str">
        <f>IFERROR(VLOOKUP(Logs_reseau[[#This Row],[Cell_ID]],'[1]Registre_Maintenance_combine '!A:E,5,FALSE),"Non trouvé")</f>
        <v>Non trouvé</v>
      </c>
      <c r="J523" t="str">
        <f>IFERROR(VLOOKUP(Logs_reseau[[#This Row],[Cell_ID]],'[1]Registre_Maintenance_combine '!A:F,6,FALSE),"Non trouvé")</f>
        <v>Non trouvé</v>
      </c>
    </row>
    <row r="524" spans="1:10" x14ac:dyDescent="0.25">
      <c r="A524" t="str">
        <f>IFERROR(VLOOKUP(Logs_reseau[[#This Row],[Cell_ID]],'[1]Registre_Maintenance_combine '!A:B,2,FALSE),"Non trouvé")</f>
        <v>Non trouvé</v>
      </c>
      <c r="B524" t="s">
        <v>128</v>
      </c>
      <c r="C524" s="3">
        <v>45200.511111111111</v>
      </c>
      <c r="D524" s="11">
        <f>Logs_reseau[[#This Row],[Duree_Panne_Min]]/1440</f>
        <v>3.7499999999999999E-2</v>
      </c>
      <c r="E524">
        <v>54</v>
      </c>
      <c r="F524" t="s">
        <v>2</v>
      </c>
      <c r="G524" t="str">
        <f>IFERROR(VLOOKUP(Logs_reseau[[#This Row],[Cell_ID]],'[1]Registre_Maintenance_combine '!A:C,3,FALSE),"Non trouvé")</f>
        <v>Non trouvé</v>
      </c>
      <c r="H524" t="str">
        <f>IFERROR(VLOOKUP(Logs_reseau[[#This Row],[Cell_ID]],'[1]Registre_Maintenance_combine '!A:D,4,FALSE),"Non trouvé")</f>
        <v>Non trouvé</v>
      </c>
      <c r="I524" t="str">
        <f>IFERROR(VLOOKUP(Logs_reseau[[#This Row],[Cell_ID]],'[1]Registre_Maintenance_combine '!A:E,5,FALSE),"Non trouvé")</f>
        <v>Non trouvé</v>
      </c>
      <c r="J524" t="str">
        <f>IFERROR(VLOOKUP(Logs_reseau[[#This Row],[Cell_ID]],'[1]Registre_Maintenance_combine '!A:F,6,FALSE),"Non trouvé")</f>
        <v>Non trouvé</v>
      </c>
    </row>
    <row r="525" spans="1:10" x14ac:dyDescent="0.25">
      <c r="A525" t="str">
        <f>IFERROR(VLOOKUP(Logs_reseau[[#This Row],[Cell_ID]],'[1]Registre_Maintenance_combine '!A:B,2,FALSE),"Non trouvé")</f>
        <v>Non trouvé</v>
      </c>
      <c r="B525" t="s">
        <v>128</v>
      </c>
      <c r="C525" s="3">
        <v>45227.144444444442</v>
      </c>
      <c r="D525" s="11">
        <f>Logs_reseau[[#This Row],[Duree_Panne_Min]]/1440</f>
        <v>5.8333333333333334E-2</v>
      </c>
      <c r="E525">
        <v>84</v>
      </c>
      <c r="F525" t="s">
        <v>1</v>
      </c>
      <c r="G525" t="str">
        <f>IFERROR(VLOOKUP(Logs_reseau[[#This Row],[Cell_ID]],'[1]Registre_Maintenance_combine '!A:C,3,FALSE),"Non trouvé")</f>
        <v>Non trouvé</v>
      </c>
      <c r="H525" t="str">
        <f>IFERROR(VLOOKUP(Logs_reseau[[#This Row],[Cell_ID]],'[1]Registre_Maintenance_combine '!A:D,4,FALSE),"Non trouvé")</f>
        <v>Non trouvé</v>
      </c>
      <c r="I525" t="str">
        <f>IFERROR(VLOOKUP(Logs_reseau[[#This Row],[Cell_ID]],'[1]Registre_Maintenance_combine '!A:E,5,FALSE),"Non trouvé")</f>
        <v>Non trouvé</v>
      </c>
      <c r="J525" t="str">
        <f>IFERROR(VLOOKUP(Logs_reseau[[#This Row],[Cell_ID]],'[1]Registre_Maintenance_combine '!A:F,6,FALSE),"Non trouvé")</f>
        <v>Non trouvé</v>
      </c>
    </row>
    <row r="526" spans="1:10" x14ac:dyDescent="0.25">
      <c r="A526" t="str">
        <f>IFERROR(VLOOKUP(Logs_reseau[[#This Row],[Cell_ID]],'[1]Registre_Maintenance_combine '!A:B,2,FALSE),"Non trouvé")</f>
        <v>Non trouvé</v>
      </c>
      <c r="B526" t="s">
        <v>128</v>
      </c>
      <c r="C526" s="3">
        <v>45225.622916666667</v>
      </c>
      <c r="D526" s="11">
        <f>Logs_reseau[[#This Row],[Duree_Panne_Min]]/1440</f>
        <v>3.125E-2</v>
      </c>
      <c r="E526">
        <v>45</v>
      </c>
      <c r="F526" t="s">
        <v>4</v>
      </c>
      <c r="G526" t="str">
        <f>IFERROR(VLOOKUP(Logs_reseau[[#This Row],[Cell_ID]],'[1]Registre_Maintenance_combine '!A:C,3,FALSE),"Non trouvé")</f>
        <v>Non trouvé</v>
      </c>
      <c r="H526" t="str">
        <f>IFERROR(VLOOKUP(Logs_reseau[[#This Row],[Cell_ID]],'[1]Registre_Maintenance_combine '!A:D,4,FALSE),"Non trouvé")</f>
        <v>Non trouvé</v>
      </c>
      <c r="I526" t="str">
        <f>IFERROR(VLOOKUP(Logs_reseau[[#This Row],[Cell_ID]],'[1]Registre_Maintenance_combine '!A:E,5,FALSE),"Non trouvé")</f>
        <v>Non trouvé</v>
      </c>
      <c r="J526" t="str">
        <f>IFERROR(VLOOKUP(Logs_reseau[[#This Row],[Cell_ID]],'[1]Registre_Maintenance_combine '!A:F,6,FALSE),"Non trouvé")</f>
        <v>Non trouvé</v>
      </c>
    </row>
    <row r="527" spans="1:10" x14ac:dyDescent="0.25">
      <c r="A527" t="str">
        <f>IFERROR(VLOOKUP(Logs_reseau[[#This Row],[Cell_ID]],'[1]Registre_Maintenance_combine '!A:B,2,FALSE),"Non trouvé")</f>
        <v>Non trouvé</v>
      </c>
      <c r="B527" t="s">
        <v>128</v>
      </c>
      <c r="C527" s="3">
        <v>45202.220138888886</v>
      </c>
      <c r="D527" s="11">
        <f>Logs_reseau[[#This Row],[Duree_Panne_Min]]/1440</f>
        <v>6.3888888888888884E-2</v>
      </c>
      <c r="E527">
        <v>92</v>
      </c>
      <c r="F527" t="s">
        <v>1</v>
      </c>
      <c r="G527" t="str">
        <f>IFERROR(VLOOKUP(Logs_reseau[[#This Row],[Cell_ID]],'[1]Registre_Maintenance_combine '!A:C,3,FALSE),"Non trouvé")</f>
        <v>Non trouvé</v>
      </c>
      <c r="H527" t="str">
        <f>IFERROR(VLOOKUP(Logs_reseau[[#This Row],[Cell_ID]],'[1]Registre_Maintenance_combine '!A:D,4,FALSE),"Non trouvé")</f>
        <v>Non trouvé</v>
      </c>
      <c r="I527" t="str">
        <f>IFERROR(VLOOKUP(Logs_reseau[[#This Row],[Cell_ID]],'[1]Registre_Maintenance_combine '!A:E,5,FALSE),"Non trouvé")</f>
        <v>Non trouvé</v>
      </c>
      <c r="J527" t="str">
        <f>IFERROR(VLOOKUP(Logs_reseau[[#This Row],[Cell_ID]],'[1]Registre_Maintenance_combine '!A:F,6,FALSE),"Non trouvé")</f>
        <v>Non trouvé</v>
      </c>
    </row>
    <row r="528" spans="1:10" x14ac:dyDescent="0.25">
      <c r="A528" t="str">
        <f>IFERROR(VLOOKUP(Logs_reseau[[#This Row],[Cell_ID]],'[1]Registre_Maintenance_combine '!A:B,2,FALSE),"Non trouvé")</f>
        <v>Non trouvé</v>
      </c>
      <c r="B528" t="s">
        <v>128</v>
      </c>
      <c r="C528" s="3">
        <v>45217.027777777781</v>
      </c>
      <c r="D528" s="11">
        <f>Logs_reseau[[#This Row],[Duree_Panne_Min]]/1440</f>
        <v>4.2361111111111113E-2</v>
      </c>
      <c r="E528">
        <v>61</v>
      </c>
      <c r="F528" t="s">
        <v>1</v>
      </c>
      <c r="G528" t="str">
        <f>IFERROR(VLOOKUP(Logs_reseau[[#This Row],[Cell_ID]],'[1]Registre_Maintenance_combine '!A:C,3,FALSE),"Non trouvé")</f>
        <v>Non trouvé</v>
      </c>
      <c r="H528" t="str">
        <f>IFERROR(VLOOKUP(Logs_reseau[[#This Row],[Cell_ID]],'[1]Registre_Maintenance_combine '!A:D,4,FALSE),"Non trouvé")</f>
        <v>Non trouvé</v>
      </c>
      <c r="I528" t="str">
        <f>IFERROR(VLOOKUP(Logs_reseau[[#This Row],[Cell_ID]],'[1]Registre_Maintenance_combine '!A:E,5,FALSE),"Non trouvé")</f>
        <v>Non trouvé</v>
      </c>
      <c r="J528" t="str">
        <f>IFERROR(VLOOKUP(Logs_reseau[[#This Row],[Cell_ID]],'[1]Registre_Maintenance_combine '!A:F,6,FALSE),"Non trouvé")</f>
        <v>Non trouvé</v>
      </c>
    </row>
    <row r="529" spans="1:10" x14ac:dyDescent="0.25">
      <c r="A529" t="str">
        <f>IFERROR(VLOOKUP(Logs_reseau[[#This Row],[Cell_ID]],'[1]Registre_Maintenance_combine '!A:B,2,FALSE),"Non trouvé")</f>
        <v>Non trouvé</v>
      </c>
      <c r="B529" t="s">
        <v>129</v>
      </c>
      <c r="C529" s="3">
        <v>45223.990972222222</v>
      </c>
      <c r="D529" s="11">
        <f>Logs_reseau[[#This Row],[Duree_Panne_Min]]/1440</f>
        <v>7.7083333333333337E-2</v>
      </c>
      <c r="E529">
        <v>111</v>
      </c>
      <c r="F529" t="s">
        <v>2</v>
      </c>
      <c r="G529" t="str">
        <f>IFERROR(VLOOKUP(Logs_reseau[[#This Row],[Cell_ID]],'[1]Registre_Maintenance_combine '!A:C,3,FALSE),"Non trouvé")</f>
        <v>Non trouvé</v>
      </c>
      <c r="H529" t="str">
        <f>IFERROR(VLOOKUP(Logs_reseau[[#This Row],[Cell_ID]],'[1]Registre_Maintenance_combine '!A:D,4,FALSE),"Non trouvé")</f>
        <v>Non trouvé</v>
      </c>
      <c r="I529" t="str">
        <f>IFERROR(VLOOKUP(Logs_reseau[[#This Row],[Cell_ID]],'[1]Registre_Maintenance_combine '!A:E,5,FALSE),"Non trouvé")</f>
        <v>Non trouvé</v>
      </c>
      <c r="J529" t="str">
        <f>IFERROR(VLOOKUP(Logs_reseau[[#This Row],[Cell_ID]],'[1]Registre_Maintenance_combine '!A:F,6,FALSE),"Non trouvé")</f>
        <v>Non trouvé</v>
      </c>
    </row>
    <row r="530" spans="1:10" x14ac:dyDescent="0.25">
      <c r="A530" t="str">
        <f>IFERROR(VLOOKUP(Logs_reseau[[#This Row],[Cell_ID]],'[1]Registre_Maintenance_combine '!A:B,2,FALSE),"Non trouvé")</f>
        <v>Non trouvé</v>
      </c>
      <c r="B530" t="s">
        <v>129</v>
      </c>
      <c r="C530" s="3">
        <v>45212.642361111109</v>
      </c>
      <c r="D530" s="11">
        <f>Logs_reseau[[#This Row],[Duree_Panne_Min]]/1440</f>
        <v>5.2083333333333336E-2</v>
      </c>
      <c r="E530">
        <v>75</v>
      </c>
      <c r="F530" t="s">
        <v>4</v>
      </c>
      <c r="G530" t="str">
        <f>IFERROR(VLOOKUP(Logs_reseau[[#This Row],[Cell_ID]],'[1]Registre_Maintenance_combine '!A:C,3,FALSE),"Non trouvé")</f>
        <v>Non trouvé</v>
      </c>
      <c r="H530" t="str">
        <f>IFERROR(VLOOKUP(Logs_reseau[[#This Row],[Cell_ID]],'[1]Registre_Maintenance_combine '!A:D,4,FALSE),"Non trouvé")</f>
        <v>Non trouvé</v>
      </c>
      <c r="I530" t="str">
        <f>IFERROR(VLOOKUP(Logs_reseau[[#This Row],[Cell_ID]],'[1]Registre_Maintenance_combine '!A:E,5,FALSE),"Non trouvé")</f>
        <v>Non trouvé</v>
      </c>
      <c r="J530" t="str">
        <f>IFERROR(VLOOKUP(Logs_reseau[[#This Row],[Cell_ID]],'[1]Registre_Maintenance_combine '!A:F,6,FALSE),"Non trouvé")</f>
        <v>Non trouvé</v>
      </c>
    </row>
    <row r="531" spans="1:10" x14ac:dyDescent="0.25">
      <c r="A531" t="str">
        <f>IFERROR(VLOOKUP(Logs_reseau[[#This Row],[Cell_ID]],'[1]Registre_Maintenance_combine '!A:B,2,FALSE),"Non trouvé")</f>
        <v>Non trouvé</v>
      </c>
      <c r="B531" t="s">
        <v>129</v>
      </c>
      <c r="C531" s="3">
        <v>45207.404166666667</v>
      </c>
      <c r="D531" s="11">
        <f>Logs_reseau[[#This Row],[Duree_Panne_Min]]/1440</f>
        <v>4.7222222222222221E-2</v>
      </c>
      <c r="E531">
        <v>68</v>
      </c>
      <c r="F531" t="s">
        <v>2</v>
      </c>
      <c r="G531" t="str">
        <f>IFERROR(VLOOKUP(Logs_reseau[[#This Row],[Cell_ID]],'[1]Registre_Maintenance_combine '!A:C,3,FALSE),"Non trouvé")</f>
        <v>Non trouvé</v>
      </c>
      <c r="H531" t="str">
        <f>IFERROR(VLOOKUP(Logs_reseau[[#This Row],[Cell_ID]],'[1]Registre_Maintenance_combine '!A:D,4,FALSE),"Non trouvé")</f>
        <v>Non trouvé</v>
      </c>
      <c r="I531" t="str">
        <f>IFERROR(VLOOKUP(Logs_reseau[[#This Row],[Cell_ID]],'[1]Registre_Maintenance_combine '!A:E,5,FALSE),"Non trouvé")</f>
        <v>Non trouvé</v>
      </c>
      <c r="J531" t="str">
        <f>IFERROR(VLOOKUP(Logs_reseau[[#This Row],[Cell_ID]],'[1]Registre_Maintenance_combine '!A:F,6,FALSE),"Non trouvé")</f>
        <v>Non trouvé</v>
      </c>
    </row>
    <row r="532" spans="1:10" x14ac:dyDescent="0.25">
      <c r="A532" t="str">
        <f>IFERROR(VLOOKUP(Logs_reseau[[#This Row],[Cell_ID]],'[1]Registre_Maintenance_combine '!A:B,2,FALSE),"Non trouvé")</f>
        <v>Non trouvé</v>
      </c>
      <c r="B532" t="s">
        <v>129</v>
      </c>
      <c r="C532" s="3">
        <v>45203.652083333334</v>
      </c>
      <c r="D532" s="11">
        <f>Logs_reseau[[#This Row],[Duree_Panne_Min]]/1440</f>
        <v>7.3611111111111113E-2</v>
      </c>
      <c r="E532">
        <v>106</v>
      </c>
      <c r="F532" t="s">
        <v>1</v>
      </c>
      <c r="G532" t="str">
        <f>IFERROR(VLOOKUP(Logs_reseau[[#This Row],[Cell_ID]],'[1]Registre_Maintenance_combine '!A:C,3,FALSE),"Non trouvé")</f>
        <v>Non trouvé</v>
      </c>
      <c r="H532" t="str">
        <f>IFERROR(VLOOKUP(Logs_reseau[[#This Row],[Cell_ID]],'[1]Registre_Maintenance_combine '!A:D,4,FALSE),"Non trouvé")</f>
        <v>Non trouvé</v>
      </c>
      <c r="I532" t="str">
        <f>IFERROR(VLOOKUP(Logs_reseau[[#This Row],[Cell_ID]],'[1]Registre_Maintenance_combine '!A:E,5,FALSE),"Non trouvé")</f>
        <v>Non trouvé</v>
      </c>
      <c r="J532" t="str">
        <f>IFERROR(VLOOKUP(Logs_reseau[[#This Row],[Cell_ID]],'[1]Registre_Maintenance_combine '!A:F,6,FALSE),"Non trouvé")</f>
        <v>Non trouvé</v>
      </c>
    </row>
    <row r="533" spans="1:10" x14ac:dyDescent="0.25">
      <c r="A533" t="str">
        <f>IFERROR(VLOOKUP(Logs_reseau[[#This Row],[Cell_ID]],'[1]Registre_Maintenance_combine '!A:B,2,FALSE),"Non trouvé")</f>
        <v>Non trouvé</v>
      </c>
      <c r="B533" t="s">
        <v>130</v>
      </c>
      <c r="C533" s="3">
        <v>45218.291666666664</v>
      </c>
      <c r="D533" s="11">
        <f>Logs_reseau[[#This Row],[Duree_Panne_Min]]/1440</f>
        <v>3.5416666666666666E-2</v>
      </c>
      <c r="E533">
        <v>51</v>
      </c>
      <c r="F533" t="s">
        <v>2</v>
      </c>
      <c r="G533" t="str">
        <f>IFERROR(VLOOKUP(Logs_reseau[[#This Row],[Cell_ID]],'[1]Registre_Maintenance_combine '!A:C,3,FALSE),"Non trouvé")</f>
        <v>Non trouvé</v>
      </c>
      <c r="H533" t="str">
        <f>IFERROR(VLOOKUP(Logs_reseau[[#This Row],[Cell_ID]],'[1]Registre_Maintenance_combine '!A:D,4,FALSE),"Non trouvé")</f>
        <v>Non trouvé</v>
      </c>
      <c r="I533" t="str">
        <f>IFERROR(VLOOKUP(Logs_reseau[[#This Row],[Cell_ID]],'[1]Registre_Maintenance_combine '!A:E,5,FALSE),"Non trouvé")</f>
        <v>Non trouvé</v>
      </c>
      <c r="J533" t="str">
        <f>IFERROR(VLOOKUP(Logs_reseau[[#This Row],[Cell_ID]],'[1]Registre_Maintenance_combine '!A:F,6,FALSE),"Non trouvé")</f>
        <v>Non trouvé</v>
      </c>
    </row>
    <row r="534" spans="1:10" x14ac:dyDescent="0.25">
      <c r="A534" t="str">
        <f>IFERROR(VLOOKUP(Logs_reseau[[#This Row],[Cell_ID]],'[1]Registre_Maintenance_combine '!A:B,2,FALSE),"Non trouvé")</f>
        <v>Non trouvé</v>
      </c>
      <c r="B534" t="s">
        <v>130</v>
      </c>
      <c r="C534" s="3">
        <v>45219.989583333336</v>
      </c>
      <c r="D534" s="11">
        <f>Logs_reseau[[#This Row],[Duree_Panne_Min]]/1440</f>
        <v>3.3333333333333333E-2</v>
      </c>
      <c r="E534">
        <v>48</v>
      </c>
      <c r="F534" t="s">
        <v>1</v>
      </c>
      <c r="G534" t="str">
        <f>IFERROR(VLOOKUP(Logs_reseau[[#This Row],[Cell_ID]],'[1]Registre_Maintenance_combine '!A:C,3,FALSE),"Non trouvé")</f>
        <v>Non trouvé</v>
      </c>
      <c r="H534" t="str">
        <f>IFERROR(VLOOKUP(Logs_reseau[[#This Row],[Cell_ID]],'[1]Registre_Maintenance_combine '!A:D,4,FALSE),"Non trouvé")</f>
        <v>Non trouvé</v>
      </c>
      <c r="I534" t="str">
        <f>IFERROR(VLOOKUP(Logs_reseau[[#This Row],[Cell_ID]],'[1]Registre_Maintenance_combine '!A:E,5,FALSE),"Non trouvé")</f>
        <v>Non trouvé</v>
      </c>
      <c r="J534" t="str">
        <f>IFERROR(VLOOKUP(Logs_reseau[[#This Row],[Cell_ID]],'[1]Registre_Maintenance_combine '!A:F,6,FALSE),"Non trouvé")</f>
        <v>Non trouvé</v>
      </c>
    </row>
    <row r="535" spans="1:10" x14ac:dyDescent="0.25">
      <c r="A535" t="str">
        <f>IFERROR(VLOOKUP(Logs_reseau[[#This Row],[Cell_ID]],'[1]Registre_Maintenance_combine '!A:B,2,FALSE),"Non trouvé")</f>
        <v>Non trouvé</v>
      </c>
      <c r="B535" t="s">
        <v>130</v>
      </c>
      <c r="C535" s="3">
        <v>45214.113194444442</v>
      </c>
      <c r="D535" s="11">
        <f>Logs_reseau[[#This Row],[Duree_Panne_Min]]/1440</f>
        <v>2.8472222222222222E-2</v>
      </c>
      <c r="E535">
        <v>41</v>
      </c>
      <c r="F535" t="s">
        <v>2</v>
      </c>
      <c r="G535" t="str">
        <f>IFERROR(VLOOKUP(Logs_reseau[[#This Row],[Cell_ID]],'[1]Registre_Maintenance_combine '!A:C,3,FALSE),"Non trouvé")</f>
        <v>Non trouvé</v>
      </c>
      <c r="H535" t="str">
        <f>IFERROR(VLOOKUP(Logs_reseau[[#This Row],[Cell_ID]],'[1]Registre_Maintenance_combine '!A:D,4,FALSE),"Non trouvé")</f>
        <v>Non trouvé</v>
      </c>
      <c r="I535" t="str">
        <f>IFERROR(VLOOKUP(Logs_reseau[[#This Row],[Cell_ID]],'[1]Registre_Maintenance_combine '!A:E,5,FALSE),"Non trouvé")</f>
        <v>Non trouvé</v>
      </c>
      <c r="J535" t="str">
        <f>IFERROR(VLOOKUP(Logs_reseau[[#This Row],[Cell_ID]],'[1]Registre_Maintenance_combine '!A:F,6,FALSE),"Non trouvé")</f>
        <v>Non trouvé</v>
      </c>
    </row>
    <row r="536" spans="1:10" x14ac:dyDescent="0.25">
      <c r="A536" t="str">
        <f>IFERROR(VLOOKUP(Logs_reseau[[#This Row],[Cell_ID]],'[1]Registre_Maintenance_combine '!A:B,2,FALSE),"Non trouvé")</f>
        <v>Non trouvé</v>
      </c>
      <c r="B536" t="s">
        <v>130</v>
      </c>
      <c r="C536" s="3">
        <v>45209.462500000001</v>
      </c>
      <c r="D536" s="11">
        <f>Logs_reseau[[#This Row],[Duree_Panne_Min]]/1440</f>
        <v>6.1111111111111109E-2</v>
      </c>
      <c r="E536">
        <v>88</v>
      </c>
      <c r="F536" t="s">
        <v>4</v>
      </c>
      <c r="G536" t="str">
        <f>IFERROR(VLOOKUP(Logs_reseau[[#This Row],[Cell_ID]],'[1]Registre_Maintenance_combine '!A:C,3,FALSE),"Non trouvé")</f>
        <v>Non trouvé</v>
      </c>
      <c r="H536" t="str">
        <f>IFERROR(VLOOKUP(Logs_reseau[[#This Row],[Cell_ID]],'[1]Registre_Maintenance_combine '!A:D,4,FALSE),"Non trouvé")</f>
        <v>Non trouvé</v>
      </c>
      <c r="I536" t="str">
        <f>IFERROR(VLOOKUP(Logs_reseau[[#This Row],[Cell_ID]],'[1]Registre_Maintenance_combine '!A:E,5,FALSE),"Non trouvé")</f>
        <v>Non trouvé</v>
      </c>
      <c r="J536" t="str">
        <f>IFERROR(VLOOKUP(Logs_reseau[[#This Row],[Cell_ID]],'[1]Registre_Maintenance_combine '!A:F,6,FALSE),"Non trouvé")</f>
        <v>Non trouvé</v>
      </c>
    </row>
    <row r="537" spans="1:10" x14ac:dyDescent="0.25">
      <c r="A537" t="str">
        <f>IFERROR(VLOOKUP(Logs_reseau[[#This Row],[Cell_ID]],'[1]Registre_Maintenance_combine '!A:B,2,FALSE),"Non trouvé")</f>
        <v>Non trouvé</v>
      </c>
      <c r="B537" t="s">
        <v>131</v>
      </c>
      <c r="C537" s="3">
        <v>45212.965277777781</v>
      </c>
      <c r="D537" s="11">
        <f>Logs_reseau[[#This Row],[Duree_Panne_Min]]/1440</f>
        <v>4.7222222222222221E-2</v>
      </c>
      <c r="E537">
        <v>68</v>
      </c>
      <c r="F537" t="s">
        <v>2</v>
      </c>
      <c r="G537" t="str">
        <f>IFERROR(VLOOKUP(Logs_reseau[[#This Row],[Cell_ID]],'[1]Registre_Maintenance_combine '!A:C,3,FALSE),"Non trouvé")</f>
        <v>Non trouvé</v>
      </c>
      <c r="H537" t="str">
        <f>IFERROR(VLOOKUP(Logs_reseau[[#This Row],[Cell_ID]],'[1]Registre_Maintenance_combine '!A:D,4,FALSE),"Non trouvé")</f>
        <v>Non trouvé</v>
      </c>
      <c r="I537" t="str">
        <f>IFERROR(VLOOKUP(Logs_reseau[[#This Row],[Cell_ID]],'[1]Registre_Maintenance_combine '!A:E,5,FALSE),"Non trouvé")</f>
        <v>Non trouvé</v>
      </c>
      <c r="J537" t="str">
        <f>IFERROR(VLOOKUP(Logs_reseau[[#This Row],[Cell_ID]],'[1]Registre_Maintenance_combine '!A:F,6,FALSE),"Non trouvé")</f>
        <v>Non trouvé</v>
      </c>
    </row>
    <row r="538" spans="1:10" x14ac:dyDescent="0.25">
      <c r="A538" t="str">
        <f>IFERROR(VLOOKUP(Logs_reseau[[#This Row],[Cell_ID]],'[1]Registre_Maintenance_combine '!A:B,2,FALSE),"Non trouvé")</f>
        <v>Non trouvé</v>
      </c>
      <c r="B538" t="s">
        <v>131</v>
      </c>
      <c r="C538" s="3">
        <v>45228.791666666664</v>
      </c>
      <c r="D538" s="11">
        <f>Logs_reseau[[#This Row],[Duree_Panne_Min]]/1440</f>
        <v>2.8472222222222222E-2</v>
      </c>
      <c r="E538">
        <v>41</v>
      </c>
      <c r="F538" t="s">
        <v>4</v>
      </c>
      <c r="G538" t="str">
        <f>IFERROR(VLOOKUP(Logs_reseau[[#This Row],[Cell_ID]],'[1]Registre_Maintenance_combine '!A:C,3,FALSE),"Non trouvé")</f>
        <v>Non trouvé</v>
      </c>
      <c r="H538" t="str">
        <f>IFERROR(VLOOKUP(Logs_reseau[[#This Row],[Cell_ID]],'[1]Registre_Maintenance_combine '!A:D,4,FALSE),"Non trouvé")</f>
        <v>Non trouvé</v>
      </c>
      <c r="I538" t="str">
        <f>IFERROR(VLOOKUP(Logs_reseau[[#This Row],[Cell_ID]],'[1]Registre_Maintenance_combine '!A:E,5,FALSE),"Non trouvé")</f>
        <v>Non trouvé</v>
      </c>
      <c r="J538" t="str">
        <f>IFERROR(VLOOKUP(Logs_reseau[[#This Row],[Cell_ID]],'[1]Registre_Maintenance_combine '!A:F,6,FALSE),"Non trouvé")</f>
        <v>Non trouvé</v>
      </c>
    </row>
    <row r="539" spans="1:10" x14ac:dyDescent="0.25">
      <c r="A539" t="str">
        <f>IFERROR(VLOOKUP(Logs_reseau[[#This Row],[Cell_ID]],'[1]Registre_Maintenance_combine '!A:B,2,FALSE),"Non trouvé")</f>
        <v>Non trouvé</v>
      </c>
      <c r="B539" t="s">
        <v>131</v>
      </c>
      <c r="C539" s="3">
        <v>45203.95416666667</v>
      </c>
      <c r="D539" s="11">
        <f>Logs_reseau[[#This Row],[Duree_Panne_Min]]/1440</f>
        <v>7.0833333333333331E-2</v>
      </c>
      <c r="E539">
        <v>102</v>
      </c>
      <c r="F539" t="s">
        <v>1</v>
      </c>
      <c r="G539" t="str">
        <f>IFERROR(VLOOKUP(Logs_reseau[[#This Row],[Cell_ID]],'[1]Registre_Maintenance_combine '!A:C,3,FALSE),"Non trouvé")</f>
        <v>Non trouvé</v>
      </c>
      <c r="H539" t="str">
        <f>IFERROR(VLOOKUP(Logs_reseau[[#This Row],[Cell_ID]],'[1]Registre_Maintenance_combine '!A:D,4,FALSE),"Non trouvé")</f>
        <v>Non trouvé</v>
      </c>
      <c r="I539" t="str">
        <f>IFERROR(VLOOKUP(Logs_reseau[[#This Row],[Cell_ID]],'[1]Registre_Maintenance_combine '!A:E,5,FALSE),"Non trouvé")</f>
        <v>Non trouvé</v>
      </c>
      <c r="J539" t="str">
        <f>IFERROR(VLOOKUP(Logs_reseau[[#This Row],[Cell_ID]],'[1]Registre_Maintenance_combine '!A:F,6,FALSE),"Non trouvé")</f>
        <v>Non trouvé</v>
      </c>
    </row>
    <row r="540" spans="1:10" x14ac:dyDescent="0.25">
      <c r="A540" t="str">
        <f>IFERROR(VLOOKUP(Logs_reseau[[#This Row],[Cell_ID]],'[1]Registre_Maintenance_combine '!A:B,2,FALSE),"Non trouvé")</f>
        <v>Sud-Ubangi</v>
      </c>
      <c r="B540" t="s">
        <v>132</v>
      </c>
      <c r="C540" s="3">
        <v>45210.600694444445</v>
      </c>
      <c r="D540" s="11">
        <f>Logs_reseau[[#This Row],[Duree_Panne_Min]]/1440</f>
        <v>3.2638888888888891E-2</v>
      </c>
      <c r="E540">
        <v>47</v>
      </c>
      <c r="F540" t="s">
        <v>4</v>
      </c>
      <c r="G540">
        <f>IFERROR(VLOOKUP(Logs_reseau[[#This Row],[Cell_ID]],'[1]Registre_Maintenance_combine '!A:C,3,FALSE),"Non trouvé")</f>
        <v>-9.3652239999999995</v>
      </c>
      <c r="H540">
        <f>IFERROR(VLOOKUP(Logs_reseau[[#This Row],[Cell_ID]],'[1]Registre_Maintenance_combine '!A:D,4,FALSE),"Non trouvé")</f>
        <v>22.593423999999999</v>
      </c>
      <c r="I540" t="str">
        <f>IFERROR(VLOOKUP(Logs_reseau[[#This Row],[Cell_ID]],'[1]Registre_Maintenance_combine '!A:E,5,FALSE),"Non trouvé")</f>
        <v>5G</v>
      </c>
      <c r="J540" t="str">
        <f>IFERROR(VLOOKUP(Logs_reseau[[#This Row],[Cell_ID]],'[1]Registre_Maintenance_combine '!A:F,6,FALSE),"Non trouvé")</f>
        <v>Nokia</v>
      </c>
    </row>
    <row r="541" spans="1:10" x14ac:dyDescent="0.25">
      <c r="A541" t="str">
        <f>IFERROR(VLOOKUP(Logs_reseau[[#This Row],[Cell_ID]],'[1]Registre_Maintenance_combine '!A:B,2,FALSE),"Non trouvé")</f>
        <v>Sud-Ubangi</v>
      </c>
      <c r="B541" t="s">
        <v>132</v>
      </c>
      <c r="C541" s="3">
        <v>45220.893750000003</v>
      </c>
      <c r="D541" s="11">
        <f>Logs_reseau[[#This Row],[Duree_Panne_Min]]/1440</f>
        <v>6.3888888888888884E-2</v>
      </c>
      <c r="E541">
        <v>92</v>
      </c>
      <c r="F541" t="s">
        <v>2</v>
      </c>
      <c r="G541">
        <f>IFERROR(VLOOKUP(Logs_reseau[[#This Row],[Cell_ID]],'[1]Registre_Maintenance_combine '!A:C,3,FALSE),"Non trouvé")</f>
        <v>-9.3652239999999995</v>
      </c>
      <c r="H541">
        <f>IFERROR(VLOOKUP(Logs_reseau[[#This Row],[Cell_ID]],'[1]Registre_Maintenance_combine '!A:D,4,FALSE),"Non trouvé")</f>
        <v>22.593423999999999</v>
      </c>
      <c r="I541" t="str">
        <f>IFERROR(VLOOKUP(Logs_reseau[[#This Row],[Cell_ID]],'[1]Registre_Maintenance_combine '!A:E,5,FALSE),"Non trouvé")</f>
        <v>5G</v>
      </c>
      <c r="J541" t="str">
        <f>IFERROR(VLOOKUP(Logs_reseau[[#This Row],[Cell_ID]],'[1]Registre_Maintenance_combine '!A:F,6,FALSE),"Non trouvé")</f>
        <v>Nokia</v>
      </c>
    </row>
    <row r="542" spans="1:10" x14ac:dyDescent="0.25">
      <c r="A542" t="str">
        <f>IFERROR(VLOOKUP(Logs_reseau[[#This Row],[Cell_ID]],'[1]Registre_Maintenance_combine '!A:B,2,FALSE),"Non trouvé")</f>
        <v>Sud-Ubangi</v>
      </c>
      <c r="B542" t="s">
        <v>132</v>
      </c>
      <c r="C542" s="3">
        <v>45222.179166666669</v>
      </c>
      <c r="D542" s="11">
        <f>Logs_reseau[[#This Row],[Duree_Panne_Min]]/1440</f>
        <v>6.3888888888888884E-2</v>
      </c>
      <c r="E542">
        <v>92</v>
      </c>
      <c r="F542" t="s">
        <v>1</v>
      </c>
      <c r="G542">
        <f>IFERROR(VLOOKUP(Logs_reseau[[#This Row],[Cell_ID]],'[1]Registre_Maintenance_combine '!A:C,3,FALSE),"Non trouvé")</f>
        <v>-9.3652239999999995</v>
      </c>
      <c r="H542">
        <f>IFERROR(VLOOKUP(Logs_reseau[[#This Row],[Cell_ID]],'[1]Registre_Maintenance_combine '!A:D,4,FALSE),"Non trouvé")</f>
        <v>22.593423999999999</v>
      </c>
      <c r="I542" t="str">
        <f>IFERROR(VLOOKUP(Logs_reseau[[#This Row],[Cell_ID]],'[1]Registre_Maintenance_combine '!A:E,5,FALSE),"Non trouvé")</f>
        <v>5G</v>
      </c>
      <c r="J542" t="str">
        <f>IFERROR(VLOOKUP(Logs_reseau[[#This Row],[Cell_ID]],'[1]Registre_Maintenance_combine '!A:F,6,FALSE),"Non trouvé")</f>
        <v>Nokia</v>
      </c>
    </row>
    <row r="543" spans="1:10" x14ac:dyDescent="0.25">
      <c r="A543" t="str">
        <f>IFERROR(VLOOKUP(Logs_reseau[[#This Row],[Cell_ID]],'[1]Registre_Maintenance_combine '!A:B,2,FALSE),"Non trouvé")</f>
        <v>Kwilu</v>
      </c>
      <c r="B543" t="s">
        <v>133</v>
      </c>
      <c r="C543" s="3">
        <v>45229.738194444442</v>
      </c>
      <c r="D543" s="11">
        <f>Logs_reseau[[#This Row],[Duree_Panne_Min]]/1440</f>
        <v>8.1250000000000003E-2</v>
      </c>
      <c r="E543">
        <v>117</v>
      </c>
      <c r="F543" t="s">
        <v>4</v>
      </c>
      <c r="G543">
        <f>IFERROR(VLOOKUP(Logs_reseau[[#This Row],[Cell_ID]],'[1]Registre_Maintenance_combine '!A:C,3,FALSE),"Non trouvé")</f>
        <v>1.2691650000000001</v>
      </c>
      <c r="H543">
        <f>IFERROR(VLOOKUP(Logs_reseau[[#This Row],[Cell_ID]],'[1]Registre_Maintenance_combine '!A:D,4,FALSE),"Non trouvé")</f>
        <v>18.789956</v>
      </c>
      <c r="I543" t="str">
        <f>IFERROR(VLOOKUP(Logs_reseau[[#This Row],[Cell_ID]],'[1]Registre_Maintenance_combine '!A:E,5,FALSE),"Non trouvé")</f>
        <v>3G</v>
      </c>
      <c r="J543" t="str">
        <f>IFERROR(VLOOKUP(Logs_reseau[[#This Row],[Cell_ID]],'[1]Registre_Maintenance_combine '!A:F,6,FALSE),"Non trouvé")</f>
        <v>Nokia</v>
      </c>
    </row>
    <row r="544" spans="1:10" x14ac:dyDescent="0.25">
      <c r="A544" t="str">
        <f>IFERROR(VLOOKUP(Logs_reseau[[#This Row],[Cell_ID]],'[1]Registre_Maintenance_combine '!A:B,2,FALSE),"Non trouvé")</f>
        <v>Kwilu</v>
      </c>
      <c r="B544" t="s">
        <v>133</v>
      </c>
      <c r="C544" s="3">
        <v>45218.779166666667</v>
      </c>
      <c r="D544" s="11">
        <f>Logs_reseau[[#This Row],[Duree_Panne_Min]]/1440</f>
        <v>3.6111111111111108E-2</v>
      </c>
      <c r="E544">
        <v>52</v>
      </c>
      <c r="F544" t="s">
        <v>1</v>
      </c>
      <c r="G544">
        <f>IFERROR(VLOOKUP(Logs_reseau[[#This Row],[Cell_ID]],'[1]Registre_Maintenance_combine '!A:C,3,FALSE),"Non trouvé")</f>
        <v>1.2691650000000001</v>
      </c>
      <c r="H544">
        <f>IFERROR(VLOOKUP(Logs_reseau[[#This Row],[Cell_ID]],'[1]Registre_Maintenance_combine '!A:D,4,FALSE),"Non trouvé")</f>
        <v>18.789956</v>
      </c>
      <c r="I544" t="str">
        <f>IFERROR(VLOOKUP(Logs_reseau[[#This Row],[Cell_ID]],'[1]Registre_Maintenance_combine '!A:E,5,FALSE),"Non trouvé")</f>
        <v>3G</v>
      </c>
      <c r="J544" t="str">
        <f>IFERROR(VLOOKUP(Logs_reseau[[#This Row],[Cell_ID]],'[1]Registre_Maintenance_combine '!A:F,6,FALSE),"Non trouvé")</f>
        <v>Nokia</v>
      </c>
    </row>
    <row r="545" spans="1:10" x14ac:dyDescent="0.25">
      <c r="A545" t="str">
        <f>IFERROR(VLOOKUP(Logs_reseau[[#This Row],[Cell_ID]],'[1]Registre_Maintenance_combine '!A:B,2,FALSE),"Non trouvé")</f>
        <v>Non trouvé</v>
      </c>
      <c r="B545" t="s">
        <v>134</v>
      </c>
      <c r="C545" s="3">
        <v>45210.555555555555</v>
      </c>
      <c r="D545" s="11">
        <f>Logs_reseau[[#This Row],[Duree_Panne_Min]]/1440</f>
        <v>4.5138888888888888E-2</v>
      </c>
      <c r="E545">
        <v>65</v>
      </c>
      <c r="F545" t="s">
        <v>4</v>
      </c>
      <c r="G545" t="str">
        <f>IFERROR(VLOOKUP(Logs_reseau[[#This Row],[Cell_ID]],'[1]Registre_Maintenance_combine '!A:C,3,FALSE),"Non trouvé")</f>
        <v>Non trouvé</v>
      </c>
      <c r="H545" t="str">
        <f>IFERROR(VLOOKUP(Logs_reseau[[#This Row],[Cell_ID]],'[1]Registre_Maintenance_combine '!A:D,4,FALSE),"Non trouvé")</f>
        <v>Non trouvé</v>
      </c>
      <c r="I545" t="str">
        <f>IFERROR(VLOOKUP(Logs_reseau[[#This Row],[Cell_ID]],'[1]Registre_Maintenance_combine '!A:E,5,FALSE),"Non trouvé")</f>
        <v>Non trouvé</v>
      </c>
      <c r="J545" t="str">
        <f>IFERROR(VLOOKUP(Logs_reseau[[#This Row],[Cell_ID]],'[1]Registre_Maintenance_combine '!A:F,6,FALSE),"Non trouvé")</f>
        <v>Non trouvé</v>
      </c>
    </row>
    <row r="546" spans="1:10" x14ac:dyDescent="0.25">
      <c r="A546" t="str">
        <f>IFERROR(VLOOKUP(Logs_reseau[[#This Row],[Cell_ID]],'[1]Registre_Maintenance_combine '!A:B,2,FALSE),"Non trouvé")</f>
        <v>Non trouvé</v>
      </c>
      <c r="B546" t="s">
        <v>134</v>
      </c>
      <c r="C546" s="3">
        <v>45205.183333333334</v>
      </c>
      <c r="D546" s="11">
        <f>Logs_reseau[[#This Row],[Duree_Panne_Min]]/1440</f>
        <v>2.8472222222222222E-2</v>
      </c>
      <c r="E546">
        <v>41</v>
      </c>
      <c r="F546" t="s">
        <v>2</v>
      </c>
      <c r="G546" t="str">
        <f>IFERROR(VLOOKUP(Logs_reseau[[#This Row],[Cell_ID]],'[1]Registre_Maintenance_combine '!A:C,3,FALSE),"Non trouvé")</f>
        <v>Non trouvé</v>
      </c>
      <c r="H546" t="str">
        <f>IFERROR(VLOOKUP(Logs_reseau[[#This Row],[Cell_ID]],'[1]Registre_Maintenance_combine '!A:D,4,FALSE),"Non trouvé")</f>
        <v>Non trouvé</v>
      </c>
      <c r="I546" t="str">
        <f>IFERROR(VLOOKUP(Logs_reseau[[#This Row],[Cell_ID]],'[1]Registre_Maintenance_combine '!A:E,5,FALSE),"Non trouvé")</f>
        <v>Non trouvé</v>
      </c>
      <c r="J546" t="str">
        <f>IFERROR(VLOOKUP(Logs_reseau[[#This Row],[Cell_ID]],'[1]Registre_Maintenance_combine '!A:F,6,FALSE),"Non trouvé")</f>
        <v>Non trouvé</v>
      </c>
    </row>
    <row r="547" spans="1:10" x14ac:dyDescent="0.25">
      <c r="A547" t="str">
        <f>IFERROR(VLOOKUP(Logs_reseau[[#This Row],[Cell_ID]],'[1]Registre_Maintenance_combine '!A:B,2,FALSE),"Non trouvé")</f>
        <v>Kwango</v>
      </c>
      <c r="B547" t="s">
        <v>135</v>
      </c>
      <c r="C547" s="3">
        <v>45220.837500000001</v>
      </c>
      <c r="D547" s="11">
        <f>Logs_reseau[[#This Row],[Duree_Panne_Min]]/1440</f>
        <v>1.5277777777777777E-2</v>
      </c>
      <c r="E547">
        <v>22</v>
      </c>
      <c r="F547" t="s">
        <v>4</v>
      </c>
      <c r="G547">
        <f>IFERROR(VLOOKUP(Logs_reseau[[#This Row],[Cell_ID]],'[1]Registre_Maintenance_combine '!A:C,3,FALSE),"Non trouvé")</f>
        <v>-10.963041</v>
      </c>
      <c r="H547">
        <f>IFERROR(VLOOKUP(Logs_reseau[[#This Row],[Cell_ID]],'[1]Registre_Maintenance_combine '!A:D,4,FALSE),"Non trouvé")</f>
        <v>12.269857</v>
      </c>
      <c r="I547" t="str">
        <f>IFERROR(VLOOKUP(Logs_reseau[[#This Row],[Cell_ID]],'[1]Registre_Maintenance_combine '!A:E,5,FALSE),"Non trouvé")</f>
        <v>4G</v>
      </c>
      <c r="J547" t="str">
        <f>IFERROR(VLOOKUP(Logs_reseau[[#This Row],[Cell_ID]],'[1]Registre_Maintenance_combine '!A:F,6,FALSE),"Non trouvé")</f>
        <v>Huawei</v>
      </c>
    </row>
    <row r="548" spans="1:10" x14ac:dyDescent="0.25">
      <c r="A548" t="str">
        <f>IFERROR(VLOOKUP(Logs_reseau[[#This Row],[Cell_ID]],'[1]Registre_Maintenance_combine '!A:B,2,FALSE),"Non trouvé")</f>
        <v>Kwango</v>
      </c>
      <c r="B548" t="s">
        <v>135</v>
      </c>
      <c r="C548" s="3">
        <v>45200.115972222222</v>
      </c>
      <c r="D548" s="11">
        <f>Logs_reseau[[#This Row],[Duree_Panne_Min]]/1440</f>
        <v>6.2500000000000003E-3</v>
      </c>
      <c r="E548">
        <v>9</v>
      </c>
      <c r="F548" t="s">
        <v>1</v>
      </c>
      <c r="G548">
        <f>IFERROR(VLOOKUP(Logs_reseau[[#This Row],[Cell_ID]],'[1]Registre_Maintenance_combine '!A:C,3,FALSE),"Non trouvé")</f>
        <v>-10.963041</v>
      </c>
      <c r="H548">
        <f>IFERROR(VLOOKUP(Logs_reseau[[#This Row],[Cell_ID]],'[1]Registre_Maintenance_combine '!A:D,4,FALSE),"Non trouvé")</f>
        <v>12.269857</v>
      </c>
      <c r="I548" t="str">
        <f>IFERROR(VLOOKUP(Logs_reseau[[#This Row],[Cell_ID]],'[1]Registre_Maintenance_combine '!A:E,5,FALSE),"Non trouvé")</f>
        <v>4G</v>
      </c>
      <c r="J548" t="str">
        <f>IFERROR(VLOOKUP(Logs_reseau[[#This Row],[Cell_ID]],'[1]Registre_Maintenance_combine '!A:F,6,FALSE),"Non trouvé")</f>
        <v>Huawei</v>
      </c>
    </row>
    <row r="549" spans="1:10" x14ac:dyDescent="0.25">
      <c r="A549" t="str">
        <f>IFERROR(VLOOKUP(Logs_reseau[[#This Row],[Cell_ID]],'[1]Registre_Maintenance_combine '!A:B,2,FALSE),"Non trouvé")</f>
        <v>Non trouvé</v>
      </c>
      <c r="B549" t="s">
        <v>136</v>
      </c>
      <c r="C549" s="3">
        <v>45230.067361111112</v>
      </c>
      <c r="D549" s="11">
        <f>Logs_reseau[[#This Row],[Duree_Panne_Min]]/1440</f>
        <v>6.5972222222222224E-2</v>
      </c>
      <c r="E549">
        <v>95</v>
      </c>
      <c r="F549" t="s">
        <v>4</v>
      </c>
      <c r="G549" t="str">
        <f>IFERROR(VLOOKUP(Logs_reseau[[#This Row],[Cell_ID]],'[1]Registre_Maintenance_combine '!A:C,3,FALSE),"Non trouvé")</f>
        <v>Non trouvé</v>
      </c>
      <c r="H549" t="str">
        <f>IFERROR(VLOOKUP(Logs_reseau[[#This Row],[Cell_ID]],'[1]Registre_Maintenance_combine '!A:D,4,FALSE),"Non trouvé")</f>
        <v>Non trouvé</v>
      </c>
      <c r="I549" t="str">
        <f>IFERROR(VLOOKUP(Logs_reseau[[#This Row],[Cell_ID]],'[1]Registre_Maintenance_combine '!A:E,5,FALSE),"Non trouvé")</f>
        <v>Non trouvé</v>
      </c>
      <c r="J549" t="str">
        <f>IFERROR(VLOOKUP(Logs_reseau[[#This Row],[Cell_ID]],'[1]Registre_Maintenance_combine '!A:F,6,FALSE),"Non trouvé")</f>
        <v>Non trouvé</v>
      </c>
    </row>
    <row r="550" spans="1:10" x14ac:dyDescent="0.25">
      <c r="A550" t="str">
        <f>IFERROR(VLOOKUP(Logs_reseau[[#This Row],[Cell_ID]],'[1]Registre_Maintenance_combine '!A:B,2,FALSE),"Non trouvé")</f>
        <v>Non trouvé</v>
      </c>
      <c r="B550" t="s">
        <v>136</v>
      </c>
      <c r="C550" s="3">
        <v>45222.197916666664</v>
      </c>
      <c r="D550" s="11">
        <f>Logs_reseau[[#This Row],[Duree_Panne_Min]]/1440</f>
        <v>7.9861111111111105E-2</v>
      </c>
      <c r="E550">
        <v>115</v>
      </c>
      <c r="F550" t="s">
        <v>2</v>
      </c>
      <c r="G550" t="str">
        <f>IFERROR(VLOOKUP(Logs_reseau[[#This Row],[Cell_ID]],'[1]Registre_Maintenance_combine '!A:C,3,FALSE),"Non trouvé")</f>
        <v>Non trouvé</v>
      </c>
      <c r="H550" t="str">
        <f>IFERROR(VLOOKUP(Logs_reseau[[#This Row],[Cell_ID]],'[1]Registre_Maintenance_combine '!A:D,4,FALSE),"Non trouvé")</f>
        <v>Non trouvé</v>
      </c>
      <c r="I550" t="str">
        <f>IFERROR(VLOOKUP(Logs_reseau[[#This Row],[Cell_ID]],'[1]Registre_Maintenance_combine '!A:E,5,FALSE),"Non trouvé")</f>
        <v>Non trouvé</v>
      </c>
      <c r="J550" t="str">
        <f>IFERROR(VLOOKUP(Logs_reseau[[#This Row],[Cell_ID]],'[1]Registre_Maintenance_combine '!A:F,6,FALSE),"Non trouvé")</f>
        <v>Non trouvé</v>
      </c>
    </row>
    <row r="551" spans="1:10" x14ac:dyDescent="0.25">
      <c r="A551" t="str">
        <f>IFERROR(VLOOKUP(Logs_reseau[[#This Row],[Cell_ID]],'[1]Registre_Maintenance_combine '!A:B,2,FALSE),"Non trouvé")</f>
        <v>Non trouvé</v>
      </c>
      <c r="B551" t="s">
        <v>136</v>
      </c>
      <c r="C551" s="3">
        <v>45226.84375</v>
      </c>
      <c r="D551" s="11">
        <f>Logs_reseau[[#This Row],[Duree_Panne_Min]]/1440</f>
        <v>6.805555555555555E-2</v>
      </c>
      <c r="E551">
        <v>98</v>
      </c>
      <c r="F551" t="s">
        <v>1</v>
      </c>
      <c r="G551" t="str">
        <f>IFERROR(VLOOKUP(Logs_reseau[[#This Row],[Cell_ID]],'[1]Registre_Maintenance_combine '!A:C,3,FALSE),"Non trouvé")</f>
        <v>Non trouvé</v>
      </c>
      <c r="H551" t="str">
        <f>IFERROR(VLOOKUP(Logs_reseau[[#This Row],[Cell_ID]],'[1]Registre_Maintenance_combine '!A:D,4,FALSE),"Non trouvé")</f>
        <v>Non trouvé</v>
      </c>
      <c r="I551" t="str">
        <f>IFERROR(VLOOKUP(Logs_reseau[[#This Row],[Cell_ID]],'[1]Registre_Maintenance_combine '!A:E,5,FALSE),"Non trouvé")</f>
        <v>Non trouvé</v>
      </c>
      <c r="J551" t="str">
        <f>IFERROR(VLOOKUP(Logs_reseau[[#This Row],[Cell_ID]],'[1]Registre_Maintenance_combine '!A:F,6,FALSE),"Non trouvé")</f>
        <v>Non trouvé</v>
      </c>
    </row>
    <row r="552" spans="1:10" x14ac:dyDescent="0.25">
      <c r="A552" t="str">
        <f>IFERROR(VLOOKUP(Logs_reseau[[#This Row],[Cell_ID]],'[1]Registre_Maintenance_combine '!A:B,2,FALSE),"Non trouvé")</f>
        <v>Non trouvé</v>
      </c>
      <c r="B552" t="s">
        <v>136</v>
      </c>
      <c r="C552" s="3">
        <v>45217.570833333331</v>
      </c>
      <c r="D552" s="11">
        <f>Logs_reseau[[#This Row],[Duree_Panne_Min]]/1440</f>
        <v>7.0833333333333331E-2</v>
      </c>
      <c r="E552">
        <v>102</v>
      </c>
      <c r="F552" t="s">
        <v>2</v>
      </c>
      <c r="G552" t="str">
        <f>IFERROR(VLOOKUP(Logs_reseau[[#This Row],[Cell_ID]],'[1]Registre_Maintenance_combine '!A:C,3,FALSE),"Non trouvé")</f>
        <v>Non trouvé</v>
      </c>
      <c r="H552" t="str">
        <f>IFERROR(VLOOKUP(Logs_reseau[[#This Row],[Cell_ID]],'[1]Registre_Maintenance_combine '!A:D,4,FALSE),"Non trouvé")</f>
        <v>Non trouvé</v>
      </c>
      <c r="I552" t="str">
        <f>IFERROR(VLOOKUP(Logs_reseau[[#This Row],[Cell_ID]],'[1]Registre_Maintenance_combine '!A:E,5,FALSE),"Non trouvé")</f>
        <v>Non trouvé</v>
      </c>
      <c r="J552" t="str">
        <f>IFERROR(VLOOKUP(Logs_reseau[[#This Row],[Cell_ID]],'[1]Registre_Maintenance_combine '!A:F,6,FALSE),"Non trouvé")</f>
        <v>Non trouvé</v>
      </c>
    </row>
    <row r="553" spans="1:10" x14ac:dyDescent="0.25">
      <c r="A553" t="str">
        <f>IFERROR(VLOOKUP(Logs_reseau[[#This Row],[Cell_ID]],'[1]Registre_Maintenance_combine '!A:B,2,FALSE),"Non trouvé")</f>
        <v>Sud-Kivu</v>
      </c>
      <c r="B553" t="s">
        <v>137</v>
      </c>
      <c r="C553" s="3">
        <v>45210.511805555558</v>
      </c>
      <c r="D553" s="11">
        <f>Logs_reseau[[#This Row],[Duree_Panne_Min]]/1440</f>
        <v>5.6944444444444443E-2</v>
      </c>
      <c r="E553">
        <v>82</v>
      </c>
      <c r="F553" t="s">
        <v>2</v>
      </c>
      <c r="G553">
        <f>IFERROR(VLOOKUP(Logs_reseau[[#This Row],[Cell_ID]],'[1]Registre_Maintenance_combine '!A:C,3,FALSE),"Non trouvé")</f>
        <v>-9.3900009999999998</v>
      </c>
      <c r="H553">
        <f>IFERROR(VLOOKUP(Logs_reseau[[#This Row],[Cell_ID]],'[1]Registre_Maintenance_combine '!A:D,4,FALSE),"Non trouvé")</f>
        <v>30.001517</v>
      </c>
      <c r="I553" t="str">
        <f>IFERROR(VLOOKUP(Logs_reseau[[#This Row],[Cell_ID]],'[1]Registre_Maintenance_combine '!A:E,5,FALSE),"Non trouvé")</f>
        <v>3G</v>
      </c>
      <c r="J553" t="str">
        <f>IFERROR(VLOOKUP(Logs_reseau[[#This Row],[Cell_ID]],'[1]Registre_Maintenance_combine '!A:F,6,FALSE),"Non trouvé")</f>
        <v>Nokia</v>
      </c>
    </row>
    <row r="554" spans="1:10" x14ac:dyDescent="0.25">
      <c r="A554" t="str">
        <f>IFERROR(VLOOKUP(Logs_reseau[[#This Row],[Cell_ID]],'[1]Registre_Maintenance_combine '!A:B,2,FALSE),"Non trouvé")</f>
        <v>Sud-Kivu</v>
      </c>
      <c r="B554" t="s">
        <v>137</v>
      </c>
      <c r="C554" s="3">
        <v>45204.49722222222</v>
      </c>
      <c r="D554" s="11">
        <f>Logs_reseau[[#This Row],[Duree_Panne_Min]]/1440</f>
        <v>3.4027777777777775E-2</v>
      </c>
      <c r="E554">
        <v>49</v>
      </c>
      <c r="F554" t="s">
        <v>1</v>
      </c>
      <c r="G554">
        <f>IFERROR(VLOOKUP(Logs_reseau[[#This Row],[Cell_ID]],'[1]Registre_Maintenance_combine '!A:C,3,FALSE),"Non trouvé")</f>
        <v>-9.3900009999999998</v>
      </c>
      <c r="H554">
        <f>IFERROR(VLOOKUP(Logs_reseau[[#This Row],[Cell_ID]],'[1]Registre_Maintenance_combine '!A:D,4,FALSE),"Non trouvé")</f>
        <v>30.001517</v>
      </c>
      <c r="I554" t="str">
        <f>IFERROR(VLOOKUP(Logs_reseau[[#This Row],[Cell_ID]],'[1]Registre_Maintenance_combine '!A:E,5,FALSE),"Non trouvé")</f>
        <v>3G</v>
      </c>
      <c r="J554" t="str">
        <f>IFERROR(VLOOKUP(Logs_reseau[[#This Row],[Cell_ID]],'[1]Registre_Maintenance_combine '!A:F,6,FALSE),"Non trouvé")</f>
        <v>Nokia</v>
      </c>
    </row>
    <row r="555" spans="1:10" x14ac:dyDescent="0.25">
      <c r="A555" t="str">
        <f>IFERROR(VLOOKUP(Logs_reseau[[#This Row],[Cell_ID]],'[1]Registre_Maintenance_combine '!A:B,2,FALSE),"Non trouvé")</f>
        <v>Sud-Kivu</v>
      </c>
      <c r="B555" t="s">
        <v>137</v>
      </c>
      <c r="C555" s="3">
        <v>45206.027083333334</v>
      </c>
      <c r="D555" s="11">
        <f>Logs_reseau[[#This Row],[Duree_Panne_Min]]/1440</f>
        <v>1.7361111111111112E-2</v>
      </c>
      <c r="E555">
        <v>25</v>
      </c>
      <c r="F555" t="s">
        <v>1</v>
      </c>
      <c r="G555">
        <f>IFERROR(VLOOKUP(Logs_reseau[[#This Row],[Cell_ID]],'[1]Registre_Maintenance_combine '!A:C,3,FALSE),"Non trouvé")</f>
        <v>-9.3900009999999998</v>
      </c>
      <c r="H555">
        <f>IFERROR(VLOOKUP(Logs_reseau[[#This Row],[Cell_ID]],'[1]Registre_Maintenance_combine '!A:D,4,FALSE),"Non trouvé")</f>
        <v>30.001517</v>
      </c>
      <c r="I555" t="str">
        <f>IFERROR(VLOOKUP(Logs_reseau[[#This Row],[Cell_ID]],'[1]Registre_Maintenance_combine '!A:E,5,FALSE),"Non trouvé")</f>
        <v>3G</v>
      </c>
      <c r="J555" t="str">
        <f>IFERROR(VLOOKUP(Logs_reseau[[#This Row],[Cell_ID]],'[1]Registre_Maintenance_combine '!A:F,6,FALSE),"Non trouvé")</f>
        <v>Nokia</v>
      </c>
    </row>
    <row r="556" spans="1:10" x14ac:dyDescent="0.25">
      <c r="A556" t="str">
        <f>IFERROR(VLOOKUP(Logs_reseau[[#This Row],[Cell_ID]],'[1]Registre_Maintenance_combine '!A:B,2,FALSE),"Non trouvé")</f>
        <v>Sud-Kivu</v>
      </c>
      <c r="B556" t="s">
        <v>137</v>
      </c>
      <c r="C556" s="3">
        <v>45208.296527777777</v>
      </c>
      <c r="D556" s="11">
        <f>Logs_reseau[[#This Row],[Duree_Panne_Min]]/1440</f>
        <v>4.7222222222222221E-2</v>
      </c>
      <c r="E556">
        <v>68</v>
      </c>
      <c r="F556" t="s">
        <v>2</v>
      </c>
      <c r="G556">
        <f>IFERROR(VLOOKUP(Logs_reseau[[#This Row],[Cell_ID]],'[1]Registre_Maintenance_combine '!A:C,3,FALSE),"Non trouvé")</f>
        <v>-9.3900009999999998</v>
      </c>
      <c r="H556">
        <f>IFERROR(VLOOKUP(Logs_reseau[[#This Row],[Cell_ID]],'[1]Registre_Maintenance_combine '!A:D,4,FALSE),"Non trouvé")</f>
        <v>30.001517</v>
      </c>
      <c r="I556" t="str">
        <f>IFERROR(VLOOKUP(Logs_reseau[[#This Row],[Cell_ID]],'[1]Registre_Maintenance_combine '!A:E,5,FALSE),"Non trouvé")</f>
        <v>3G</v>
      </c>
      <c r="J556" t="str">
        <f>IFERROR(VLOOKUP(Logs_reseau[[#This Row],[Cell_ID]],'[1]Registre_Maintenance_combine '!A:F,6,FALSE),"Non trouvé")</f>
        <v>Nokia</v>
      </c>
    </row>
    <row r="557" spans="1:10" x14ac:dyDescent="0.25">
      <c r="A557" t="str">
        <f>IFERROR(VLOOKUP(Logs_reseau[[#This Row],[Cell_ID]],'[1]Registre_Maintenance_combine '!A:B,2,FALSE),"Non trouvé")</f>
        <v>Sud-Kivu</v>
      </c>
      <c r="B557" t="s">
        <v>137</v>
      </c>
      <c r="C557" s="3">
        <v>45230.997916666667</v>
      </c>
      <c r="D557" s="11">
        <f>Logs_reseau[[#This Row],[Duree_Panne_Min]]/1440</f>
        <v>1.1805555555555555E-2</v>
      </c>
      <c r="E557">
        <v>17</v>
      </c>
      <c r="F557" t="s">
        <v>1</v>
      </c>
      <c r="G557">
        <f>IFERROR(VLOOKUP(Logs_reseau[[#This Row],[Cell_ID]],'[1]Registre_Maintenance_combine '!A:C,3,FALSE),"Non trouvé")</f>
        <v>-9.3900009999999998</v>
      </c>
      <c r="H557">
        <f>IFERROR(VLOOKUP(Logs_reseau[[#This Row],[Cell_ID]],'[1]Registre_Maintenance_combine '!A:D,4,FALSE),"Non trouvé")</f>
        <v>30.001517</v>
      </c>
      <c r="I557" t="str">
        <f>IFERROR(VLOOKUP(Logs_reseau[[#This Row],[Cell_ID]],'[1]Registre_Maintenance_combine '!A:E,5,FALSE),"Non trouvé")</f>
        <v>3G</v>
      </c>
      <c r="J557" t="str">
        <f>IFERROR(VLOOKUP(Logs_reseau[[#This Row],[Cell_ID]],'[1]Registre_Maintenance_combine '!A:F,6,FALSE),"Non trouvé")</f>
        <v>Nokia</v>
      </c>
    </row>
    <row r="558" spans="1:10" x14ac:dyDescent="0.25">
      <c r="A558" t="str">
        <f>IFERROR(VLOOKUP(Logs_reseau[[#This Row],[Cell_ID]],'[1]Registre_Maintenance_combine '!A:B,2,FALSE),"Non trouvé")</f>
        <v>Non trouvé</v>
      </c>
      <c r="B558" t="s">
        <v>138</v>
      </c>
      <c r="C558" s="3">
        <v>45201.131249999999</v>
      </c>
      <c r="D558" s="11">
        <f>Logs_reseau[[#This Row],[Duree_Panne_Min]]/1440</f>
        <v>5.6944444444444443E-2</v>
      </c>
      <c r="E558">
        <v>82</v>
      </c>
      <c r="F558" t="s">
        <v>4</v>
      </c>
      <c r="G558" t="str">
        <f>IFERROR(VLOOKUP(Logs_reseau[[#This Row],[Cell_ID]],'[1]Registre_Maintenance_combine '!A:C,3,FALSE),"Non trouvé")</f>
        <v>Non trouvé</v>
      </c>
      <c r="H558" t="str">
        <f>IFERROR(VLOOKUP(Logs_reseau[[#This Row],[Cell_ID]],'[1]Registre_Maintenance_combine '!A:D,4,FALSE),"Non trouvé")</f>
        <v>Non trouvé</v>
      </c>
      <c r="I558" t="str">
        <f>IFERROR(VLOOKUP(Logs_reseau[[#This Row],[Cell_ID]],'[1]Registre_Maintenance_combine '!A:E,5,FALSE),"Non trouvé")</f>
        <v>Non trouvé</v>
      </c>
      <c r="J558" t="str">
        <f>IFERROR(VLOOKUP(Logs_reseau[[#This Row],[Cell_ID]],'[1]Registre_Maintenance_combine '!A:F,6,FALSE),"Non trouvé")</f>
        <v>Non trouvé</v>
      </c>
    </row>
    <row r="559" spans="1:10" x14ac:dyDescent="0.25">
      <c r="A559" t="str">
        <f>IFERROR(VLOOKUP(Logs_reseau[[#This Row],[Cell_ID]],'[1]Registre_Maintenance_combine '!A:B,2,FALSE),"Non trouvé")</f>
        <v>Non trouvé</v>
      </c>
      <c r="B559" t="s">
        <v>138</v>
      </c>
      <c r="C559" s="3">
        <v>45211.993055555555</v>
      </c>
      <c r="D559" s="11">
        <f>Logs_reseau[[#This Row],[Duree_Panne_Min]]/1440</f>
        <v>4.3055555555555555E-2</v>
      </c>
      <c r="E559">
        <v>62</v>
      </c>
      <c r="F559" t="s">
        <v>1</v>
      </c>
      <c r="G559" t="str">
        <f>IFERROR(VLOOKUP(Logs_reseau[[#This Row],[Cell_ID]],'[1]Registre_Maintenance_combine '!A:C,3,FALSE),"Non trouvé")</f>
        <v>Non trouvé</v>
      </c>
      <c r="H559" t="str">
        <f>IFERROR(VLOOKUP(Logs_reseau[[#This Row],[Cell_ID]],'[1]Registre_Maintenance_combine '!A:D,4,FALSE),"Non trouvé")</f>
        <v>Non trouvé</v>
      </c>
      <c r="I559" t="str">
        <f>IFERROR(VLOOKUP(Logs_reseau[[#This Row],[Cell_ID]],'[1]Registre_Maintenance_combine '!A:E,5,FALSE),"Non trouvé")</f>
        <v>Non trouvé</v>
      </c>
      <c r="J559" t="str">
        <f>IFERROR(VLOOKUP(Logs_reseau[[#This Row],[Cell_ID]],'[1]Registre_Maintenance_combine '!A:F,6,FALSE),"Non trouvé")</f>
        <v>Non trouvé</v>
      </c>
    </row>
    <row r="560" spans="1:10" x14ac:dyDescent="0.25">
      <c r="A560" t="str">
        <f>IFERROR(VLOOKUP(Logs_reseau[[#This Row],[Cell_ID]],'[1]Registre_Maintenance_combine '!A:B,2,FALSE),"Non trouvé")</f>
        <v>Non trouvé</v>
      </c>
      <c r="B560" t="s">
        <v>138</v>
      </c>
      <c r="C560" s="3">
        <v>45224.201388888891</v>
      </c>
      <c r="D560" s="11">
        <f>Logs_reseau[[#This Row],[Duree_Panne_Min]]/1440</f>
        <v>6.9444444444444441E-3</v>
      </c>
      <c r="E560">
        <v>10</v>
      </c>
      <c r="F560" t="s">
        <v>2</v>
      </c>
      <c r="G560" t="str">
        <f>IFERROR(VLOOKUP(Logs_reseau[[#This Row],[Cell_ID]],'[1]Registre_Maintenance_combine '!A:C,3,FALSE),"Non trouvé")</f>
        <v>Non trouvé</v>
      </c>
      <c r="H560" t="str">
        <f>IFERROR(VLOOKUP(Logs_reseau[[#This Row],[Cell_ID]],'[1]Registre_Maintenance_combine '!A:D,4,FALSE),"Non trouvé")</f>
        <v>Non trouvé</v>
      </c>
      <c r="I560" t="str">
        <f>IFERROR(VLOOKUP(Logs_reseau[[#This Row],[Cell_ID]],'[1]Registre_Maintenance_combine '!A:E,5,FALSE),"Non trouvé")</f>
        <v>Non trouvé</v>
      </c>
      <c r="J560" t="str">
        <f>IFERROR(VLOOKUP(Logs_reseau[[#This Row],[Cell_ID]],'[1]Registre_Maintenance_combine '!A:F,6,FALSE),"Non trouvé")</f>
        <v>Non trouvé</v>
      </c>
    </row>
    <row r="561" spans="1:10" x14ac:dyDescent="0.25">
      <c r="A561" t="str">
        <f>IFERROR(VLOOKUP(Logs_reseau[[#This Row],[Cell_ID]],'[1]Registre_Maintenance_combine '!A:B,2,FALSE),"Non trouvé")</f>
        <v>Non trouvé</v>
      </c>
      <c r="B561" t="s">
        <v>138</v>
      </c>
      <c r="C561" s="3">
        <v>45211.993055555555</v>
      </c>
      <c r="D561" s="11">
        <f>Logs_reseau[[#This Row],[Duree_Panne_Min]]/1440</f>
        <v>4.3055555555555555E-2</v>
      </c>
      <c r="E561">
        <v>62</v>
      </c>
      <c r="F561" t="s">
        <v>1</v>
      </c>
      <c r="G561" t="str">
        <f>IFERROR(VLOOKUP(Logs_reseau[[#This Row],[Cell_ID]],'[1]Registre_Maintenance_combine '!A:C,3,FALSE),"Non trouvé")</f>
        <v>Non trouvé</v>
      </c>
      <c r="H561" t="str">
        <f>IFERROR(VLOOKUP(Logs_reseau[[#This Row],[Cell_ID]],'[1]Registre_Maintenance_combine '!A:D,4,FALSE),"Non trouvé")</f>
        <v>Non trouvé</v>
      </c>
      <c r="I561" t="str">
        <f>IFERROR(VLOOKUP(Logs_reseau[[#This Row],[Cell_ID]],'[1]Registre_Maintenance_combine '!A:E,5,FALSE),"Non trouvé")</f>
        <v>Non trouvé</v>
      </c>
      <c r="J561" t="str">
        <f>IFERROR(VLOOKUP(Logs_reseau[[#This Row],[Cell_ID]],'[1]Registre_Maintenance_combine '!A:F,6,FALSE),"Non trouvé")</f>
        <v>Non trouvé</v>
      </c>
    </row>
    <row r="562" spans="1:10" x14ac:dyDescent="0.25">
      <c r="A562" t="str">
        <f>IFERROR(VLOOKUP(Logs_reseau[[#This Row],[Cell_ID]],'[1]Registre_Maintenance_combine '!A:B,2,FALSE),"Non trouvé")</f>
        <v>Sud-Kivu</v>
      </c>
      <c r="B562" t="s">
        <v>139</v>
      </c>
      <c r="C562" s="3">
        <v>45210.051388888889</v>
      </c>
      <c r="D562" s="11">
        <f>Logs_reseau[[#This Row],[Duree_Panne_Min]]/1440</f>
        <v>1.0416666666666666E-2</v>
      </c>
      <c r="E562">
        <v>15</v>
      </c>
      <c r="F562" t="s">
        <v>2</v>
      </c>
      <c r="G562">
        <f>IFERROR(VLOOKUP(Logs_reseau[[#This Row],[Cell_ID]],'[1]Registre_Maintenance_combine '!A:C,3,FALSE),"Non trouvé")</f>
        <v>-3.6233270000000002</v>
      </c>
      <c r="H562">
        <f>IFERROR(VLOOKUP(Logs_reseau[[#This Row],[Cell_ID]],'[1]Registre_Maintenance_combine '!A:D,4,FALSE),"Non trouvé")</f>
        <v>25.915645999999999</v>
      </c>
      <c r="I562" t="str">
        <f>IFERROR(VLOOKUP(Logs_reseau[[#This Row],[Cell_ID]],'[1]Registre_Maintenance_combine '!A:E,5,FALSE),"Non trouvé")</f>
        <v>3G</v>
      </c>
      <c r="J562" t="str">
        <f>IFERROR(VLOOKUP(Logs_reseau[[#This Row],[Cell_ID]],'[1]Registre_Maintenance_combine '!A:F,6,FALSE),"Non trouvé")</f>
        <v>Huawei</v>
      </c>
    </row>
    <row r="563" spans="1:10" x14ac:dyDescent="0.25">
      <c r="A563" t="str">
        <f>IFERROR(VLOOKUP(Logs_reseau[[#This Row],[Cell_ID]],'[1]Registre_Maintenance_combine '!A:B,2,FALSE),"Non trouvé")</f>
        <v>Sud-Kivu</v>
      </c>
      <c r="B563" t="s">
        <v>139</v>
      </c>
      <c r="C563" s="3">
        <v>45218.793055555558</v>
      </c>
      <c r="D563" s="11">
        <f>Logs_reseau[[#This Row],[Duree_Panne_Min]]/1440</f>
        <v>7.9166666666666663E-2</v>
      </c>
      <c r="E563">
        <v>114</v>
      </c>
      <c r="F563" t="s">
        <v>1</v>
      </c>
      <c r="G563">
        <f>IFERROR(VLOOKUP(Logs_reseau[[#This Row],[Cell_ID]],'[1]Registre_Maintenance_combine '!A:C,3,FALSE),"Non trouvé")</f>
        <v>-3.6233270000000002</v>
      </c>
      <c r="H563">
        <f>IFERROR(VLOOKUP(Logs_reseau[[#This Row],[Cell_ID]],'[1]Registre_Maintenance_combine '!A:D,4,FALSE),"Non trouvé")</f>
        <v>25.915645999999999</v>
      </c>
      <c r="I563" t="str">
        <f>IFERROR(VLOOKUP(Logs_reseau[[#This Row],[Cell_ID]],'[1]Registre_Maintenance_combine '!A:E,5,FALSE),"Non trouvé")</f>
        <v>3G</v>
      </c>
      <c r="J563" t="str">
        <f>IFERROR(VLOOKUP(Logs_reseau[[#This Row],[Cell_ID]],'[1]Registre_Maintenance_combine '!A:F,6,FALSE),"Non trouvé")</f>
        <v>Huawei</v>
      </c>
    </row>
    <row r="564" spans="1:10" x14ac:dyDescent="0.25">
      <c r="A564" t="str">
        <f>IFERROR(VLOOKUP(Logs_reseau[[#This Row],[Cell_ID]],'[1]Registre_Maintenance_combine '!A:B,2,FALSE),"Non trouvé")</f>
        <v>Sud-Kivu</v>
      </c>
      <c r="B564" t="s">
        <v>139</v>
      </c>
      <c r="C564" s="3">
        <v>45222.425694444442</v>
      </c>
      <c r="D564" s="11">
        <f>Logs_reseau[[#This Row],[Duree_Panne_Min]]/1440</f>
        <v>6.5277777777777782E-2</v>
      </c>
      <c r="E564">
        <v>94</v>
      </c>
      <c r="F564" t="s">
        <v>4</v>
      </c>
      <c r="G564">
        <f>IFERROR(VLOOKUP(Logs_reseau[[#This Row],[Cell_ID]],'[1]Registre_Maintenance_combine '!A:C,3,FALSE),"Non trouvé")</f>
        <v>-3.6233270000000002</v>
      </c>
      <c r="H564">
        <f>IFERROR(VLOOKUP(Logs_reseau[[#This Row],[Cell_ID]],'[1]Registre_Maintenance_combine '!A:D,4,FALSE),"Non trouvé")</f>
        <v>25.915645999999999</v>
      </c>
      <c r="I564" t="str">
        <f>IFERROR(VLOOKUP(Logs_reseau[[#This Row],[Cell_ID]],'[1]Registre_Maintenance_combine '!A:E,5,FALSE),"Non trouvé")</f>
        <v>3G</v>
      </c>
      <c r="J564" t="str">
        <f>IFERROR(VLOOKUP(Logs_reseau[[#This Row],[Cell_ID]],'[1]Registre_Maintenance_combine '!A:F,6,FALSE),"Non trouvé")</f>
        <v>Huawei</v>
      </c>
    </row>
    <row r="565" spans="1:10" x14ac:dyDescent="0.25">
      <c r="A565" t="str">
        <f>IFERROR(VLOOKUP(Logs_reseau[[#This Row],[Cell_ID]],'[1]Registre_Maintenance_combine '!A:B,2,FALSE),"Non trouvé")</f>
        <v>Sud-Kivu</v>
      </c>
      <c r="B565" t="s">
        <v>139</v>
      </c>
      <c r="C565" s="3">
        <v>45218.270138888889</v>
      </c>
      <c r="D565" s="11">
        <f>Logs_reseau[[#This Row],[Duree_Panne_Min]]/1440</f>
        <v>4.583333333333333E-2</v>
      </c>
      <c r="E565">
        <v>66</v>
      </c>
      <c r="F565" t="s">
        <v>2</v>
      </c>
      <c r="G565">
        <f>IFERROR(VLOOKUP(Logs_reseau[[#This Row],[Cell_ID]],'[1]Registre_Maintenance_combine '!A:C,3,FALSE),"Non trouvé")</f>
        <v>-3.6233270000000002</v>
      </c>
      <c r="H565">
        <f>IFERROR(VLOOKUP(Logs_reseau[[#This Row],[Cell_ID]],'[1]Registre_Maintenance_combine '!A:D,4,FALSE),"Non trouvé")</f>
        <v>25.915645999999999</v>
      </c>
      <c r="I565" t="str">
        <f>IFERROR(VLOOKUP(Logs_reseau[[#This Row],[Cell_ID]],'[1]Registre_Maintenance_combine '!A:E,5,FALSE),"Non trouvé")</f>
        <v>3G</v>
      </c>
      <c r="J565" t="str">
        <f>IFERROR(VLOOKUP(Logs_reseau[[#This Row],[Cell_ID]],'[1]Registre_Maintenance_combine '!A:F,6,FALSE),"Non trouvé")</f>
        <v>Huawei</v>
      </c>
    </row>
    <row r="566" spans="1:10" x14ac:dyDescent="0.25">
      <c r="A566" t="str">
        <f>IFERROR(VLOOKUP(Logs_reseau[[#This Row],[Cell_ID]],'[1]Registre_Maintenance_combine '!A:B,2,FALSE),"Non trouvé")</f>
        <v>Sud-Kivu</v>
      </c>
      <c r="B566" t="s">
        <v>139</v>
      </c>
      <c r="C566" s="3">
        <v>45210.007638888892</v>
      </c>
      <c r="D566" s="11">
        <f>Logs_reseau[[#This Row],[Duree_Panne_Min]]/1440</f>
        <v>6.9444444444444448E-2</v>
      </c>
      <c r="E566">
        <v>100</v>
      </c>
      <c r="F566" t="s">
        <v>1</v>
      </c>
      <c r="G566">
        <f>IFERROR(VLOOKUP(Logs_reseau[[#This Row],[Cell_ID]],'[1]Registre_Maintenance_combine '!A:C,3,FALSE),"Non trouvé")</f>
        <v>-3.6233270000000002</v>
      </c>
      <c r="H566">
        <f>IFERROR(VLOOKUP(Logs_reseau[[#This Row],[Cell_ID]],'[1]Registre_Maintenance_combine '!A:D,4,FALSE),"Non trouvé")</f>
        <v>25.915645999999999</v>
      </c>
      <c r="I566" t="str">
        <f>IFERROR(VLOOKUP(Logs_reseau[[#This Row],[Cell_ID]],'[1]Registre_Maintenance_combine '!A:E,5,FALSE),"Non trouvé")</f>
        <v>3G</v>
      </c>
      <c r="J566" t="str">
        <f>IFERROR(VLOOKUP(Logs_reseau[[#This Row],[Cell_ID]],'[1]Registre_Maintenance_combine '!A:F,6,FALSE),"Non trouvé")</f>
        <v>Huawei</v>
      </c>
    </row>
    <row r="567" spans="1:10" x14ac:dyDescent="0.25">
      <c r="A567" t="str">
        <f>IFERROR(VLOOKUP(Logs_reseau[[#This Row],[Cell_ID]],'[1]Registre_Maintenance_combine '!A:B,2,FALSE),"Non trouvé")</f>
        <v>Sud-Kivu</v>
      </c>
      <c r="B567" t="s">
        <v>139</v>
      </c>
      <c r="C567" s="3">
        <v>45204.586111111108</v>
      </c>
      <c r="D567" s="11">
        <f>Logs_reseau[[#This Row],[Duree_Panne_Min]]/1440</f>
        <v>5.9722222222222225E-2</v>
      </c>
      <c r="E567">
        <v>86</v>
      </c>
      <c r="F567" t="s">
        <v>4</v>
      </c>
      <c r="G567">
        <f>IFERROR(VLOOKUP(Logs_reseau[[#This Row],[Cell_ID]],'[1]Registre_Maintenance_combine '!A:C,3,FALSE),"Non trouvé")</f>
        <v>-3.6233270000000002</v>
      </c>
      <c r="H567">
        <f>IFERROR(VLOOKUP(Logs_reseau[[#This Row],[Cell_ID]],'[1]Registre_Maintenance_combine '!A:D,4,FALSE),"Non trouvé")</f>
        <v>25.915645999999999</v>
      </c>
      <c r="I567" t="str">
        <f>IFERROR(VLOOKUP(Logs_reseau[[#This Row],[Cell_ID]],'[1]Registre_Maintenance_combine '!A:E,5,FALSE),"Non trouvé")</f>
        <v>3G</v>
      </c>
      <c r="J567" t="str">
        <f>IFERROR(VLOOKUP(Logs_reseau[[#This Row],[Cell_ID]],'[1]Registre_Maintenance_combine '!A:F,6,FALSE),"Non trouvé")</f>
        <v>Huawei</v>
      </c>
    </row>
    <row r="568" spans="1:10" x14ac:dyDescent="0.25">
      <c r="A568" t="str">
        <f>IFERROR(VLOOKUP(Logs_reseau[[#This Row],[Cell_ID]],'[1]Registre_Maintenance_combine '!A:B,2,FALSE),"Non trouvé")</f>
        <v>Sud-Kivu</v>
      </c>
      <c r="B568" t="s">
        <v>139</v>
      </c>
      <c r="C568" s="3">
        <v>45224.797222222223</v>
      </c>
      <c r="D568" s="11">
        <f>Logs_reseau[[#This Row],[Duree_Panne_Min]]/1440</f>
        <v>3.6111111111111108E-2</v>
      </c>
      <c r="E568">
        <v>52</v>
      </c>
      <c r="F568" t="s">
        <v>1</v>
      </c>
      <c r="G568">
        <f>IFERROR(VLOOKUP(Logs_reseau[[#This Row],[Cell_ID]],'[1]Registre_Maintenance_combine '!A:C,3,FALSE),"Non trouvé")</f>
        <v>-3.6233270000000002</v>
      </c>
      <c r="H568">
        <f>IFERROR(VLOOKUP(Logs_reseau[[#This Row],[Cell_ID]],'[1]Registre_Maintenance_combine '!A:D,4,FALSE),"Non trouvé")</f>
        <v>25.915645999999999</v>
      </c>
      <c r="I568" t="str">
        <f>IFERROR(VLOOKUP(Logs_reseau[[#This Row],[Cell_ID]],'[1]Registre_Maintenance_combine '!A:E,5,FALSE),"Non trouvé")</f>
        <v>3G</v>
      </c>
      <c r="J568" t="str">
        <f>IFERROR(VLOOKUP(Logs_reseau[[#This Row],[Cell_ID]],'[1]Registre_Maintenance_combine '!A:F,6,FALSE),"Non trouvé")</f>
        <v>Huawei</v>
      </c>
    </row>
    <row r="569" spans="1:10" x14ac:dyDescent="0.25">
      <c r="A569" t="str">
        <f>IFERROR(VLOOKUP(Logs_reseau[[#This Row],[Cell_ID]],'[1]Registre_Maintenance_combine '!A:B,2,FALSE),"Non trouvé")</f>
        <v>Sud-Kivu</v>
      </c>
      <c r="B569" t="s">
        <v>139</v>
      </c>
      <c r="C569" s="3">
        <v>45206.190972222219</v>
      </c>
      <c r="D569" s="11">
        <f>Logs_reseau[[#This Row],[Duree_Panne_Min]]/1440</f>
        <v>4.791666666666667E-2</v>
      </c>
      <c r="E569">
        <v>69</v>
      </c>
      <c r="F569" t="s">
        <v>2</v>
      </c>
      <c r="G569">
        <f>IFERROR(VLOOKUP(Logs_reseau[[#This Row],[Cell_ID]],'[1]Registre_Maintenance_combine '!A:C,3,FALSE),"Non trouvé")</f>
        <v>-3.6233270000000002</v>
      </c>
      <c r="H569">
        <f>IFERROR(VLOOKUP(Logs_reseau[[#This Row],[Cell_ID]],'[1]Registre_Maintenance_combine '!A:D,4,FALSE),"Non trouvé")</f>
        <v>25.915645999999999</v>
      </c>
      <c r="I569" t="str">
        <f>IFERROR(VLOOKUP(Logs_reseau[[#This Row],[Cell_ID]],'[1]Registre_Maintenance_combine '!A:E,5,FALSE),"Non trouvé")</f>
        <v>3G</v>
      </c>
      <c r="J569" t="str">
        <f>IFERROR(VLOOKUP(Logs_reseau[[#This Row],[Cell_ID]],'[1]Registre_Maintenance_combine '!A:F,6,FALSE),"Non trouvé")</f>
        <v>Huawei</v>
      </c>
    </row>
    <row r="570" spans="1:10" x14ac:dyDescent="0.25">
      <c r="A570" t="str">
        <f>IFERROR(VLOOKUP(Logs_reseau[[#This Row],[Cell_ID]],'[1]Registre_Maintenance_combine '!A:B,2,FALSE),"Non trouvé")</f>
        <v>Non trouvé</v>
      </c>
      <c r="B570" t="s">
        <v>140</v>
      </c>
      <c r="C570" s="3">
        <v>45214.761805555558</v>
      </c>
      <c r="D570" s="11">
        <f>Logs_reseau[[#This Row],[Duree_Panne_Min]]/1440</f>
        <v>7.2222222222222215E-2</v>
      </c>
      <c r="E570">
        <v>104</v>
      </c>
      <c r="F570" t="s">
        <v>2</v>
      </c>
      <c r="G570" t="str">
        <f>IFERROR(VLOOKUP(Logs_reseau[[#This Row],[Cell_ID]],'[1]Registre_Maintenance_combine '!A:C,3,FALSE),"Non trouvé")</f>
        <v>Non trouvé</v>
      </c>
      <c r="H570" t="str">
        <f>IFERROR(VLOOKUP(Logs_reseau[[#This Row],[Cell_ID]],'[1]Registre_Maintenance_combine '!A:D,4,FALSE),"Non trouvé")</f>
        <v>Non trouvé</v>
      </c>
      <c r="I570" t="str">
        <f>IFERROR(VLOOKUP(Logs_reseau[[#This Row],[Cell_ID]],'[1]Registre_Maintenance_combine '!A:E,5,FALSE),"Non trouvé")</f>
        <v>Non trouvé</v>
      </c>
      <c r="J570" t="str">
        <f>IFERROR(VLOOKUP(Logs_reseau[[#This Row],[Cell_ID]],'[1]Registre_Maintenance_combine '!A:F,6,FALSE),"Non trouvé")</f>
        <v>Non trouvé</v>
      </c>
    </row>
    <row r="571" spans="1:10" x14ac:dyDescent="0.25">
      <c r="A571" t="str">
        <f>IFERROR(VLOOKUP(Logs_reseau[[#This Row],[Cell_ID]],'[1]Registre_Maintenance_combine '!A:B,2,FALSE),"Non trouvé")</f>
        <v>Non trouvé</v>
      </c>
      <c r="B571" t="s">
        <v>140</v>
      </c>
      <c r="C571" s="3">
        <v>45221.836111111108</v>
      </c>
      <c r="D571" s="11">
        <f>Logs_reseau[[#This Row],[Duree_Panne_Min]]/1440</f>
        <v>4.9305555555555554E-2</v>
      </c>
      <c r="E571">
        <v>71</v>
      </c>
      <c r="F571" t="s">
        <v>2</v>
      </c>
      <c r="G571" t="str">
        <f>IFERROR(VLOOKUP(Logs_reseau[[#This Row],[Cell_ID]],'[1]Registre_Maintenance_combine '!A:C,3,FALSE),"Non trouvé")</f>
        <v>Non trouvé</v>
      </c>
      <c r="H571" t="str">
        <f>IFERROR(VLOOKUP(Logs_reseau[[#This Row],[Cell_ID]],'[1]Registre_Maintenance_combine '!A:D,4,FALSE),"Non trouvé")</f>
        <v>Non trouvé</v>
      </c>
      <c r="I571" t="str">
        <f>IFERROR(VLOOKUP(Logs_reseau[[#This Row],[Cell_ID]],'[1]Registre_Maintenance_combine '!A:E,5,FALSE),"Non trouvé")</f>
        <v>Non trouvé</v>
      </c>
      <c r="J571" t="str">
        <f>IFERROR(VLOOKUP(Logs_reseau[[#This Row],[Cell_ID]],'[1]Registre_Maintenance_combine '!A:F,6,FALSE),"Non trouvé")</f>
        <v>Non trouvé</v>
      </c>
    </row>
    <row r="572" spans="1:10" x14ac:dyDescent="0.25">
      <c r="A572" t="str">
        <f>IFERROR(VLOOKUP(Logs_reseau[[#This Row],[Cell_ID]],'[1]Registre_Maintenance_combine '!A:B,2,FALSE),"Non trouvé")</f>
        <v>Non trouvé</v>
      </c>
      <c r="B572" t="s">
        <v>140</v>
      </c>
      <c r="C572" s="3">
        <v>45222.392361111109</v>
      </c>
      <c r="D572" s="11">
        <f>Logs_reseau[[#This Row],[Duree_Panne_Min]]/1440</f>
        <v>6.2500000000000003E-3</v>
      </c>
      <c r="E572">
        <v>9</v>
      </c>
      <c r="F572" t="s">
        <v>4</v>
      </c>
      <c r="G572" t="str">
        <f>IFERROR(VLOOKUP(Logs_reseau[[#This Row],[Cell_ID]],'[1]Registre_Maintenance_combine '!A:C,3,FALSE),"Non trouvé")</f>
        <v>Non trouvé</v>
      </c>
      <c r="H572" t="str">
        <f>IFERROR(VLOOKUP(Logs_reseau[[#This Row],[Cell_ID]],'[1]Registre_Maintenance_combine '!A:D,4,FALSE),"Non trouvé")</f>
        <v>Non trouvé</v>
      </c>
      <c r="I572" t="str">
        <f>IFERROR(VLOOKUP(Logs_reseau[[#This Row],[Cell_ID]],'[1]Registre_Maintenance_combine '!A:E,5,FALSE),"Non trouvé")</f>
        <v>Non trouvé</v>
      </c>
      <c r="J572" t="str">
        <f>IFERROR(VLOOKUP(Logs_reseau[[#This Row],[Cell_ID]],'[1]Registre_Maintenance_combine '!A:F,6,FALSE),"Non trouvé")</f>
        <v>Non trouvé</v>
      </c>
    </row>
    <row r="573" spans="1:10" x14ac:dyDescent="0.25">
      <c r="A573" t="str">
        <f>IFERROR(VLOOKUP(Logs_reseau[[#This Row],[Cell_ID]],'[1]Registre_Maintenance_combine '!A:B,2,FALSE),"Non trouvé")</f>
        <v>Non trouvé</v>
      </c>
      <c r="B573" t="s">
        <v>140</v>
      </c>
      <c r="C573" s="3">
        <v>45210.456250000003</v>
      </c>
      <c r="D573" s="11">
        <f>Logs_reseau[[#This Row],[Duree_Panne_Min]]/1440</f>
        <v>5.347222222222222E-2</v>
      </c>
      <c r="E573">
        <v>77</v>
      </c>
      <c r="F573" t="s">
        <v>2</v>
      </c>
      <c r="G573" t="str">
        <f>IFERROR(VLOOKUP(Logs_reseau[[#This Row],[Cell_ID]],'[1]Registre_Maintenance_combine '!A:C,3,FALSE),"Non trouvé")</f>
        <v>Non trouvé</v>
      </c>
      <c r="H573" t="str">
        <f>IFERROR(VLOOKUP(Logs_reseau[[#This Row],[Cell_ID]],'[1]Registre_Maintenance_combine '!A:D,4,FALSE),"Non trouvé")</f>
        <v>Non trouvé</v>
      </c>
      <c r="I573" t="str">
        <f>IFERROR(VLOOKUP(Logs_reseau[[#This Row],[Cell_ID]],'[1]Registre_Maintenance_combine '!A:E,5,FALSE),"Non trouvé")</f>
        <v>Non trouvé</v>
      </c>
      <c r="J573" t="str">
        <f>IFERROR(VLOOKUP(Logs_reseau[[#This Row],[Cell_ID]],'[1]Registre_Maintenance_combine '!A:F,6,FALSE),"Non trouvé")</f>
        <v>Non trouvé</v>
      </c>
    </row>
    <row r="574" spans="1:10" x14ac:dyDescent="0.25">
      <c r="A574" t="str">
        <f>IFERROR(VLOOKUP(Logs_reseau[[#This Row],[Cell_ID]],'[1]Registre_Maintenance_combine '!A:B,2,FALSE),"Non trouvé")</f>
        <v>Non trouvé</v>
      </c>
      <c r="B574" t="s">
        <v>140</v>
      </c>
      <c r="C574" s="3">
        <v>45203.277777777781</v>
      </c>
      <c r="D574" s="11">
        <f>Logs_reseau[[#This Row],[Duree_Panne_Min]]/1440</f>
        <v>3.5416666666666666E-2</v>
      </c>
      <c r="E574">
        <v>51</v>
      </c>
      <c r="F574" t="s">
        <v>2</v>
      </c>
      <c r="G574" t="str">
        <f>IFERROR(VLOOKUP(Logs_reseau[[#This Row],[Cell_ID]],'[1]Registre_Maintenance_combine '!A:C,3,FALSE),"Non trouvé")</f>
        <v>Non trouvé</v>
      </c>
      <c r="H574" t="str">
        <f>IFERROR(VLOOKUP(Logs_reseau[[#This Row],[Cell_ID]],'[1]Registre_Maintenance_combine '!A:D,4,FALSE),"Non trouvé")</f>
        <v>Non trouvé</v>
      </c>
      <c r="I574" t="str">
        <f>IFERROR(VLOOKUP(Logs_reseau[[#This Row],[Cell_ID]],'[1]Registre_Maintenance_combine '!A:E,5,FALSE),"Non trouvé")</f>
        <v>Non trouvé</v>
      </c>
      <c r="J574" t="str">
        <f>IFERROR(VLOOKUP(Logs_reseau[[#This Row],[Cell_ID]],'[1]Registre_Maintenance_combine '!A:F,6,FALSE),"Non trouvé")</f>
        <v>Non trouvé</v>
      </c>
    </row>
    <row r="575" spans="1:10" x14ac:dyDescent="0.25">
      <c r="A575" t="str">
        <f>IFERROR(VLOOKUP(Logs_reseau[[#This Row],[Cell_ID]],'[1]Registre_Maintenance_combine '!A:B,2,FALSE),"Non trouvé")</f>
        <v>Non trouvé</v>
      </c>
      <c r="B575" t="s">
        <v>140</v>
      </c>
      <c r="C575" s="3">
        <v>45212.626388888886</v>
      </c>
      <c r="D575" s="11">
        <f>Logs_reseau[[#This Row],[Duree_Panne_Min]]/1440</f>
        <v>4.3055555555555555E-2</v>
      </c>
      <c r="E575">
        <v>62</v>
      </c>
      <c r="F575" t="s">
        <v>2</v>
      </c>
      <c r="G575" t="str">
        <f>IFERROR(VLOOKUP(Logs_reseau[[#This Row],[Cell_ID]],'[1]Registre_Maintenance_combine '!A:C,3,FALSE),"Non trouvé")</f>
        <v>Non trouvé</v>
      </c>
      <c r="H575" t="str">
        <f>IFERROR(VLOOKUP(Logs_reseau[[#This Row],[Cell_ID]],'[1]Registre_Maintenance_combine '!A:D,4,FALSE),"Non trouvé")</f>
        <v>Non trouvé</v>
      </c>
      <c r="I575" t="str">
        <f>IFERROR(VLOOKUP(Logs_reseau[[#This Row],[Cell_ID]],'[1]Registre_Maintenance_combine '!A:E,5,FALSE),"Non trouvé")</f>
        <v>Non trouvé</v>
      </c>
      <c r="J575" t="str">
        <f>IFERROR(VLOOKUP(Logs_reseau[[#This Row],[Cell_ID]],'[1]Registre_Maintenance_combine '!A:F,6,FALSE),"Non trouvé")</f>
        <v>Non trouvé</v>
      </c>
    </row>
    <row r="576" spans="1:10" x14ac:dyDescent="0.25">
      <c r="A576" t="str">
        <f>IFERROR(VLOOKUP(Logs_reseau[[#This Row],[Cell_ID]],'[1]Registre_Maintenance_combine '!A:B,2,FALSE),"Non trouvé")</f>
        <v>Non trouvé</v>
      </c>
      <c r="B576" t="s">
        <v>141</v>
      </c>
      <c r="C576" s="3">
        <v>45207.188888888886</v>
      </c>
      <c r="D576" s="11">
        <f>Logs_reseau[[#This Row],[Duree_Panne_Min]]/1440</f>
        <v>3.0555555555555555E-2</v>
      </c>
      <c r="E576">
        <v>44</v>
      </c>
      <c r="F576" t="s">
        <v>2</v>
      </c>
      <c r="G576" t="str">
        <f>IFERROR(VLOOKUP(Logs_reseau[[#This Row],[Cell_ID]],'[1]Registre_Maintenance_combine '!A:C,3,FALSE),"Non trouvé")</f>
        <v>Non trouvé</v>
      </c>
      <c r="H576" t="str">
        <f>IFERROR(VLOOKUP(Logs_reseau[[#This Row],[Cell_ID]],'[1]Registre_Maintenance_combine '!A:D,4,FALSE),"Non trouvé")</f>
        <v>Non trouvé</v>
      </c>
      <c r="I576" t="str">
        <f>IFERROR(VLOOKUP(Logs_reseau[[#This Row],[Cell_ID]],'[1]Registre_Maintenance_combine '!A:E,5,FALSE),"Non trouvé")</f>
        <v>Non trouvé</v>
      </c>
      <c r="J576" t="str">
        <f>IFERROR(VLOOKUP(Logs_reseau[[#This Row],[Cell_ID]],'[1]Registre_Maintenance_combine '!A:F,6,FALSE),"Non trouvé")</f>
        <v>Non trouvé</v>
      </c>
    </row>
    <row r="577" spans="1:10" x14ac:dyDescent="0.25">
      <c r="A577" t="str">
        <f>IFERROR(VLOOKUP(Logs_reseau[[#This Row],[Cell_ID]],'[1]Registre_Maintenance_combine '!A:B,2,FALSE),"Non trouvé")</f>
        <v>Non trouvé</v>
      </c>
      <c r="B577" t="s">
        <v>141</v>
      </c>
      <c r="C577" s="3">
        <v>45220.303472222222</v>
      </c>
      <c r="D577" s="11">
        <f>Logs_reseau[[#This Row],[Duree_Panne_Min]]/1440</f>
        <v>5.6944444444444443E-2</v>
      </c>
      <c r="E577">
        <v>82</v>
      </c>
      <c r="F577" t="s">
        <v>2</v>
      </c>
      <c r="G577" t="str">
        <f>IFERROR(VLOOKUP(Logs_reseau[[#This Row],[Cell_ID]],'[1]Registre_Maintenance_combine '!A:C,3,FALSE),"Non trouvé")</f>
        <v>Non trouvé</v>
      </c>
      <c r="H577" t="str">
        <f>IFERROR(VLOOKUP(Logs_reseau[[#This Row],[Cell_ID]],'[1]Registre_Maintenance_combine '!A:D,4,FALSE),"Non trouvé")</f>
        <v>Non trouvé</v>
      </c>
      <c r="I577" t="str">
        <f>IFERROR(VLOOKUP(Logs_reseau[[#This Row],[Cell_ID]],'[1]Registre_Maintenance_combine '!A:E,5,FALSE),"Non trouvé")</f>
        <v>Non trouvé</v>
      </c>
      <c r="J577" t="str">
        <f>IFERROR(VLOOKUP(Logs_reseau[[#This Row],[Cell_ID]],'[1]Registre_Maintenance_combine '!A:F,6,FALSE),"Non trouvé")</f>
        <v>Non trouvé</v>
      </c>
    </row>
    <row r="578" spans="1:10" x14ac:dyDescent="0.25">
      <c r="A578" t="str">
        <f>IFERROR(VLOOKUP(Logs_reseau[[#This Row],[Cell_ID]],'[1]Registre_Maintenance_combine '!A:B,2,FALSE),"Non trouvé")</f>
        <v>Non trouvé</v>
      </c>
      <c r="B578" t="s">
        <v>141</v>
      </c>
      <c r="C578" s="3">
        <v>45201.720833333333</v>
      </c>
      <c r="D578" s="11">
        <f>Logs_reseau[[#This Row],[Duree_Panne_Min]]/1440</f>
        <v>2.8472222222222222E-2</v>
      </c>
      <c r="E578">
        <v>41</v>
      </c>
      <c r="F578" t="s">
        <v>2</v>
      </c>
      <c r="G578" t="str">
        <f>IFERROR(VLOOKUP(Logs_reseau[[#This Row],[Cell_ID]],'[1]Registre_Maintenance_combine '!A:C,3,FALSE),"Non trouvé")</f>
        <v>Non trouvé</v>
      </c>
      <c r="H578" t="str">
        <f>IFERROR(VLOOKUP(Logs_reseau[[#This Row],[Cell_ID]],'[1]Registre_Maintenance_combine '!A:D,4,FALSE),"Non trouvé")</f>
        <v>Non trouvé</v>
      </c>
      <c r="I578" t="str">
        <f>IFERROR(VLOOKUP(Logs_reseau[[#This Row],[Cell_ID]],'[1]Registre_Maintenance_combine '!A:E,5,FALSE),"Non trouvé")</f>
        <v>Non trouvé</v>
      </c>
      <c r="J578" t="str">
        <f>IFERROR(VLOOKUP(Logs_reseau[[#This Row],[Cell_ID]],'[1]Registre_Maintenance_combine '!A:F,6,FALSE),"Non trouvé")</f>
        <v>Non trouvé</v>
      </c>
    </row>
    <row r="579" spans="1:10" x14ac:dyDescent="0.25">
      <c r="A579" t="str">
        <f>IFERROR(VLOOKUP(Logs_reseau[[#This Row],[Cell_ID]],'[1]Registre_Maintenance_combine '!A:B,2,FALSE),"Non trouvé")</f>
        <v>Non trouvé</v>
      </c>
      <c r="B579" t="s">
        <v>141</v>
      </c>
      <c r="C579" s="3">
        <v>45221.3125</v>
      </c>
      <c r="D579" s="11">
        <f>Logs_reseau[[#This Row],[Duree_Panne_Min]]/1440</f>
        <v>2.7777777777777776E-2</v>
      </c>
      <c r="E579">
        <v>40</v>
      </c>
      <c r="F579" t="s">
        <v>1</v>
      </c>
      <c r="G579" t="str">
        <f>IFERROR(VLOOKUP(Logs_reseau[[#This Row],[Cell_ID]],'[1]Registre_Maintenance_combine '!A:C,3,FALSE),"Non trouvé")</f>
        <v>Non trouvé</v>
      </c>
      <c r="H579" t="str">
        <f>IFERROR(VLOOKUP(Logs_reseau[[#This Row],[Cell_ID]],'[1]Registre_Maintenance_combine '!A:D,4,FALSE),"Non trouvé")</f>
        <v>Non trouvé</v>
      </c>
      <c r="I579" t="str">
        <f>IFERROR(VLOOKUP(Logs_reseau[[#This Row],[Cell_ID]],'[1]Registre_Maintenance_combine '!A:E,5,FALSE),"Non trouvé")</f>
        <v>Non trouvé</v>
      </c>
      <c r="J579" t="str">
        <f>IFERROR(VLOOKUP(Logs_reseau[[#This Row],[Cell_ID]],'[1]Registre_Maintenance_combine '!A:F,6,FALSE),"Non trouvé")</f>
        <v>Non trouvé</v>
      </c>
    </row>
    <row r="580" spans="1:10" x14ac:dyDescent="0.25">
      <c r="A580" t="str">
        <f>IFERROR(VLOOKUP(Logs_reseau[[#This Row],[Cell_ID]],'[1]Registre_Maintenance_combine '!A:B,2,FALSE),"Non trouvé")</f>
        <v>Non trouvé</v>
      </c>
      <c r="B580" t="s">
        <v>141</v>
      </c>
      <c r="C580" s="3">
        <v>45205.154166666667</v>
      </c>
      <c r="D580" s="11">
        <f>Logs_reseau[[#This Row],[Duree_Panne_Min]]/1440</f>
        <v>3.4027777777777775E-2</v>
      </c>
      <c r="E580">
        <v>49</v>
      </c>
      <c r="F580" t="s">
        <v>4</v>
      </c>
      <c r="G580" t="str">
        <f>IFERROR(VLOOKUP(Logs_reseau[[#This Row],[Cell_ID]],'[1]Registre_Maintenance_combine '!A:C,3,FALSE),"Non trouvé")</f>
        <v>Non trouvé</v>
      </c>
      <c r="H580" t="str">
        <f>IFERROR(VLOOKUP(Logs_reseau[[#This Row],[Cell_ID]],'[1]Registre_Maintenance_combine '!A:D,4,FALSE),"Non trouvé")</f>
        <v>Non trouvé</v>
      </c>
      <c r="I580" t="str">
        <f>IFERROR(VLOOKUP(Logs_reseau[[#This Row],[Cell_ID]],'[1]Registre_Maintenance_combine '!A:E,5,FALSE),"Non trouvé")</f>
        <v>Non trouvé</v>
      </c>
      <c r="J580" t="str">
        <f>IFERROR(VLOOKUP(Logs_reseau[[#This Row],[Cell_ID]],'[1]Registre_Maintenance_combine '!A:F,6,FALSE),"Non trouvé")</f>
        <v>Non trouvé</v>
      </c>
    </row>
    <row r="581" spans="1:10" x14ac:dyDescent="0.25">
      <c r="A581" t="str">
        <f>IFERROR(VLOOKUP(Logs_reseau[[#This Row],[Cell_ID]],'[1]Registre_Maintenance_combine '!A:B,2,FALSE),"Non trouvé")</f>
        <v>Non trouvé</v>
      </c>
      <c r="B581" t="s">
        <v>141</v>
      </c>
      <c r="C581" s="3">
        <v>45217.701388888891</v>
      </c>
      <c r="D581" s="11">
        <f>Logs_reseau[[#This Row],[Duree_Panne_Min]]/1440</f>
        <v>8.3333333333333329E-2</v>
      </c>
      <c r="E581">
        <v>120</v>
      </c>
      <c r="F581" t="s">
        <v>2</v>
      </c>
      <c r="G581" t="str">
        <f>IFERROR(VLOOKUP(Logs_reseau[[#This Row],[Cell_ID]],'[1]Registre_Maintenance_combine '!A:C,3,FALSE),"Non trouvé")</f>
        <v>Non trouvé</v>
      </c>
      <c r="H581" t="str">
        <f>IFERROR(VLOOKUP(Logs_reseau[[#This Row],[Cell_ID]],'[1]Registre_Maintenance_combine '!A:D,4,FALSE),"Non trouvé")</f>
        <v>Non trouvé</v>
      </c>
      <c r="I581" t="str">
        <f>IFERROR(VLOOKUP(Logs_reseau[[#This Row],[Cell_ID]],'[1]Registre_Maintenance_combine '!A:E,5,FALSE),"Non trouvé")</f>
        <v>Non trouvé</v>
      </c>
      <c r="J581" t="str">
        <f>IFERROR(VLOOKUP(Logs_reseau[[#This Row],[Cell_ID]],'[1]Registre_Maintenance_combine '!A:F,6,FALSE),"Non trouvé")</f>
        <v>Non trouvé</v>
      </c>
    </row>
    <row r="582" spans="1:10" x14ac:dyDescent="0.25">
      <c r="A582" t="str">
        <f>IFERROR(VLOOKUP(Logs_reseau[[#This Row],[Cell_ID]],'[1]Registre_Maintenance_combine '!A:B,2,FALSE),"Non trouvé")</f>
        <v>Non trouvé</v>
      </c>
      <c r="B582" t="s">
        <v>141</v>
      </c>
      <c r="C582" s="3">
        <v>45218.991666666669</v>
      </c>
      <c r="D582" s="11">
        <f>Logs_reseau[[#This Row],[Duree_Panne_Min]]/1440</f>
        <v>4.027777777777778E-2</v>
      </c>
      <c r="E582">
        <v>58</v>
      </c>
      <c r="F582" t="s">
        <v>1</v>
      </c>
      <c r="G582" t="str">
        <f>IFERROR(VLOOKUP(Logs_reseau[[#This Row],[Cell_ID]],'[1]Registre_Maintenance_combine '!A:C,3,FALSE),"Non trouvé")</f>
        <v>Non trouvé</v>
      </c>
      <c r="H582" t="str">
        <f>IFERROR(VLOOKUP(Logs_reseau[[#This Row],[Cell_ID]],'[1]Registre_Maintenance_combine '!A:D,4,FALSE),"Non trouvé")</f>
        <v>Non trouvé</v>
      </c>
      <c r="I582" t="str">
        <f>IFERROR(VLOOKUP(Logs_reseau[[#This Row],[Cell_ID]],'[1]Registre_Maintenance_combine '!A:E,5,FALSE),"Non trouvé")</f>
        <v>Non trouvé</v>
      </c>
      <c r="J582" t="str">
        <f>IFERROR(VLOOKUP(Logs_reseau[[#This Row],[Cell_ID]],'[1]Registre_Maintenance_combine '!A:F,6,FALSE),"Non trouvé")</f>
        <v>Non trouvé</v>
      </c>
    </row>
    <row r="583" spans="1:10" x14ac:dyDescent="0.25">
      <c r="A583" t="str">
        <f>IFERROR(VLOOKUP(Logs_reseau[[#This Row],[Cell_ID]],'[1]Registre_Maintenance_combine '!A:B,2,FALSE),"Non trouvé")</f>
        <v>Non trouvé</v>
      </c>
      <c r="B583" t="s">
        <v>142</v>
      </c>
      <c r="C583" s="3">
        <v>45207.195138888892</v>
      </c>
      <c r="D583" s="11">
        <f>Logs_reseau[[#This Row],[Duree_Panne_Min]]/1440</f>
        <v>2.7777777777777776E-2</v>
      </c>
      <c r="E583">
        <v>40</v>
      </c>
      <c r="F583" t="s">
        <v>2</v>
      </c>
      <c r="G583" t="str">
        <f>IFERROR(VLOOKUP(Logs_reseau[[#This Row],[Cell_ID]],'[1]Registre_Maintenance_combine '!A:C,3,FALSE),"Non trouvé")</f>
        <v>Non trouvé</v>
      </c>
      <c r="H583" t="str">
        <f>IFERROR(VLOOKUP(Logs_reseau[[#This Row],[Cell_ID]],'[1]Registre_Maintenance_combine '!A:D,4,FALSE),"Non trouvé")</f>
        <v>Non trouvé</v>
      </c>
      <c r="I583" t="str">
        <f>IFERROR(VLOOKUP(Logs_reseau[[#This Row],[Cell_ID]],'[1]Registre_Maintenance_combine '!A:E,5,FALSE),"Non trouvé")</f>
        <v>Non trouvé</v>
      </c>
      <c r="J583" t="str">
        <f>IFERROR(VLOOKUP(Logs_reseau[[#This Row],[Cell_ID]],'[1]Registre_Maintenance_combine '!A:F,6,FALSE),"Non trouvé")</f>
        <v>Non trouvé</v>
      </c>
    </row>
    <row r="584" spans="1:10" x14ac:dyDescent="0.25">
      <c r="A584" t="str">
        <f>IFERROR(VLOOKUP(Logs_reseau[[#This Row],[Cell_ID]],'[1]Registre_Maintenance_combine '!A:B,2,FALSE),"Non trouvé")</f>
        <v>Non trouvé</v>
      </c>
      <c r="B584" t="s">
        <v>142</v>
      </c>
      <c r="C584" s="3">
        <v>45220.111111111109</v>
      </c>
      <c r="D584" s="11">
        <f>Logs_reseau[[#This Row],[Duree_Panne_Min]]/1440</f>
        <v>2.9861111111111113E-2</v>
      </c>
      <c r="E584">
        <v>43</v>
      </c>
      <c r="F584" t="s">
        <v>4</v>
      </c>
      <c r="G584" t="str">
        <f>IFERROR(VLOOKUP(Logs_reseau[[#This Row],[Cell_ID]],'[1]Registre_Maintenance_combine '!A:C,3,FALSE),"Non trouvé")</f>
        <v>Non trouvé</v>
      </c>
      <c r="H584" t="str">
        <f>IFERROR(VLOOKUP(Logs_reseau[[#This Row],[Cell_ID]],'[1]Registre_Maintenance_combine '!A:D,4,FALSE),"Non trouvé")</f>
        <v>Non trouvé</v>
      </c>
      <c r="I584" t="str">
        <f>IFERROR(VLOOKUP(Logs_reseau[[#This Row],[Cell_ID]],'[1]Registre_Maintenance_combine '!A:E,5,FALSE),"Non trouvé")</f>
        <v>Non trouvé</v>
      </c>
      <c r="J584" t="str">
        <f>IFERROR(VLOOKUP(Logs_reseau[[#This Row],[Cell_ID]],'[1]Registre_Maintenance_combine '!A:F,6,FALSE),"Non trouvé")</f>
        <v>Non trouvé</v>
      </c>
    </row>
    <row r="585" spans="1:10" x14ac:dyDescent="0.25">
      <c r="A585" t="str">
        <f>IFERROR(VLOOKUP(Logs_reseau[[#This Row],[Cell_ID]],'[1]Registre_Maintenance_combine '!A:B,2,FALSE),"Non trouvé")</f>
        <v>Non trouvé</v>
      </c>
      <c r="B585" t="s">
        <v>142</v>
      </c>
      <c r="C585" s="3">
        <v>45216.760416666664</v>
      </c>
      <c r="D585" s="11">
        <f>Logs_reseau[[#This Row],[Duree_Panne_Min]]/1440</f>
        <v>1.3194444444444444E-2</v>
      </c>
      <c r="E585">
        <v>19</v>
      </c>
      <c r="F585" t="s">
        <v>1</v>
      </c>
      <c r="G585" t="str">
        <f>IFERROR(VLOOKUP(Logs_reseau[[#This Row],[Cell_ID]],'[1]Registre_Maintenance_combine '!A:C,3,FALSE),"Non trouvé")</f>
        <v>Non trouvé</v>
      </c>
      <c r="H585" t="str">
        <f>IFERROR(VLOOKUP(Logs_reseau[[#This Row],[Cell_ID]],'[1]Registre_Maintenance_combine '!A:D,4,FALSE),"Non trouvé")</f>
        <v>Non trouvé</v>
      </c>
      <c r="I585" t="str">
        <f>IFERROR(VLOOKUP(Logs_reseau[[#This Row],[Cell_ID]],'[1]Registre_Maintenance_combine '!A:E,5,FALSE),"Non trouvé")</f>
        <v>Non trouvé</v>
      </c>
      <c r="J585" t="str">
        <f>IFERROR(VLOOKUP(Logs_reseau[[#This Row],[Cell_ID]],'[1]Registre_Maintenance_combine '!A:F,6,FALSE),"Non trouvé")</f>
        <v>Non trouvé</v>
      </c>
    </row>
    <row r="586" spans="1:10" x14ac:dyDescent="0.25">
      <c r="A586" t="str">
        <f>IFERROR(VLOOKUP(Logs_reseau[[#This Row],[Cell_ID]],'[1]Registre_Maintenance_combine '!A:B,2,FALSE),"Non trouvé")</f>
        <v>Tanganyika</v>
      </c>
      <c r="B586" t="s">
        <v>143</v>
      </c>
      <c r="C586" s="3">
        <v>45216.529861111114</v>
      </c>
      <c r="D586" s="11">
        <f>Logs_reseau[[#This Row],[Duree_Panne_Min]]/1440</f>
        <v>5.4166666666666669E-2</v>
      </c>
      <c r="E586">
        <v>78</v>
      </c>
      <c r="F586" t="s">
        <v>4</v>
      </c>
      <c r="G586">
        <f>IFERROR(VLOOKUP(Logs_reseau[[#This Row],[Cell_ID]],'[1]Registre_Maintenance_combine '!A:C,3,FALSE),"Non trouvé")</f>
        <v>-12.229338</v>
      </c>
      <c r="H586">
        <f>IFERROR(VLOOKUP(Logs_reseau[[#This Row],[Cell_ID]],'[1]Registre_Maintenance_combine '!A:D,4,FALSE),"Non trouvé")</f>
        <v>29.587834999999998</v>
      </c>
      <c r="I586" t="str">
        <f>IFERROR(VLOOKUP(Logs_reseau[[#This Row],[Cell_ID]],'[1]Registre_Maintenance_combine '!A:E,5,FALSE),"Non trouvé")</f>
        <v>4G</v>
      </c>
      <c r="J586" t="str">
        <f>IFERROR(VLOOKUP(Logs_reseau[[#This Row],[Cell_ID]],'[1]Registre_Maintenance_combine '!A:F,6,FALSE),"Non trouvé")</f>
        <v>Nokia</v>
      </c>
    </row>
    <row r="587" spans="1:10" x14ac:dyDescent="0.25">
      <c r="A587" t="str">
        <f>IFERROR(VLOOKUP(Logs_reseau[[#This Row],[Cell_ID]],'[1]Registre_Maintenance_combine '!A:B,2,FALSE),"Non trouvé")</f>
        <v>Tanganyika</v>
      </c>
      <c r="B587" t="s">
        <v>143</v>
      </c>
      <c r="C587" s="3">
        <v>45214.613194444442</v>
      </c>
      <c r="D587" s="11">
        <f>Logs_reseau[[#This Row],[Duree_Panne_Min]]/1440</f>
        <v>1.7361111111111112E-2</v>
      </c>
      <c r="E587">
        <v>25</v>
      </c>
      <c r="F587" t="s">
        <v>1</v>
      </c>
      <c r="G587">
        <f>IFERROR(VLOOKUP(Logs_reseau[[#This Row],[Cell_ID]],'[1]Registre_Maintenance_combine '!A:C,3,FALSE),"Non trouvé")</f>
        <v>-12.229338</v>
      </c>
      <c r="H587">
        <f>IFERROR(VLOOKUP(Logs_reseau[[#This Row],[Cell_ID]],'[1]Registre_Maintenance_combine '!A:D,4,FALSE),"Non trouvé")</f>
        <v>29.587834999999998</v>
      </c>
      <c r="I587" t="str">
        <f>IFERROR(VLOOKUP(Logs_reseau[[#This Row],[Cell_ID]],'[1]Registre_Maintenance_combine '!A:E,5,FALSE),"Non trouvé")</f>
        <v>4G</v>
      </c>
      <c r="J587" t="str">
        <f>IFERROR(VLOOKUP(Logs_reseau[[#This Row],[Cell_ID]],'[1]Registre_Maintenance_combine '!A:F,6,FALSE),"Non trouvé")</f>
        <v>Nokia</v>
      </c>
    </row>
    <row r="588" spans="1:10" x14ac:dyDescent="0.25">
      <c r="A588" t="str">
        <f>IFERROR(VLOOKUP(Logs_reseau[[#This Row],[Cell_ID]],'[1]Registre_Maintenance_combine '!A:B,2,FALSE),"Non trouvé")</f>
        <v>Tanganyika</v>
      </c>
      <c r="B588" t="s">
        <v>143</v>
      </c>
      <c r="C588" s="3">
        <v>45201.468055555553</v>
      </c>
      <c r="D588" s="11">
        <f>Logs_reseau[[#This Row],[Duree_Panne_Min]]/1440</f>
        <v>4.3749999999999997E-2</v>
      </c>
      <c r="E588">
        <v>63</v>
      </c>
      <c r="F588" t="s">
        <v>1</v>
      </c>
      <c r="G588">
        <f>IFERROR(VLOOKUP(Logs_reseau[[#This Row],[Cell_ID]],'[1]Registre_Maintenance_combine '!A:C,3,FALSE),"Non trouvé")</f>
        <v>-12.229338</v>
      </c>
      <c r="H588">
        <f>IFERROR(VLOOKUP(Logs_reseau[[#This Row],[Cell_ID]],'[1]Registre_Maintenance_combine '!A:D,4,FALSE),"Non trouvé")</f>
        <v>29.587834999999998</v>
      </c>
      <c r="I588" t="str">
        <f>IFERROR(VLOOKUP(Logs_reseau[[#This Row],[Cell_ID]],'[1]Registre_Maintenance_combine '!A:E,5,FALSE),"Non trouvé")</f>
        <v>4G</v>
      </c>
      <c r="J588" t="str">
        <f>IFERROR(VLOOKUP(Logs_reseau[[#This Row],[Cell_ID]],'[1]Registre_Maintenance_combine '!A:F,6,FALSE),"Non trouvé")</f>
        <v>Nokia</v>
      </c>
    </row>
    <row r="589" spans="1:10" x14ac:dyDescent="0.25">
      <c r="A589" t="str">
        <f>IFERROR(VLOOKUP(Logs_reseau[[#This Row],[Cell_ID]],'[1]Registre_Maintenance_combine '!A:B,2,FALSE),"Non trouvé")</f>
        <v>Tanganyika</v>
      </c>
      <c r="B589" t="s">
        <v>143</v>
      </c>
      <c r="C589" s="3">
        <v>45200.675000000003</v>
      </c>
      <c r="D589" s="11">
        <f>Logs_reseau[[#This Row],[Duree_Panne_Min]]/1440</f>
        <v>7.5694444444444439E-2</v>
      </c>
      <c r="E589">
        <v>109</v>
      </c>
      <c r="F589" t="s">
        <v>1</v>
      </c>
      <c r="G589">
        <f>IFERROR(VLOOKUP(Logs_reseau[[#This Row],[Cell_ID]],'[1]Registre_Maintenance_combine '!A:C,3,FALSE),"Non trouvé")</f>
        <v>-12.229338</v>
      </c>
      <c r="H589">
        <f>IFERROR(VLOOKUP(Logs_reseau[[#This Row],[Cell_ID]],'[1]Registre_Maintenance_combine '!A:D,4,FALSE),"Non trouvé")</f>
        <v>29.587834999999998</v>
      </c>
      <c r="I589" t="str">
        <f>IFERROR(VLOOKUP(Logs_reseau[[#This Row],[Cell_ID]],'[1]Registre_Maintenance_combine '!A:E,5,FALSE),"Non trouvé")</f>
        <v>4G</v>
      </c>
      <c r="J589" t="str">
        <f>IFERROR(VLOOKUP(Logs_reseau[[#This Row],[Cell_ID]],'[1]Registre_Maintenance_combine '!A:F,6,FALSE),"Non trouvé")</f>
        <v>Nokia</v>
      </c>
    </row>
    <row r="590" spans="1:10" x14ac:dyDescent="0.25">
      <c r="A590" t="str">
        <f>IFERROR(VLOOKUP(Logs_reseau[[#This Row],[Cell_ID]],'[1]Registre_Maintenance_combine '!A:B,2,FALSE),"Non trouvé")</f>
        <v>Tanganyika</v>
      </c>
      <c r="B590" t="s">
        <v>143</v>
      </c>
      <c r="C590" s="3">
        <v>45216.852777777778</v>
      </c>
      <c r="D590" s="11">
        <f>Logs_reseau[[#This Row],[Duree_Panne_Min]]/1440</f>
        <v>2.0833333333333332E-2</v>
      </c>
      <c r="E590">
        <v>30</v>
      </c>
      <c r="F590" t="s">
        <v>1</v>
      </c>
      <c r="G590">
        <f>IFERROR(VLOOKUP(Logs_reseau[[#This Row],[Cell_ID]],'[1]Registre_Maintenance_combine '!A:C,3,FALSE),"Non trouvé")</f>
        <v>-12.229338</v>
      </c>
      <c r="H590">
        <f>IFERROR(VLOOKUP(Logs_reseau[[#This Row],[Cell_ID]],'[1]Registre_Maintenance_combine '!A:D,4,FALSE),"Non trouvé")</f>
        <v>29.587834999999998</v>
      </c>
      <c r="I590" t="str">
        <f>IFERROR(VLOOKUP(Logs_reseau[[#This Row],[Cell_ID]],'[1]Registre_Maintenance_combine '!A:E,5,FALSE),"Non trouvé")</f>
        <v>4G</v>
      </c>
      <c r="J590" t="str">
        <f>IFERROR(VLOOKUP(Logs_reseau[[#This Row],[Cell_ID]],'[1]Registre_Maintenance_combine '!A:F,6,FALSE),"Non trouvé")</f>
        <v>Nokia</v>
      </c>
    </row>
    <row r="591" spans="1:10" x14ac:dyDescent="0.25">
      <c r="A591" t="str">
        <f>IFERROR(VLOOKUP(Logs_reseau[[#This Row],[Cell_ID]],'[1]Registre_Maintenance_combine '!A:B,2,FALSE),"Non trouvé")</f>
        <v>Tanganyika</v>
      </c>
      <c r="B591" t="s">
        <v>143</v>
      </c>
      <c r="C591" s="3">
        <v>45206.927083333336</v>
      </c>
      <c r="D591" s="11">
        <f>Logs_reseau[[#This Row],[Duree_Panne_Min]]/1440</f>
        <v>3.0555555555555555E-2</v>
      </c>
      <c r="E591">
        <v>44</v>
      </c>
      <c r="F591" t="s">
        <v>4</v>
      </c>
      <c r="G591">
        <f>IFERROR(VLOOKUP(Logs_reseau[[#This Row],[Cell_ID]],'[1]Registre_Maintenance_combine '!A:C,3,FALSE),"Non trouvé")</f>
        <v>-12.229338</v>
      </c>
      <c r="H591">
        <f>IFERROR(VLOOKUP(Logs_reseau[[#This Row],[Cell_ID]],'[1]Registre_Maintenance_combine '!A:D,4,FALSE),"Non trouvé")</f>
        <v>29.587834999999998</v>
      </c>
      <c r="I591" t="str">
        <f>IFERROR(VLOOKUP(Logs_reseau[[#This Row],[Cell_ID]],'[1]Registre_Maintenance_combine '!A:E,5,FALSE),"Non trouvé")</f>
        <v>4G</v>
      </c>
      <c r="J591" t="str">
        <f>IFERROR(VLOOKUP(Logs_reseau[[#This Row],[Cell_ID]],'[1]Registre_Maintenance_combine '!A:F,6,FALSE),"Non trouvé")</f>
        <v>Nokia</v>
      </c>
    </row>
    <row r="592" spans="1:10" x14ac:dyDescent="0.25">
      <c r="A592" t="str">
        <f>IFERROR(VLOOKUP(Logs_reseau[[#This Row],[Cell_ID]],'[1]Registre_Maintenance_combine '!A:B,2,FALSE),"Non trouvé")</f>
        <v>Tanganyika</v>
      </c>
      <c r="B592" t="s">
        <v>143</v>
      </c>
      <c r="C592" s="3">
        <v>45216.745138888888</v>
      </c>
      <c r="D592" s="11">
        <f>Logs_reseau[[#This Row],[Duree_Panne_Min]]/1440</f>
        <v>6.0416666666666667E-2</v>
      </c>
      <c r="E592">
        <v>87</v>
      </c>
      <c r="F592" t="s">
        <v>4</v>
      </c>
      <c r="G592">
        <f>IFERROR(VLOOKUP(Logs_reseau[[#This Row],[Cell_ID]],'[1]Registre_Maintenance_combine '!A:C,3,FALSE),"Non trouvé")</f>
        <v>-12.229338</v>
      </c>
      <c r="H592">
        <f>IFERROR(VLOOKUP(Logs_reseau[[#This Row],[Cell_ID]],'[1]Registre_Maintenance_combine '!A:D,4,FALSE),"Non trouvé")</f>
        <v>29.587834999999998</v>
      </c>
      <c r="I592" t="str">
        <f>IFERROR(VLOOKUP(Logs_reseau[[#This Row],[Cell_ID]],'[1]Registre_Maintenance_combine '!A:E,5,FALSE),"Non trouvé")</f>
        <v>4G</v>
      </c>
      <c r="J592" t="str">
        <f>IFERROR(VLOOKUP(Logs_reseau[[#This Row],[Cell_ID]],'[1]Registre_Maintenance_combine '!A:F,6,FALSE),"Non trouvé")</f>
        <v>Nokia</v>
      </c>
    </row>
    <row r="593" spans="1:10" x14ac:dyDescent="0.25">
      <c r="A593" t="str">
        <f>IFERROR(VLOOKUP(Logs_reseau[[#This Row],[Cell_ID]],'[1]Registre_Maintenance_combine '!A:B,2,FALSE),"Non trouvé")</f>
        <v>Maniema</v>
      </c>
      <c r="B593" t="s">
        <v>144</v>
      </c>
      <c r="C593" s="3">
        <v>45207.102777777778</v>
      </c>
      <c r="D593" s="11">
        <f>Logs_reseau[[#This Row],[Duree_Panne_Min]]/1440</f>
        <v>2.7777777777777776E-2</v>
      </c>
      <c r="E593">
        <v>40</v>
      </c>
      <c r="F593" t="s">
        <v>1</v>
      </c>
      <c r="G593">
        <f>IFERROR(VLOOKUP(Logs_reseau[[#This Row],[Cell_ID]],'[1]Registre_Maintenance_combine '!A:C,3,FALSE),"Non trouvé")</f>
        <v>4.8228650000000002</v>
      </c>
      <c r="H593">
        <f>IFERROR(VLOOKUP(Logs_reseau[[#This Row],[Cell_ID]],'[1]Registre_Maintenance_combine '!A:D,4,FALSE),"Non trouvé")</f>
        <v>30.555627000000001</v>
      </c>
      <c r="I593" t="str">
        <f>IFERROR(VLOOKUP(Logs_reseau[[#This Row],[Cell_ID]],'[1]Registre_Maintenance_combine '!A:E,5,FALSE),"Non trouvé")</f>
        <v>4G</v>
      </c>
      <c r="J593" t="str">
        <f>IFERROR(VLOOKUP(Logs_reseau[[#This Row],[Cell_ID]],'[1]Registre_Maintenance_combine '!A:F,6,FALSE),"Non trouvé")</f>
        <v>Huawei</v>
      </c>
    </row>
    <row r="594" spans="1:10" x14ac:dyDescent="0.25">
      <c r="A594" t="str">
        <f>IFERROR(VLOOKUP(Logs_reseau[[#This Row],[Cell_ID]],'[1]Registre_Maintenance_combine '!A:B,2,FALSE),"Non trouvé")</f>
        <v>Maniema</v>
      </c>
      <c r="B594" t="s">
        <v>144</v>
      </c>
      <c r="C594" s="3">
        <v>45201.224999999999</v>
      </c>
      <c r="D594" s="11">
        <f>Logs_reseau[[#This Row],[Duree_Panne_Min]]/1440</f>
        <v>4.9305555555555554E-2</v>
      </c>
      <c r="E594">
        <v>71</v>
      </c>
      <c r="F594" t="s">
        <v>4</v>
      </c>
      <c r="G594">
        <f>IFERROR(VLOOKUP(Logs_reseau[[#This Row],[Cell_ID]],'[1]Registre_Maintenance_combine '!A:C,3,FALSE),"Non trouvé")</f>
        <v>4.8228650000000002</v>
      </c>
      <c r="H594">
        <f>IFERROR(VLOOKUP(Logs_reseau[[#This Row],[Cell_ID]],'[1]Registre_Maintenance_combine '!A:D,4,FALSE),"Non trouvé")</f>
        <v>30.555627000000001</v>
      </c>
      <c r="I594" t="str">
        <f>IFERROR(VLOOKUP(Logs_reseau[[#This Row],[Cell_ID]],'[1]Registre_Maintenance_combine '!A:E,5,FALSE),"Non trouvé")</f>
        <v>4G</v>
      </c>
      <c r="J594" t="str">
        <f>IFERROR(VLOOKUP(Logs_reseau[[#This Row],[Cell_ID]],'[1]Registre_Maintenance_combine '!A:F,6,FALSE),"Non trouvé")</f>
        <v>Huawei</v>
      </c>
    </row>
    <row r="595" spans="1:10" x14ac:dyDescent="0.25">
      <c r="A595" t="str">
        <f>IFERROR(VLOOKUP(Logs_reseau[[#This Row],[Cell_ID]],'[1]Registre_Maintenance_combine '!A:B,2,FALSE),"Non trouvé")</f>
        <v>Maniema</v>
      </c>
      <c r="B595" t="s">
        <v>144</v>
      </c>
      <c r="C595" s="3">
        <v>45206.677777777775</v>
      </c>
      <c r="D595" s="11">
        <f>Logs_reseau[[#This Row],[Duree_Panne_Min]]/1440</f>
        <v>6.25E-2</v>
      </c>
      <c r="E595">
        <v>90</v>
      </c>
      <c r="F595" t="s">
        <v>4</v>
      </c>
      <c r="G595">
        <f>IFERROR(VLOOKUP(Logs_reseau[[#This Row],[Cell_ID]],'[1]Registre_Maintenance_combine '!A:C,3,FALSE),"Non trouvé")</f>
        <v>4.8228650000000002</v>
      </c>
      <c r="H595">
        <f>IFERROR(VLOOKUP(Logs_reseau[[#This Row],[Cell_ID]],'[1]Registre_Maintenance_combine '!A:D,4,FALSE),"Non trouvé")</f>
        <v>30.555627000000001</v>
      </c>
      <c r="I595" t="str">
        <f>IFERROR(VLOOKUP(Logs_reseau[[#This Row],[Cell_ID]],'[1]Registre_Maintenance_combine '!A:E,5,FALSE),"Non trouvé")</f>
        <v>4G</v>
      </c>
      <c r="J595" t="str">
        <f>IFERROR(VLOOKUP(Logs_reseau[[#This Row],[Cell_ID]],'[1]Registre_Maintenance_combine '!A:F,6,FALSE),"Non trouvé")</f>
        <v>Huawei</v>
      </c>
    </row>
    <row r="596" spans="1:10" x14ac:dyDescent="0.25">
      <c r="A596" t="str">
        <f>IFERROR(VLOOKUP(Logs_reseau[[#This Row],[Cell_ID]],'[1]Registre_Maintenance_combine '!A:B,2,FALSE),"Non trouvé")</f>
        <v>Maniema</v>
      </c>
      <c r="B596" t="s">
        <v>144</v>
      </c>
      <c r="C596" s="3">
        <v>45226.012499999997</v>
      </c>
      <c r="D596" s="11">
        <f>Logs_reseau[[#This Row],[Duree_Panne_Min]]/1440</f>
        <v>7.5694444444444439E-2</v>
      </c>
      <c r="E596">
        <v>109</v>
      </c>
      <c r="F596" t="s">
        <v>2</v>
      </c>
      <c r="G596">
        <f>IFERROR(VLOOKUP(Logs_reseau[[#This Row],[Cell_ID]],'[1]Registre_Maintenance_combine '!A:C,3,FALSE),"Non trouvé")</f>
        <v>4.8228650000000002</v>
      </c>
      <c r="H596">
        <f>IFERROR(VLOOKUP(Logs_reseau[[#This Row],[Cell_ID]],'[1]Registre_Maintenance_combine '!A:D,4,FALSE),"Non trouvé")</f>
        <v>30.555627000000001</v>
      </c>
      <c r="I596" t="str">
        <f>IFERROR(VLOOKUP(Logs_reseau[[#This Row],[Cell_ID]],'[1]Registre_Maintenance_combine '!A:E,5,FALSE),"Non trouvé")</f>
        <v>4G</v>
      </c>
      <c r="J596" t="str">
        <f>IFERROR(VLOOKUP(Logs_reseau[[#This Row],[Cell_ID]],'[1]Registre_Maintenance_combine '!A:F,6,FALSE),"Non trouvé")</f>
        <v>Huawei</v>
      </c>
    </row>
    <row r="597" spans="1:10" x14ac:dyDescent="0.25">
      <c r="A597" t="str">
        <f>IFERROR(VLOOKUP(Logs_reseau[[#This Row],[Cell_ID]],'[1]Registre_Maintenance_combine '!A:B,2,FALSE),"Non trouvé")</f>
        <v>Maniema</v>
      </c>
      <c r="B597" t="s">
        <v>144</v>
      </c>
      <c r="C597" s="3">
        <v>45223.411805555559</v>
      </c>
      <c r="D597" s="11">
        <f>Logs_reseau[[#This Row],[Duree_Panne_Min]]/1440</f>
        <v>4.8611111111111112E-3</v>
      </c>
      <c r="E597">
        <v>7</v>
      </c>
      <c r="F597" t="s">
        <v>2</v>
      </c>
      <c r="G597">
        <f>IFERROR(VLOOKUP(Logs_reseau[[#This Row],[Cell_ID]],'[1]Registre_Maintenance_combine '!A:C,3,FALSE),"Non trouvé")</f>
        <v>4.8228650000000002</v>
      </c>
      <c r="H597">
        <f>IFERROR(VLOOKUP(Logs_reseau[[#This Row],[Cell_ID]],'[1]Registre_Maintenance_combine '!A:D,4,FALSE),"Non trouvé")</f>
        <v>30.555627000000001</v>
      </c>
      <c r="I597" t="str">
        <f>IFERROR(VLOOKUP(Logs_reseau[[#This Row],[Cell_ID]],'[1]Registre_Maintenance_combine '!A:E,5,FALSE),"Non trouvé")</f>
        <v>4G</v>
      </c>
      <c r="J597" t="str">
        <f>IFERROR(VLOOKUP(Logs_reseau[[#This Row],[Cell_ID]],'[1]Registre_Maintenance_combine '!A:F,6,FALSE),"Non trouvé")</f>
        <v>Huawei</v>
      </c>
    </row>
    <row r="598" spans="1:10" x14ac:dyDescent="0.25">
      <c r="A598" t="str">
        <f>IFERROR(VLOOKUP(Logs_reseau[[#This Row],[Cell_ID]],'[1]Registre_Maintenance_combine '!A:B,2,FALSE),"Non trouvé")</f>
        <v>Maniema</v>
      </c>
      <c r="B598" t="s">
        <v>144</v>
      </c>
      <c r="C598" s="3">
        <v>45221.349305555559</v>
      </c>
      <c r="D598" s="11">
        <f>Logs_reseau[[#This Row],[Duree_Panne_Min]]/1440</f>
        <v>1.1805555555555555E-2</v>
      </c>
      <c r="E598">
        <v>17</v>
      </c>
      <c r="F598" t="s">
        <v>2</v>
      </c>
      <c r="G598">
        <f>IFERROR(VLOOKUP(Logs_reseau[[#This Row],[Cell_ID]],'[1]Registre_Maintenance_combine '!A:C,3,FALSE),"Non trouvé")</f>
        <v>4.8228650000000002</v>
      </c>
      <c r="H598">
        <f>IFERROR(VLOOKUP(Logs_reseau[[#This Row],[Cell_ID]],'[1]Registre_Maintenance_combine '!A:D,4,FALSE),"Non trouvé")</f>
        <v>30.555627000000001</v>
      </c>
      <c r="I598" t="str">
        <f>IFERROR(VLOOKUP(Logs_reseau[[#This Row],[Cell_ID]],'[1]Registre_Maintenance_combine '!A:E,5,FALSE),"Non trouvé")</f>
        <v>4G</v>
      </c>
      <c r="J598" t="str">
        <f>IFERROR(VLOOKUP(Logs_reseau[[#This Row],[Cell_ID]],'[1]Registre_Maintenance_combine '!A:F,6,FALSE),"Non trouvé")</f>
        <v>Huawei</v>
      </c>
    </row>
    <row r="599" spans="1:10" x14ac:dyDescent="0.25">
      <c r="A599" t="str">
        <f>IFERROR(VLOOKUP(Logs_reseau[[#This Row],[Cell_ID]],'[1]Registre_Maintenance_combine '!A:B,2,FALSE),"Non trouvé")</f>
        <v>Maniema</v>
      </c>
      <c r="B599" t="s">
        <v>144</v>
      </c>
      <c r="C599" s="3">
        <v>45228.240277777775</v>
      </c>
      <c r="D599" s="11">
        <f>Logs_reseau[[#This Row],[Duree_Panne_Min]]/1440</f>
        <v>1.5277777777777777E-2</v>
      </c>
      <c r="E599">
        <v>22</v>
      </c>
      <c r="F599" t="s">
        <v>4</v>
      </c>
      <c r="G599">
        <f>IFERROR(VLOOKUP(Logs_reseau[[#This Row],[Cell_ID]],'[1]Registre_Maintenance_combine '!A:C,3,FALSE),"Non trouvé")</f>
        <v>4.8228650000000002</v>
      </c>
      <c r="H599">
        <f>IFERROR(VLOOKUP(Logs_reseau[[#This Row],[Cell_ID]],'[1]Registre_Maintenance_combine '!A:D,4,FALSE),"Non trouvé")</f>
        <v>30.555627000000001</v>
      </c>
      <c r="I599" t="str">
        <f>IFERROR(VLOOKUP(Logs_reseau[[#This Row],[Cell_ID]],'[1]Registre_Maintenance_combine '!A:E,5,FALSE),"Non trouvé")</f>
        <v>4G</v>
      </c>
      <c r="J599" t="str">
        <f>IFERROR(VLOOKUP(Logs_reseau[[#This Row],[Cell_ID]],'[1]Registre_Maintenance_combine '!A:F,6,FALSE),"Non trouvé")</f>
        <v>Huawei</v>
      </c>
    </row>
    <row r="600" spans="1:10" x14ac:dyDescent="0.25">
      <c r="A600" t="str">
        <f>IFERROR(VLOOKUP(Logs_reseau[[#This Row],[Cell_ID]],'[1]Registre_Maintenance_combine '!A:B,2,FALSE),"Non trouvé")</f>
        <v>Tanganyika</v>
      </c>
      <c r="B600" t="s">
        <v>145</v>
      </c>
      <c r="C600" s="3">
        <v>45224.083333333336</v>
      </c>
      <c r="D600" s="11">
        <f>Logs_reseau[[#This Row],[Duree_Panne_Min]]/1440</f>
        <v>6.3888888888888884E-2</v>
      </c>
      <c r="E600">
        <v>92</v>
      </c>
      <c r="F600" t="s">
        <v>1</v>
      </c>
      <c r="G600">
        <f>IFERROR(VLOOKUP(Logs_reseau[[#This Row],[Cell_ID]],'[1]Registre_Maintenance_combine '!A:C,3,FALSE),"Non trouvé")</f>
        <v>-12.824638999999999</v>
      </c>
      <c r="H600">
        <f>IFERROR(VLOOKUP(Logs_reseau[[#This Row],[Cell_ID]],'[1]Registre_Maintenance_combine '!A:D,4,FALSE),"Non trouvé")</f>
        <v>24.407249</v>
      </c>
      <c r="I600" t="str">
        <f>IFERROR(VLOOKUP(Logs_reseau[[#This Row],[Cell_ID]],'[1]Registre_Maintenance_combine '!A:E,5,FALSE),"Non trouvé")</f>
        <v>5G</v>
      </c>
      <c r="J600" t="str">
        <f>IFERROR(VLOOKUP(Logs_reseau[[#This Row],[Cell_ID]],'[1]Registre_Maintenance_combine '!A:F,6,FALSE),"Non trouvé")</f>
        <v>Huawei</v>
      </c>
    </row>
    <row r="601" spans="1:10" x14ac:dyDescent="0.25">
      <c r="A601" t="str">
        <f>IFERROR(VLOOKUP(Logs_reseau[[#This Row],[Cell_ID]],'[1]Registre_Maintenance_combine '!A:B,2,FALSE),"Non trouvé")</f>
        <v>Tanganyika</v>
      </c>
      <c r="B601" t="s">
        <v>145</v>
      </c>
      <c r="C601" s="3">
        <v>45211.279861111114</v>
      </c>
      <c r="D601" s="11">
        <f>Logs_reseau[[#This Row],[Duree_Panne_Min]]/1440</f>
        <v>5.2083333333333336E-2</v>
      </c>
      <c r="E601">
        <v>75</v>
      </c>
      <c r="F601" t="s">
        <v>4</v>
      </c>
      <c r="G601">
        <f>IFERROR(VLOOKUP(Logs_reseau[[#This Row],[Cell_ID]],'[1]Registre_Maintenance_combine '!A:C,3,FALSE),"Non trouvé")</f>
        <v>-12.824638999999999</v>
      </c>
      <c r="H601">
        <f>IFERROR(VLOOKUP(Logs_reseau[[#This Row],[Cell_ID]],'[1]Registre_Maintenance_combine '!A:D,4,FALSE),"Non trouvé")</f>
        <v>24.407249</v>
      </c>
      <c r="I601" t="str">
        <f>IFERROR(VLOOKUP(Logs_reseau[[#This Row],[Cell_ID]],'[1]Registre_Maintenance_combine '!A:E,5,FALSE),"Non trouvé")</f>
        <v>5G</v>
      </c>
      <c r="J601" t="str">
        <f>IFERROR(VLOOKUP(Logs_reseau[[#This Row],[Cell_ID]],'[1]Registre_Maintenance_combine '!A:F,6,FALSE),"Non trouvé")</f>
        <v>Huawei</v>
      </c>
    </row>
    <row r="602" spans="1:10" x14ac:dyDescent="0.25">
      <c r="A602" t="str">
        <f>IFERROR(VLOOKUP(Logs_reseau[[#This Row],[Cell_ID]],'[1]Registre_Maintenance_combine '!A:B,2,FALSE),"Non trouvé")</f>
        <v>Tanganyika</v>
      </c>
      <c r="B602" t="s">
        <v>145</v>
      </c>
      <c r="C602" s="3">
        <v>45202.659722222219</v>
      </c>
      <c r="D602" s="11">
        <f>Logs_reseau[[#This Row],[Duree_Panne_Min]]/1440</f>
        <v>7.2222222222222215E-2</v>
      </c>
      <c r="E602">
        <v>104</v>
      </c>
      <c r="F602" t="s">
        <v>2</v>
      </c>
      <c r="G602">
        <f>IFERROR(VLOOKUP(Logs_reseau[[#This Row],[Cell_ID]],'[1]Registre_Maintenance_combine '!A:C,3,FALSE),"Non trouvé")</f>
        <v>-12.824638999999999</v>
      </c>
      <c r="H602">
        <f>IFERROR(VLOOKUP(Logs_reseau[[#This Row],[Cell_ID]],'[1]Registre_Maintenance_combine '!A:D,4,FALSE),"Non trouvé")</f>
        <v>24.407249</v>
      </c>
      <c r="I602" t="str">
        <f>IFERROR(VLOOKUP(Logs_reseau[[#This Row],[Cell_ID]],'[1]Registre_Maintenance_combine '!A:E,5,FALSE),"Non trouvé")</f>
        <v>5G</v>
      </c>
      <c r="J602" t="str">
        <f>IFERROR(VLOOKUP(Logs_reseau[[#This Row],[Cell_ID]],'[1]Registre_Maintenance_combine '!A:F,6,FALSE),"Non trouvé")</f>
        <v>Huawei</v>
      </c>
    </row>
    <row r="603" spans="1:10" x14ac:dyDescent="0.25">
      <c r="A603" t="str">
        <f>IFERROR(VLOOKUP(Logs_reseau[[#This Row],[Cell_ID]],'[1]Registre_Maintenance_combine '!A:B,2,FALSE),"Non trouvé")</f>
        <v>Tanganyika</v>
      </c>
      <c r="B603" t="s">
        <v>145</v>
      </c>
      <c r="C603" s="3">
        <v>45213.020138888889</v>
      </c>
      <c r="D603" s="11">
        <f>Logs_reseau[[#This Row],[Duree_Panne_Min]]/1440</f>
        <v>4.7222222222222221E-2</v>
      </c>
      <c r="E603">
        <v>68</v>
      </c>
      <c r="F603" t="s">
        <v>1</v>
      </c>
      <c r="G603">
        <f>IFERROR(VLOOKUP(Logs_reseau[[#This Row],[Cell_ID]],'[1]Registre_Maintenance_combine '!A:C,3,FALSE),"Non trouvé")</f>
        <v>-12.824638999999999</v>
      </c>
      <c r="H603">
        <f>IFERROR(VLOOKUP(Logs_reseau[[#This Row],[Cell_ID]],'[1]Registre_Maintenance_combine '!A:D,4,FALSE),"Non trouvé")</f>
        <v>24.407249</v>
      </c>
      <c r="I603" t="str">
        <f>IFERROR(VLOOKUP(Logs_reseau[[#This Row],[Cell_ID]],'[1]Registre_Maintenance_combine '!A:E,5,FALSE),"Non trouvé")</f>
        <v>5G</v>
      </c>
      <c r="J603" t="str">
        <f>IFERROR(VLOOKUP(Logs_reseau[[#This Row],[Cell_ID]],'[1]Registre_Maintenance_combine '!A:F,6,FALSE),"Non trouvé")</f>
        <v>Huawei</v>
      </c>
    </row>
    <row r="604" spans="1:10" x14ac:dyDescent="0.25">
      <c r="A604" t="str">
        <f>IFERROR(VLOOKUP(Logs_reseau[[#This Row],[Cell_ID]],'[1]Registre_Maintenance_combine '!A:B,2,FALSE),"Non trouvé")</f>
        <v>Tanganyika</v>
      </c>
      <c r="B604" t="s">
        <v>145</v>
      </c>
      <c r="C604" s="3">
        <v>45211.749305555553</v>
      </c>
      <c r="D604" s="11">
        <f>Logs_reseau[[#This Row],[Duree_Panne_Min]]/1440</f>
        <v>2.2222222222222223E-2</v>
      </c>
      <c r="E604">
        <v>32</v>
      </c>
      <c r="F604" t="s">
        <v>1</v>
      </c>
      <c r="G604">
        <f>IFERROR(VLOOKUP(Logs_reseau[[#This Row],[Cell_ID]],'[1]Registre_Maintenance_combine '!A:C,3,FALSE),"Non trouvé")</f>
        <v>-12.824638999999999</v>
      </c>
      <c r="H604">
        <f>IFERROR(VLOOKUP(Logs_reseau[[#This Row],[Cell_ID]],'[1]Registre_Maintenance_combine '!A:D,4,FALSE),"Non trouvé")</f>
        <v>24.407249</v>
      </c>
      <c r="I604" t="str">
        <f>IFERROR(VLOOKUP(Logs_reseau[[#This Row],[Cell_ID]],'[1]Registre_Maintenance_combine '!A:E,5,FALSE),"Non trouvé")</f>
        <v>5G</v>
      </c>
      <c r="J604" t="str">
        <f>IFERROR(VLOOKUP(Logs_reseau[[#This Row],[Cell_ID]],'[1]Registre_Maintenance_combine '!A:F,6,FALSE),"Non trouvé")</f>
        <v>Huawei</v>
      </c>
    </row>
    <row r="605" spans="1:10" x14ac:dyDescent="0.25">
      <c r="A605" t="str">
        <f>IFERROR(VLOOKUP(Logs_reseau[[#This Row],[Cell_ID]],'[1]Registre_Maintenance_combine '!A:B,2,FALSE),"Non trouvé")</f>
        <v>Non trouvé</v>
      </c>
      <c r="B605" t="s">
        <v>146</v>
      </c>
      <c r="C605" s="3">
        <v>45205.816666666666</v>
      </c>
      <c r="D605" s="11">
        <f>Logs_reseau[[#This Row],[Duree_Panne_Min]]/1440</f>
        <v>7.7083333333333337E-2</v>
      </c>
      <c r="E605">
        <v>111</v>
      </c>
      <c r="F605" t="s">
        <v>2</v>
      </c>
      <c r="G605" t="str">
        <f>IFERROR(VLOOKUP(Logs_reseau[[#This Row],[Cell_ID]],'[1]Registre_Maintenance_combine '!A:C,3,FALSE),"Non trouvé")</f>
        <v>Non trouvé</v>
      </c>
      <c r="H605" t="str">
        <f>IFERROR(VLOOKUP(Logs_reseau[[#This Row],[Cell_ID]],'[1]Registre_Maintenance_combine '!A:D,4,FALSE),"Non trouvé")</f>
        <v>Non trouvé</v>
      </c>
      <c r="I605" t="str">
        <f>IFERROR(VLOOKUP(Logs_reseau[[#This Row],[Cell_ID]],'[1]Registre_Maintenance_combine '!A:E,5,FALSE),"Non trouvé")</f>
        <v>Non trouvé</v>
      </c>
      <c r="J605" t="str">
        <f>IFERROR(VLOOKUP(Logs_reseau[[#This Row],[Cell_ID]],'[1]Registre_Maintenance_combine '!A:F,6,FALSE),"Non trouvé")</f>
        <v>Non trouvé</v>
      </c>
    </row>
    <row r="606" spans="1:10" x14ac:dyDescent="0.25">
      <c r="A606" t="str">
        <f>IFERROR(VLOOKUP(Logs_reseau[[#This Row],[Cell_ID]],'[1]Registre_Maintenance_combine '!A:B,2,FALSE),"Non trouvé")</f>
        <v>Non trouvé</v>
      </c>
      <c r="B606" t="s">
        <v>146</v>
      </c>
      <c r="C606" s="3">
        <v>45208.82708333333</v>
      </c>
      <c r="D606" s="11">
        <f>Logs_reseau[[#This Row],[Duree_Panne_Min]]/1440</f>
        <v>2.7083333333333334E-2</v>
      </c>
      <c r="E606">
        <v>39</v>
      </c>
      <c r="F606" t="s">
        <v>1</v>
      </c>
      <c r="G606" t="str">
        <f>IFERROR(VLOOKUP(Logs_reseau[[#This Row],[Cell_ID]],'[1]Registre_Maintenance_combine '!A:C,3,FALSE),"Non trouvé")</f>
        <v>Non trouvé</v>
      </c>
      <c r="H606" t="str">
        <f>IFERROR(VLOOKUP(Logs_reseau[[#This Row],[Cell_ID]],'[1]Registre_Maintenance_combine '!A:D,4,FALSE),"Non trouvé")</f>
        <v>Non trouvé</v>
      </c>
      <c r="I606" t="str">
        <f>IFERROR(VLOOKUP(Logs_reseau[[#This Row],[Cell_ID]],'[1]Registre_Maintenance_combine '!A:E,5,FALSE),"Non trouvé")</f>
        <v>Non trouvé</v>
      </c>
      <c r="J606" t="str">
        <f>IFERROR(VLOOKUP(Logs_reseau[[#This Row],[Cell_ID]],'[1]Registre_Maintenance_combine '!A:F,6,FALSE),"Non trouvé")</f>
        <v>Non trouvé</v>
      </c>
    </row>
    <row r="607" spans="1:10" x14ac:dyDescent="0.25">
      <c r="A607" t="str">
        <f>IFERROR(VLOOKUP(Logs_reseau[[#This Row],[Cell_ID]],'[1]Registre_Maintenance_combine '!A:B,2,FALSE),"Non trouvé")</f>
        <v>Non trouvé</v>
      </c>
      <c r="B607" t="s">
        <v>146</v>
      </c>
      <c r="C607" s="3">
        <v>45210.488888888889</v>
      </c>
      <c r="D607" s="11">
        <f>Logs_reseau[[#This Row],[Duree_Panne_Min]]/1440</f>
        <v>8.1250000000000003E-2</v>
      </c>
      <c r="E607">
        <v>117</v>
      </c>
      <c r="F607" t="s">
        <v>1</v>
      </c>
      <c r="G607" t="str">
        <f>IFERROR(VLOOKUP(Logs_reseau[[#This Row],[Cell_ID]],'[1]Registre_Maintenance_combine '!A:C,3,FALSE),"Non trouvé")</f>
        <v>Non trouvé</v>
      </c>
      <c r="H607" t="str">
        <f>IFERROR(VLOOKUP(Logs_reseau[[#This Row],[Cell_ID]],'[1]Registre_Maintenance_combine '!A:D,4,FALSE),"Non trouvé")</f>
        <v>Non trouvé</v>
      </c>
      <c r="I607" t="str">
        <f>IFERROR(VLOOKUP(Logs_reseau[[#This Row],[Cell_ID]],'[1]Registre_Maintenance_combine '!A:E,5,FALSE),"Non trouvé")</f>
        <v>Non trouvé</v>
      </c>
      <c r="J607" t="str">
        <f>IFERROR(VLOOKUP(Logs_reseau[[#This Row],[Cell_ID]],'[1]Registre_Maintenance_combine '!A:F,6,FALSE),"Non trouvé")</f>
        <v>Non trouvé</v>
      </c>
    </row>
    <row r="608" spans="1:10" x14ac:dyDescent="0.25">
      <c r="A608" t="str">
        <f>IFERROR(VLOOKUP(Logs_reseau[[#This Row],[Cell_ID]],'[1]Registre_Maintenance_combine '!A:B,2,FALSE),"Non trouvé")</f>
        <v>Non trouvé</v>
      </c>
      <c r="B608" t="s">
        <v>146</v>
      </c>
      <c r="C608" s="3">
        <v>45222.194444444445</v>
      </c>
      <c r="D608" s="11">
        <f>Logs_reseau[[#This Row],[Duree_Panne_Min]]/1440</f>
        <v>4.7222222222222221E-2</v>
      </c>
      <c r="E608">
        <v>68</v>
      </c>
      <c r="F608" t="s">
        <v>2</v>
      </c>
      <c r="G608" t="str">
        <f>IFERROR(VLOOKUP(Logs_reseau[[#This Row],[Cell_ID]],'[1]Registre_Maintenance_combine '!A:C,3,FALSE),"Non trouvé")</f>
        <v>Non trouvé</v>
      </c>
      <c r="H608" t="str">
        <f>IFERROR(VLOOKUP(Logs_reseau[[#This Row],[Cell_ID]],'[1]Registre_Maintenance_combine '!A:D,4,FALSE),"Non trouvé")</f>
        <v>Non trouvé</v>
      </c>
      <c r="I608" t="str">
        <f>IFERROR(VLOOKUP(Logs_reseau[[#This Row],[Cell_ID]],'[1]Registre_Maintenance_combine '!A:E,5,FALSE),"Non trouvé")</f>
        <v>Non trouvé</v>
      </c>
      <c r="J608" t="str">
        <f>IFERROR(VLOOKUP(Logs_reseau[[#This Row],[Cell_ID]],'[1]Registre_Maintenance_combine '!A:F,6,FALSE),"Non trouvé")</f>
        <v>Non trouvé</v>
      </c>
    </row>
    <row r="609" spans="1:10" x14ac:dyDescent="0.25">
      <c r="A609" t="str">
        <f>IFERROR(VLOOKUP(Logs_reseau[[#This Row],[Cell_ID]],'[1]Registre_Maintenance_combine '!A:B,2,FALSE),"Non trouvé")</f>
        <v>Non trouvé</v>
      </c>
      <c r="B609" t="s">
        <v>146</v>
      </c>
      <c r="C609" s="3">
        <v>45223.886111111111</v>
      </c>
      <c r="D609" s="11">
        <f>Logs_reseau[[#This Row],[Duree_Panne_Min]]/1440</f>
        <v>4.583333333333333E-2</v>
      </c>
      <c r="E609">
        <v>66</v>
      </c>
      <c r="F609" t="s">
        <v>2</v>
      </c>
      <c r="G609" t="str">
        <f>IFERROR(VLOOKUP(Logs_reseau[[#This Row],[Cell_ID]],'[1]Registre_Maintenance_combine '!A:C,3,FALSE),"Non trouvé")</f>
        <v>Non trouvé</v>
      </c>
      <c r="H609" t="str">
        <f>IFERROR(VLOOKUP(Logs_reseau[[#This Row],[Cell_ID]],'[1]Registre_Maintenance_combine '!A:D,4,FALSE),"Non trouvé")</f>
        <v>Non trouvé</v>
      </c>
      <c r="I609" t="str">
        <f>IFERROR(VLOOKUP(Logs_reseau[[#This Row],[Cell_ID]],'[1]Registre_Maintenance_combine '!A:E,5,FALSE),"Non trouvé")</f>
        <v>Non trouvé</v>
      </c>
      <c r="J609" t="str">
        <f>IFERROR(VLOOKUP(Logs_reseau[[#This Row],[Cell_ID]],'[1]Registre_Maintenance_combine '!A:F,6,FALSE),"Non trouvé")</f>
        <v>Non trouvé</v>
      </c>
    </row>
    <row r="610" spans="1:10" x14ac:dyDescent="0.25">
      <c r="A610" t="str">
        <f>IFERROR(VLOOKUP(Logs_reseau[[#This Row],[Cell_ID]],'[1]Registre_Maintenance_combine '!A:B,2,FALSE),"Non trouvé")</f>
        <v>Non trouvé</v>
      </c>
      <c r="B610" t="s">
        <v>146</v>
      </c>
      <c r="C610" s="3">
        <v>45228.097222222219</v>
      </c>
      <c r="D610" s="11">
        <f>Logs_reseau[[#This Row],[Duree_Panne_Min]]/1440</f>
        <v>5.5555555555555552E-2</v>
      </c>
      <c r="E610">
        <v>80</v>
      </c>
      <c r="F610" t="s">
        <v>2</v>
      </c>
      <c r="G610" t="str">
        <f>IFERROR(VLOOKUP(Logs_reseau[[#This Row],[Cell_ID]],'[1]Registre_Maintenance_combine '!A:C,3,FALSE),"Non trouvé")</f>
        <v>Non trouvé</v>
      </c>
      <c r="H610" t="str">
        <f>IFERROR(VLOOKUP(Logs_reseau[[#This Row],[Cell_ID]],'[1]Registre_Maintenance_combine '!A:D,4,FALSE),"Non trouvé")</f>
        <v>Non trouvé</v>
      </c>
      <c r="I610" t="str">
        <f>IFERROR(VLOOKUP(Logs_reseau[[#This Row],[Cell_ID]],'[1]Registre_Maintenance_combine '!A:E,5,FALSE),"Non trouvé")</f>
        <v>Non trouvé</v>
      </c>
      <c r="J610" t="str">
        <f>IFERROR(VLOOKUP(Logs_reseau[[#This Row],[Cell_ID]],'[1]Registre_Maintenance_combine '!A:F,6,FALSE),"Non trouvé")</f>
        <v>Non trouvé</v>
      </c>
    </row>
    <row r="611" spans="1:10" x14ac:dyDescent="0.25">
      <c r="A611" t="str">
        <f>IFERROR(VLOOKUP(Logs_reseau[[#This Row],[Cell_ID]],'[1]Registre_Maintenance_combine '!A:B,2,FALSE),"Non trouvé")</f>
        <v>Non trouvé</v>
      </c>
      <c r="B611" t="s">
        <v>146</v>
      </c>
      <c r="C611" s="3">
        <v>45222.847916666666</v>
      </c>
      <c r="D611" s="11">
        <f>Logs_reseau[[#This Row],[Duree_Panne_Min]]/1440</f>
        <v>3.5416666666666666E-2</v>
      </c>
      <c r="E611">
        <v>51</v>
      </c>
      <c r="F611" t="s">
        <v>4</v>
      </c>
      <c r="G611" t="str">
        <f>IFERROR(VLOOKUP(Logs_reseau[[#This Row],[Cell_ID]],'[1]Registre_Maintenance_combine '!A:C,3,FALSE),"Non trouvé")</f>
        <v>Non trouvé</v>
      </c>
      <c r="H611" t="str">
        <f>IFERROR(VLOOKUP(Logs_reseau[[#This Row],[Cell_ID]],'[1]Registre_Maintenance_combine '!A:D,4,FALSE),"Non trouvé")</f>
        <v>Non trouvé</v>
      </c>
      <c r="I611" t="str">
        <f>IFERROR(VLOOKUP(Logs_reseau[[#This Row],[Cell_ID]],'[1]Registre_Maintenance_combine '!A:E,5,FALSE),"Non trouvé")</f>
        <v>Non trouvé</v>
      </c>
      <c r="J611" t="str">
        <f>IFERROR(VLOOKUP(Logs_reseau[[#This Row],[Cell_ID]],'[1]Registre_Maintenance_combine '!A:F,6,FALSE),"Non trouvé")</f>
        <v>Non trouvé</v>
      </c>
    </row>
    <row r="612" spans="1:10" x14ac:dyDescent="0.25">
      <c r="A612" t="str">
        <f>IFERROR(VLOOKUP(Logs_reseau[[#This Row],[Cell_ID]],'[1]Registre_Maintenance_combine '!A:B,2,FALSE),"Non trouvé")</f>
        <v>Non trouvé</v>
      </c>
      <c r="B612" t="s">
        <v>146</v>
      </c>
      <c r="C612" s="3">
        <v>45207.569444444445</v>
      </c>
      <c r="D612" s="11">
        <f>Logs_reseau[[#This Row],[Duree_Panne_Min]]/1440</f>
        <v>1.8055555555555554E-2</v>
      </c>
      <c r="E612">
        <v>26</v>
      </c>
      <c r="F612" t="s">
        <v>2</v>
      </c>
      <c r="G612" t="str">
        <f>IFERROR(VLOOKUP(Logs_reseau[[#This Row],[Cell_ID]],'[1]Registre_Maintenance_combine '!A:C,3,FALSE),"Non trouvé")</f>
        <v>Non trouvé</v>
      </c>
      <c r="H612" t="str">
        <f>IFERROR(VLOOKUP(Logs_reseau[[#This Row],[Cell_ID]],'[1]Registre_Maintenance_combine '!A:D,4,FALSE),"Non trouvé")</f>
        <v>Non trouvé</v>
      </c>
      <c r="I612" t="str">
        <f>IFERROR(VLOOKUP(Logs_reseau[[#This Row],[Cell_ID]],'[1]Registre_Maintenance_combine '!A:E,5,FALSE),"Non trouvé")</f>
        <v>Non trouvé</v>
      </c>
      <c r="J612" t="str">
        <f>IFERROR(VLOOKUP(Logs_reseau[[#This Row],[Cell_ID]],'[1]Registre_Maintenance_combine '!A:F,6,FALSE),"Non trouvé")</f>
        <v>Non trouvé</v>
      </c>
    </row>
    <row r="613" spans="1:10" x14ac:dyDescent="0.25">
      <c r="A613" t="str">
        <f>IFERROR(VLOOKUP(Logs_reseau[[#This Row],[Cell_ID]],'[1]Registre_Maintenance_combine '!A:B,2,FALSE),"Non trouvé")</f>
        <v>Non trouvé</v>
      </c>
      <c r="B613" t="s">
        <v>147</v>
      </c>
      <c r="C613" s="3">
        <v>45213.85833333333</v>
      </c>
      <c r="D613" s="11">
        <f>Logs_reseau[[#This Row],[Duree_Panne_Min]]/1440</f>
        <v>2.0833333333333332E-2</v>
      </c>
      <c r="E613">
        <v>30</v>
      </c>
      <c r="F613" t="s">
        <v>2</v>
      </c>
      <c r="G613" t="str">
        <f>IFERROR(VLOOKUP(Logs_reseau[[#This Row],[Cell_ID]],'[1]Registre_Maintenance_combine '!A:C,3,FALSE),"Non trouvé")</f>
        <v>Non trouvé</v>
      </c>
      <c r="H613" t="str">
        <f>IFERROR(VLOOKUP(Logs_reseau[[#This Row],[Cell_ID]],'[1]Registre_Maintenance_combine '!A:D,4,FALSE),"Non trouvé")</f>
        <v>Non trouvé</v>
      </c>
      <c r="I613" t="str">
        <f>IFERROR(VLOOKUP(Logs_reseau[[#This Row],[Cell_ID]],'[1]Registre_Maintenance_combine '!A:E,5,FALSE),"Non trouvé")</f>
        <v>Non trouvé</v>
      </c>
      <c r="J613" t="str">
        <f>IFERROR(VLOOKUP(Logs_reseau[[#This Row],[Cell_ID]],'[1]Registre_Maintenance_combine '!A:F,6,FALSE),"Non trouvé")</f>
        <v>Non trouvé</v>
      </c>
    </row>
    <row r="614" spans="1:10" x14ac:dyDescent="0.25">
      <c r="A614" t="str">
        <f>IFERROR(VLOOKUP(Logs_reseau[[#This Row],[Cell_ID]],'[1]Registre_Maintenance_combine '!A:B,2,FALSE),"Non trouvé")</f>
        <v>Non trouvé</v>
      </c>
      <c r="B614" t="s">
        <v>147</v>
      </c>
      <c r="C614" s="3">
        <v>45215.365277777775</v>
      </c>
      <c r="D614" s="11">
        <f>Logs_reseau[[#This Row],[Duree_Panne_Min]]/1440</f>
        <v>4.3749999999999997E-2</v>
      </c>
      <c r="E614">
        <v>63</v>
      </c>
      <c r="F614" t="s">
        <v>1</v>
      </c>
      <c r="G614" t="str">
        <f>IFERROR(VLOOKUP(Logs_reseau[[#This Row],[Cell_ID]],'[1]Registre_Maintenance_combine '!A:C,3,FALSE),"Non trouvé")</f>
        <v>Non trouvé</v>
      </c>
      <c r="H614" t="str">
        <f>IFERROR(VLOOKUP(Logs_reseau[[#This Row],[Cell_ID]],'[1]Registre_Maintenance_combine '!A:D,4,FALSE),"Non trouvé")</f>
        <v>Non trouvé</v>
      </c>
      <c r="I614" t="str">
        <f>IFERROR(VLOOKUP(Logs_reseau[[#This Row],[Cell_ID]],'[1]Registre_Maintenance_combine '!A:E,5,FALSE),"Non trouvé")</f>
        <v>Non trouvé</v>
      </c>
      <c r="J614" t="str">
        <f>IFERROR(VLOOKUP(Logs_reseau[[#This Row],[Cell_ID]],'[1]Registre_Maintenance_combine '!A:F,6,FALSE),"Non trouvé")</f>
        <v>Non trouvé</v>
      </c>
    </row>
    <row r="615" spans="1:10" x14ac:dyDescent="0.25">
      <c r="A615" t="str">
        <f>IFERROR(VLOOKUP(Logs_reseau[[#This Row],[Cell_ID]],'[1]Registre_Maintenance_combine '!A:B,2,FALSE),"Non trouvé")</f>
        <v>Non trouvé</v>
      </c>
      <c r="B615" t="s">
        <v>147</v>
      </c>
      <c r="C615" s="3">
        <v>45227.768750000003</v>
      </c>
      <c r="D615" s="11">
        <f>Logs_reseau[[#This Row],[Duree_Panne_Min]]/1440</f>
        <v>3.5416666666666666E-2</v>
      </c>
      <c r="E615">
        <v>51</v>
      </c>
      <c r="F615" t="s">
        <v>1</v>
      </c>
      <c r="G615" t="str">
        <f>IFERROR(VLOOKUP(Logs_reseau[[#This Row],[Cell_ID]],'[1]Registre_Maintenance_combine '!A:C,3,FALSE),"Non trouvé")</f>
        <v>Non trouvé</v>
      </c>
      <c r="H615" t="str">
        <f>IFERROR(VLOOKUP(Logs_reseau[[#This Row],[Cell_ID]],'[1]Registre_Maintenance_combine '!A:D,4,FALSE),"Non trouvé")</f>
        <v>Non trouvé</v>
      </c>
      <c r="I615" t="str">
        <f>IFERROR(VLOOKUP(Logs_reseau[[#This Row],[Cell_ID]],'[1]Registre_Maintenance_combine '!A:E,5,FALSE),"Non trouvé")</f>
        <v>Non trouvé</v>
      </c>
      <c r="J615" t="str">
        <f>IFERROR(VLOOKUP(Logs_reseau[[#This Row],[Cell_ID]],'[1]Registre_Maintenance_combine '!A:F,6,FALSE),"Non trouvé")</f>
        <v>Non trouvé</v>
      </c>
    </row>
    <row r="616" spans="1:10" x14ac:dyDescent="0.25">
      <c r="A616" t="str">
        <f>IFERROR(VLOOKUP(Logs_reseau[[#This Row],[Cell_ID]],'[1]Registre_Maintenance_combine '!A:B,2,FALSE),"Non trouvé")</f>
        <v>Kasai</v>
      </c>
      <c r="B616" t="s">
        <v>148</v>
      </c>
      <c r="C616" s="3">
        <v>45222.52847222222</v>
      </c>
      <c r="D616" s="11">
        <f>Logs_reseau[[#This Row],[Duree_Panne_Min]]/1440</f>
        <v>5.4166666666666669E-2</v>
      </c>
      <c r="E616">
        <v>78</v>
      </c>
      <c r="F616" t="s">
        <v>1</v>
      </c>
      <c r="G616">
        <f>IFERROR(VLOOKUP(Logs_reseau[[#This Row],[Cell_ID]],'[1]Registre_Maintenance_combine '!A:C,3,FALSE),"Non trouvé")</f>
        <v>4.8689660000000003</v>
      </c>
      <c r="H616">
        <f>IFERROR(VLOOKUP(Logs_reseau[[#This Row],[Cell_ID]],'[1]Registre_Maintenance_combine '!A:D,4,FALSE),"Non trouvé")</f>
        <v>25.112373000000002</v>
      </c>
      <c r="I616" t="str">
        <f>IFERROR(VLOOKUP(Logs_reseau[[#This Row],[Cell_ID]],'[1]Registre_Maintenance_combine '!A:E,5,FALSE),"Non trouvé")</f>
        <v>3G</v>
      </c>
      <c r="J616" t="str">
        <f>IFERROR(VLOOKUP(Logs_reseau[[#This Row],[Cell_ID]],'[1]Registre_Maintenance_combine '!A:F,6,FALSE),"Non trouvé")</f>
        <v>Huawei</v>
      </c>
    </row>
    <row r="617" spans="1:10" x14ac:dyDescent="0.25">
      <c r="A617" t="str">
        <f>IFERROR(VLOOKUP(Logs_reseau[[#This Row],[Cell_ID]],'[1]Registre_Maintenance_combine '!A:B,2,FALSE),"Non trouvé")</f>
        <v>Kasai</v>
      </c>
      <c r="B617" t="s">
        <v>148</v>
      </c>
      <c r="C617" s="3">
        <v>45211.316666666666</v>
      </c>
      <c r="D617" s="11">
        <f>Logs_reseau[[#This Row],[Duree_Panne_Min]]/1440</f>
        <v>6.6666666666666666E-2</v>
      </c>
      <c r="E617">
        <v>96</v>
      </c>
      <c r="F617" t="s">
        <v>1</v>
      </c>
      <c r="G617">
        <f>IFERROR(VLOOKUP(Logs_reseau[[#This Row],[Cell_ID]],'[1]Registre_Maintenance_combine '!A:C,3,FALSE),"Non trouvé")</f>
        <v>4.8689660000000003</v>
      </c>
      <c r="H617">
        <f>IFERROR(VLOOKUP(Logs_reseau[[#This Row],[Cell_ID]],'[1]Registre_Maintenance_combine '!A:D,4,FALSE),"Non trouvé")</f>
        <v>25.112373000000002</v>
      </c>
      <c r="I617" t="str">
        <f>IFERROR(VLOOKUP(Logs_reseau[[#This Row],[Cell_ID]],'[1]Registre_Maintenance_combine '!A:E,5,FALSE),"Non trouvé")</f>
        <v>3G</v>
      </c>
      <c r="J617" t="str">
        <f>IFERROR(VLOOKUP(Logs_reseau[[#This Row],[Cell_ID]],'[1]Registre_Maintenance_combine '!A:F,6,FALSE),"Non trouvé")</f>
        <v>Huawei</v>
      </c>
    </row>
    <row r="618" spans="1:10" x14ac:dyDescent="0.25">
      <c r="A618" t="str">
        <f>IFERROR(VLOOKUP(Logs_reseau[[#This Row],[Cell_ID]],'[1]Registre_Maintenance_combine '!A:B,2,FALSE),"Non trouvé")</f>
        <v>Non trouvé</v>
      </c>
      <c r="B618" t="s">
        <v>149</v>
      </c>
      <c r="C618" s="3">
        <v>45210.105555555558</v>
      </c>
      <c r="D618" s="11">
        <f>Logs_reseau[[#This Row],[Duree_Panne_Min]]/1440</f>
        <v>6.2500000000000003E-3</v>
      </c>
      <c r="E618">
        <v>9</v>
      </c>
      <c r="F618" t="s">
        <v>1</v>
      </c>
      <c r="G618" t="str">
        <f>IFERROR(VLOOKUP(Logs_reseau[[#This Row],[Cell_ID]],'[1]Registre_Maintenance_combine '!A:C,3,FALSE),"Non trouvé")</f>
        <v>Non trouvé</v>
      </c>
      <c r="H618" t="str">
        <f>IFERROR(VLOOKUP(Logs_reseau[[#This Row],[Cell_ID]],'[1]Registre_Maintenance_combine '!A:D,4,FALSE),"Non trouvé")</f>
        <v>Non trouvé</v>
      </c>
      <c r="I618" t="str">
        <f>IFERROR(VLOOKUP(Logs_reseau[[#This Row],[Cell_ID]],'[1]Registre_Maintenance_combine '!A:E,5,FALSE),"Non trouvé")</f>
        <v>Non trouvé</v>
      </c>
      <c r="J618" t="str">
        <f>IFERROR(VLOOKUP(Logs_reseau[[#This Row],[Cell_ID]],'[1]Registre_Maintenance_combine '!A:F,6,FALSE),"Non trouvé")</f>
        <v>Non trouvé</v>
      </c>
    </row>
    <row r="619" spans="1:10" x14ac:dyDescent="0.25">
      <c r="A619" t="str">
        <f>IFERROR(VLOOKUP(Logs_reseau[[#This Row],[Cell_ID]],'[1]Registre_Maintenance_combine '!A:B,2,FALSE),"Non trouvé")</f>
        <v>Non trouvé</v>
      </c>
      <c r="B619" t="s">
        <v>149</v>
      </c>
      <c r="C619" s="3">
        <v>45215.273611111108</v>
      </c>
      <c r="D619" s="11">
        <f>Logs_reseau[[#This Row],[Duree_Panne_Min]]/1440</f>
        <v>1.6666666666666666E-2</v>
      </c>
      <c r="E619">
        <v>24</v>
      </c>
      <c r="F619" t="s">
        <v>1</v>
      </c>
      <c r="G619" t="str">
        <f>IFERROR(VLOOKUP(Logs_reseau[[#This Row],[Cell_ID]],'[1]Registre_Maintenance_combine '!A:C,3,FALSE),"Non trouvé")</f>
        <v>Non trouvé</v>
      </c>
      <c r="H619" t="str">
        <f>IFERROR(VLOOKUP(Logs_reseau[[#This Row],[Cell_ID]],'[1]Registre_Maintenance_combine '!A:D,4,FALSE),"Non trouvé")</f>
        <v>Non trouvé</v>
      </c>
      <c r="I619" t="str">
        <f>IFERROR(VLOOKUP(Logs_reseau[[#This Row],[Cell_ID]],'[1]Registre_Maintenance_combine '!A:E,5,FALSE),"Non trouvé")</f>
        <v>Non trouvé</v>
      </c>
      <c r="J619" t="str">
        <f>IFERROR(VLOOKUP(Logs_reseau[[#This Row],[Cell_ID]],'[1]Registre_Maintenance_combine '!A:F,6,FALSE),"Non trouvé")</f>
        <v>Non trouvé</v>
      </c>
    </row>
    <row r="620" spans="1:10" x14ac:dyDescent="0.25">
      <c r="A620" t="str">
        <f>IFERROR(VLOOKUP(Logs_reseau[[#This Row],[Cell_ID]],'[1]Registre_Maintenance_combine '!A:B,2,FALSE),"Non trouvé")</f>
        <v>Non trouvé</v>
      </c>
      <c r="B620" t="s">
        <v>149</v>
      </c>
      <c r="C620" s="3">
        <v>45210.145138888889</v>
      </c>
      <c r="D620" s="11">
        <f>Logs_reseau[[#This Row],[Duree_Panne_Min]]/1440</f>
        <v>8.0555555555555561E-2</v>
      </c>
      <c r="E620">
        <v>116</v>
      </c>
      <c r="F620" t="s">
        <v>1</v>
      </c>
      <c r="G620" t="str">
        <f>IFERROR(VLOOKUP(Logs_reseau[[#This Row],[Cell_ID]],'[1]Registre_Maintenance_combine '!A:C,3,FALSE),"Non trouvé")</f>
        <v>Non trouvé</v>
      </c>
      <c r="H620" t="str">
        <f>IFERROR(VLOOKUP(Logs_reseau[[#This Row],[Cell_ID]],'[1]Registre_Maintenance_combine '!A:D,4,FALSE),"Non trouvé")</f>
        <v>Non trouvé</v>
      </c>
      <c r="I620" t="str">
        <f>IFERROR(VLOOKUP(Logs_reseau[[#This Row],[Cell_ID]],'[1]Registre_Maintenance_combine '!A:E,5,FALSE),"Non trouvé")</f>
        <v>Non trouvé</v>
      </c>
      <c r="J620" t="str">
        <f>IFERROR(VLOOKUP(Logs_reseau[[#This Row],[Cell_ID]],'[1]Registre_Maintenance_combine '!A:F,6,FALSE),"Non trouvé")</f>
        <v>Non trouvé</v>
      </c>
    </row>
    <row r="621" spans="1:10" x14ac:dyDescent="0.25">
      <c r="A621" t="str">
        <f>IFERROR(VLOOKUP(Logs_reseau[[#This Row],[Cell_ID]],'[1]Registre_Maintenance_combine '!A:B,2,FALSE),"Non trouvé")</f>
        <v>Non trouvé</v>
      </c>
      <c r="B621" t="s">
        <v>149</v>
      </c>
      <c r="C621" s="3">
        <v>45202.086805555555</v>
      </c>
      <c r="D621" s="11">
        <f>Logs_reseau[[#This Row],[Duree_Panne_Min]]/1440</f>
        <v>1.5277777777777777E-2</v>
      </c>
      <c r="E621">
        <v>22</v>
      </c>
      <c r="F621" t="s">
        <v>1</v>
      </c>
      <c r="G621" t="str">
        <f>IFERROR(VLOOKUP(Logs_reseau[[#This Row],[Cell_ID]],'[1]Registre_Maintenance_combine '!A:C,3,FALSE),"Non trouvé")</f>
        <v>Non trouvé</v>
      </c>
      <c r="H621" t="str">
        <f>IFERROR(VLOOKUP(Logs_reseau[[#This Row],[Cell_ID]],'[1]Registre_Maintenance_combine '!A:D,4,FALSE),"Non trouvé")</f>
        <v>Non trouvé</v>
      </c>
      <c r="I621" t="str">
        <f>IFERROR(VLOOKUP(Logs_reseau[[#This Row],[Cell_ID]],'[1]Registre_Maintenance_combine '!A:E,5,FALSE),"Non trouvé")</f>
        <v>Non trouvé</v>
      </c>
      <c r="J621" t="str">
        <f>IFERROR(VLOOKUP(Logs_reseau[[#This Row],[Cell_ID]],'[1]Registre_Maintenance_combine '!A:F,6,FALSE),"Non trouvé")</f>
        <v>Non trouvé</v>
      </c>
    </row>
    <row r="622" spans="1:10" x14ac:dyDescent="0.25">
      <c r="A622" t="str">
        <f>IFERROR(VLOOKUP(Logs_reseau[[#This Row],[Cell_ID]],'[1]Registre_Maintenance_combine '!A:B,2,FALSE),"Non trouvé")</f>
        <v>Non trouvé</v>
      </c>
      <c r="B622" t="s">
        <v>149</v>
      </c>
      <c r="C622" s="3">
        <v>45220.805555555555</v>
      </c>
      <c r="D622" s="11">
        <f>Logs_reseau[[#This Row],[Duree_Panne_Min]]/1440</f>
        <v>5.7638888888888892E-2</v>
      </c>
      <c r="E622">
        <v>83</v>
      </c>
      <c r="F622" t="s">
        <v>2</v>
      </c>
      <c r="G622" t="str">
        <f>IFERROR(VLOOKUP(Logs_reseau[[#This Row],[Cell_ID]],'[1]Registre_Maintenance_combine '!A:C,3,FALSE),"Non trouvé")</f>
        <v>Non trouvé</v>
      </c>
      <c r="H622" t="str">
        <f>IFERROR(VLOOKUP(Logs_reseau[[#This Row],[Cell_ID]],'[1]Registre_Maintenance_combine '!A:D,4,FALSE),"Non trouvé")</f>
        <v>Non trouvé</v>
      </c>
      <c r="I622" t="str">
        <f>IFERROR(VLOOKUP(Logs_reseau[[#This Row],[Cell_ID]],'[1]Registre_Maintenance_combine '!A:E,5,FALSE),"Non trouvé")</f>
        <v>Non trouvé</v>
      </c>
      <c r="J622" t="str">
        <f>IFERROR(VLOOKUP(Logs_reseau[[#This Row],[Cell_ID]],'[1]Registre_Maintenance_combine '!A:F,6,FALSE),"Non trouvé")</f>
        <v>Non trouvé</v>
      </c>
    </row>
    <row r="623" spans="1:10" x14ac:dyDescent="0.25">
      <c r="A623" t="str">
        <f>IFERROR(VLOOKUP(Logs_reseau[[#This Row],[Cell_ID]],'[1]Registre_Maintenance_combine '!A:B,2,FALSE),"Non trouvé")</f>
        <v>Non trouvé</v>
      </c>
      <c r="B623" t="s">
        <v>149</v>
      </c>
      <c r="C623" s="3">
        <v>45207.17291666667</v>
      </c>
      <c r="D623" s="11">
        <f>Logs_reseau[[#This Row],[Duree_Panne_Min]]/1440</f>
        <v>7.1527777777777773E-2</v>
      </c>
      <c r="E623">
        <v>103</v>
      </c>
      <c r="F623" t="s">
        <v>1</v>
      </c>
      <c r="G623" t="str">
        <f>IFERROR(VLOOKUP(Logs_reseau[[#This Row],[Cell_ID]],'[1]Registre_Maintenance_combine '!A:C,3,FALSE),"Non trouvé")</f>
        <v>Non trouvé</v>
      </c>
      <c r="H623" t="str">
        <f>IFERROR(VLOOKUP(Logs_reseau[[#This Row],[Cell_ID]],'[1]Registre_Maintenance_combine '!A:D,4,FALSE),"Non trouvé")</f>
        <v>Non trouvé</v>
      </c>
      <c r="I623" t="str">
        <f>IFERROR(VLOOKUP(Logs_reseau[[#This Row],[Cell_ID]],'[1]Registre_Maintenance_combine '!A:E,5,FALSE),"Non trouvé")</f>
        <v>Non trouvé</v>
      </c>
      <c r="J623" t="str">
        <f>IFERROR(VLOOKUP(Logs_reseau[[#This Row],[Cell_ID]],'[1]Registre_Maintenance_combine '!A:F,6,FALSE),"Non trouvé")</f>
        <v>Non trouvé</v>
      </c>
    </row>
    <row r="624" spans="1:10" x14ac:dyDescent="0.25">
      <c r="A624" t="str">
        <f>IFERROR(VLOOKUP(Logs_reseau[[#This Row],[Cell_ID]],'[1]Registre_Maintenance_combine '!A:B,2,FALSE),"Non trouvé")</f>
        <v>Kwango</v>
      </c>
      <c r="B624" t="s">
        <v>150</v>
      </c>
      <c r="C624" s="3">
        <v>45228.711805555555</v>
      </c>
      <c r="D624" s="11">
        <f>Logs_reseau[[#This Row],[Duree_Panne_Min]]/1440</f>
        <v>6.2500000000000003E-3</v>
      </c>
      <c r="E624">
        <v>9</v>
      </c>
      <c r="F624" t="s">
        <v>1</v>
      </c>
      <c r="G624">
        <f>IFERROR(VLOOKUP(Logs_reseau[[#This Row],[Cell_ID]],'[1]Registre_Maintenance_combine '!A:C,3,FALSE),"Non trouvé")</f>
        <v>-9.8995180000000005</v>
      </c>
      <c r="H624">
        <f>IFERROR(VLOOKUP(Logs_reseau[[#This Row],[Cell_ID]],'[1]Registre_Maintenance_combine '!A:D,4,FALSE),"Non trouvé")</f>
        <v>24.156687999999999</v>
      </c>
      <c r="I624" t="str">
        <f>IFERROR(VLOOKUP(Logs_reseau[[#This Row],[Cell_ID]],'[1]Registre_Maintenance_combine '!A:E,5,FALSE),"Non trouvé")</f>
        <v>4G</v>
      </c>
      <c r="J624" t="str">
        <f>IFERROR(VLOOKUP(Logs_reseau[[#This Row],[Cell_ID]],'[1]Registre_Maintenance_combine '!A:F,6,FALSE),"Non trouvé")</f>
        <v>Ericsson</v>
      </c>
    </row>
    <row r="625" spans="1:10" x14ac:dyDescent="0.25">
      <c r="A625" t="str">
        <f>IFERROR(VLOOKUP(Logs_reseau[[#This Row],[Cell_ID]],'[1]Registre_Maintenance_combine '!A:B,2,FALSE),"Non trouvé")</f>
        <v>Kwango</v>
      </c>
      <c r="B625" t="s">
        <v>150</v>
      </c>
      <c r="C625" s="3">
        <v>45225.965277777781</v>
      </c>
      <c r="D625" s="11">
        <f>Logs_reseau[[#This Row],[Duree_Panne_Min]]/1440</f>
        <v>6.5972222222222224E-2</v>
      </c>
      <c r="E625">
        <v>95</v>
      </c>
      <c r="F625" t="s">
        <v>2</v>
      </c>
      <c r="G625">
        <f>IFERROR(VLOOKUP(Logs_reseau[[#This Row],[Cell_ID]],'[1]Registre_Maintenance_combine '!A:C,3,FALSE),"Non trouvé")</f>
        <v>-9.8995180000000005</v>
      </c>
      <c r="H625">
        <f>IFERROR(VLOOKUP(Logs_reseau[[#This Row],[Cell_ID]],'[1]Registre_Maintenance_combine '!A:D,4,FALSE),"Non trouvé")</f>
        <v>24.156687999999999</v>
      </c>
      <c r="I625" t="str">
        <f>IFERROR(VLOOKUP(Logs_reseau[[#This Row],[Cell_ID]],'[1]Registre_Maintenance_combine '!A:E,5,FALSE),"Non trouvé")</f>
        <v>4G</v>
      </c>
      <c r="J625" t="str">
        <f>IFERROR(VLOOKUP(Logs_reseau[[#This Row],[Cell_ID]],'[1]Registre_Maintenance_combine '!A:F,6,FALSE),"Non trouvé")</f>
        <v>Ericsson</v>
      </c>
    </row>
    <row r="626" spans="1:10" x14ac:dyDescent="0.25">
      <c r="A626" t="str">
        <f>IFERROR(VLOOKUP(Logs_reseau[[#This Row],[Cell_ID]],'[1]Registre_Maintenance_combine '!A:B,2,FALSE),"Non trouvé")</f>
        <v>Kwango</v>
      </c>
      <c r="B626" t="s">
        <v>150</v>
      </c>
      <c r="C626" s="3">
        <v>45230.196527777778</v>
      </c>
      <c r="D626" s="11">
        <f>Logs_reseau[[#This Row],[Duree_Panne_Min]]/1440</f>
        <v>6.3888888888888884E-2</v>
      </c>
      <c r="E626">
        <v>92</v>
      </c>
      <c r="F626" t="s">
        <v>1</v>
      </c>
      <c r="G626">
        <f>IFERROR(VLOOKUP(Logs_reseau[[#This Row],[Cell_ID]],'[1]Registre_Maintenance_combine '!A:C,3,FALSE),"Non trouvé")</f>
        <v>-9.8995180000000005</v>
      </c>
      <c r="H626">
        <f>IFERROR(VLOOKUP(Logs_reseau[[#This Row],[Cell_ID]],'[1]Registre_Maintenance_combine '!A:D,4,FALSE),"Non trouvé")</f>
        <v>24.156687999999999</v>
      </c>
      <c r="I626" t="str">
        <f>IFERROR(VLOOKUP(Logs_reseau[[#This Row],[Cell_ID]],'[1]Registre_Maintenance_combine '!A:E,5,FALSE),"Non trouvé")</f>
        <v>4G</v>
      </c>
      <c r="J626" t="str">
        <f>IFERROR(VLOOKUP(Logs_reseau[[#This Row],[Cell_ID]],'[1]Registre_Maintenance_combine '!A:F,6,FALSE),"Non trouvé")</f>
        <v>Ericsson</v>
      </c>
    </row>
    <row r="627" spans="1:10" x14ac:dyDescent="0.25">
      <c r="A627" t="str">
        <f>IFERROR(VLOOKUP(Logs_reseau[[#This Row],[Cell_ID]],'[1]Registre_Maintenance_combine '!A:B,2,FALSE),"Non trouvé")</f>
        <v>Lualaba</v>
      </c>
      <c r="B627" t="s">
        <v>151</v>
      </c>
      <c r="C627" s="3">
        <v>45206.6875</v>
      </c>
      <c r="D627" s="11">
        <f>Logs_reseau[[#This Row],[Duree_Panne_Min]]/1440</f>
        <v>3.1944444444444442E-2</v>
      </c>
      <c r="E627">
        <v>46</v>
      </c>
      <c r="F627" t="s">
        <v>4</v>
      </c>
      <c r="G627">
        <f>IFERROR(VLOOKUP(Logs_reseau[[#This Row],[Cell_ID]],'[1]Registre_Maintenance_combine '!A:C,3,FALSE),"Non trouvé")</f>
        <v>-1.7476179999999999</v>
      </c>
      <c r="H627">
        <f>IFERROR(VLOOKUP(Logs_reseau[[#This Row],[Cell_ID]],'[1]Registre_Maintenance_combine '!A:D,4,FALSE),"Non trouvé")</f>
        <v>18.129401000000001</v>
      </c>
      <c r="I627" t="str">
        <f>IFERROR(VLOOKUP(Logs_reseau[[#This Row],[Cell_ID]],'[1]Registre_Maintenance_combine '!A:E,5,FALSE),"Non trouvé")</f>
        <v>4G</v>
      </c>
      <c r="J627" t="str">
        <f>IFERROR(VLOOKUP(Logs_reseau[[#This Row],[Cell_ID]],'[1]Registre_Maintenance_combine '!A:F,6,FALSE),"Non trouvé")</f>
        <v>Ericsson</v>
      </c>
    </row>
    <row r="628" spans="1:10" x14ac:dyDescent="0.25">
      <c r="A628" t="str">
        <f>IFERROR(VLOOKUP(Logs_reseau[[#This Row],[Cell_ID]],'[1]Registre_Maintenance_combine '!A:B,2,FALSE),"Non trouvé")</f>
        <v>Lualaba</v>
      </c>
      <c r="B628" t="s">
        <v>151</v>
      </c>
      <c r="C628" s="3">
        <v>45210.445833333331</v>
      </c>
      <c r="D628" s="11">
        <f>Logs_reseau[[#This Row],[Duree_Panne_Min]]/1440</f>
        <v>6.9444444444444441E-3</v>
      </c>
      <c r="E628">
        <v>10</v>
      </c>
      <c r="F628" t="s">
        <v>1</v>
      </c>
      <c r="G628">
        <f>IFERROR(VLOOKUP(Logs_reseau[[#This Row],[Cell_ID]],'[1]Registre_Maintenance_combine '!A:C,3,FALSE),"Non trouvé")</f>
        <v>-1.7476179999999999</v>
      </c>
      <c r="H628">
        <f>IFERROR(VLOOKUP(Logs_reseau[[#This Row],[Cell_ID]],'[1]Registre_Maintenance_combine '!A:D,4,FALSE),"Non trouvé")</f>
        <v>18.129401000000001</v>
      </c>
      <c r="I628" t="str">
        <f>IFERROR(VLOOKUP(Logs_reseau[[#This Row],[Cell_ID]],'[1]Registre_Maintenance_combine '!A:E,5,FALSE),"Non trouvé")</f>
        <v>4G</v>
      </c>
      <c r="J628" t="str">
        <f>IFERROR(VLOOKUP(Logs_reseau[[#This Row],[Cell_ID]],'[1]Registre_Maintenance_combine '!A:F,6,FALSE),"Non trouvé")</f>
        <v>Ericsson</v>
      </c>
    </row>
    <row r="629" spans="1:10" x14ac:dyDescent="0.25">
      <c r="A629" t="str">
        <f>IFERROR(VLOOKUP(Logs_reseau[[#This Row],[Cell_ID]],'[1]Registre_Maintenance_combine '!A:B,2,FALSE),"Non trouvé")</f>
        <v>Lualaba</v>
      </c>
      <c r="B629" t="s">
        <v>151</v>
      </c>
      <c r="C629" s="3">
        <v>45218.286111111112</v>
      </c>
      <c r="D629" s="11">
        <f>Logs_reseau[[#This Row],[Duree_Panne_Min]]/1440</f>
        <v>1.5972222222222221E-2</v>
      </c>
      <c r="E629">
        <v>23</v>
      </c>
      <c r="F629" t="s">
        <v>4</v>
      </c>
      <c r="G629">
        <f>IFERROR(VLOOKUP(Logs_reseau[[#This Row],[Cell_ID]],'[1]Registre_Maintenance_combine '!A:C,3,FALSE),"Non trouvé")</f>
        <v>-1.7476179999999999</v>
      </c>
      <c r="H629">
        <f>IFERROR(VLOOKUP(Logs_reseau[[#This Row],[Cell_ID]],'[1]Registre_Maintenance_combine '!A:D,4,FALSE),"Non trouvé")</f>
        <v>18.129401000000001</v>
      </c>
      <c r="I629" t="str">
        <f>IFERROR(VLOOKUP(Logs_reseau[[#This Row],[Cell_ID]],'[1]Registre_Maintenance_combine '!A:E,5,FALSE),"Non trouvé")</f>
        <v>4G</v>
      </c>
      <c r="J629" t="str">
        <f>IFERROR(VLOOKUP(Logs_reseau[[#This Row],[Cell_ID]],'[1]Registre_Maintenance_combine '!A:F,6,FALSE),"Non trouvé")</f>
        <v>Ericsson</v>
      </c>
    </row>
    <row r="630" spans="1:10" x14ac:dyDescent="0.25">
      <c r="A630" t="str">
        <f>IFERROR(VLOOKUP(Logs_reseau[[#This Row],[Cell_ID]],'[1]Registre_Maintenance_combine '!A:B,2,FALSE),"Non trouvé")</f>
        <v>Kongo-Central</v>
      </c>
      <c r="B630" t="s">
        <v>152</v>
      </c>
      <c r="C630" s="3">
        <v>45217.185416666667</v>
      </c>
      <c r="D630" s="11">
        <f>Logs_reseau[[#This Row],[Duree_Panne_Min]]/1440</f>
        <v>4.7222222222222221E-2</v>
      </c>
      <c r="E630">
        <v>68</v>
      </c>
      <c r="F630" t="s">
        <v>2</v>
      </c>
      <c r="G630">
        <f>IFERROR(VLOOKUP(Logs_reseau[[#This Row],[Cell_ID]],'[1]Registre_Maintenance_combine '!A:C,3,FALSE),"Non trouvé")</f>
        <v>-4.9108280000000004</v>
      </c>
      <c r="H630">
        <f>IFERROR(VLOOKUP(Logs_reseau[[#This Row],[Cell_ID]],'[1]Registre_Maintenance_combine '!A:D,4,FALSE),"Non trouvé")</f>
        <v>17.670389</v>
      </c>
      <c r="I630" t="str">
        <f>IFERROR(VLOOKUP(Logs_reseau[[#This Row],[Cell_ID]],'[1]Registre_Maintenance_combine '!A:E,5,FALSE),"Non trouvé")</f>
        <v>5G</v>
      </c>
      <c r="J630" t="str">
        <f>IFERROR(VLOOKUP(Logs_reseau[[#This Row],[Cell_ID]],'[1]Registre_Maintenance_combine '!A:F,6,FALSE),"Non trouvé")</f>
        <v>ZTE</v>
      </c>
    </row>
    <row r="631" spans="1:10" x14ac:dyDescent="0.25">
      <c r="A631" t="str">
        <f>IFERROR(VLOOKUP(Logs_reseau[[#This Row],[Cell_ID]],'[1]Registre_Maintenance_combine '!A:B,2,FALSE),"Non trouvé")</f>
        <v>Kongo-Central</v>
      </c>
      <c r="B631" t="s">
        <v>152</v>
      </c>
      <c r="C631" s="3">
        <v>45226.100694444445</v>
      </c>
      <c r="D631" s="11">
        <f>Logs_reseau[[#This Row],[Duree_Panne_Min]]/1440</f>
        <v>2.8472222222222222E-2</v>
      </c>
      <c r="E631">
        <v>41</v>
      </c>
      <c r="F631" t="s">
        <v>4</v>
      </c>
      <c r="G631">
        <f>IFERROR(VLOOKUP(Logs_reseau[[#This Row],[Cell_ID]],'[1]Registre_Maintenance_combine '!A:C,3,FALSE),"Non trouvé")</f>
        <v>-4.9108280000000004</v>
      </c>
      <c r="H631">
        <f>IFERROR(VLOOKUP(Logs_reseau[[#This Row],[Cell_ID]],'[1]Registre_Maintenance_combine '!A:D,4,FALSE),"Non trouvé")</f>
        <v>17.670389</v>
      </c>
      <c r="I631" t="str">
        <f>IFERROR(VLOOKUP(Logs_reseau[[#This Row],[Cell_ID]],'[1]Registre_Maintenance_combine '!A:E,5,FALSE),"Non trouvé")</f>
        <v>5G</v>
      </c>
      <c r="J631" t="str">
        <f>IFERROR(VLOOKUP(Logs_reseau[[#This Row],[Cell_ID]],'[1]Registre_Maintenance_combine '!A:F,6,FALSE),"Non trouvé")</f>
        <v>ZTE</v>
      </c>
    </row>
    <row r="632" spans="1:10" x14ac:dyDescent="0.25">
      <c r="A632" t="str">
        <f>IFERROR(VLOOKUP(Logs_reseau[[#This Row],[Cell_ID]],'[1]Registre_Maintenance_combine '!A:B,2,FALSE),"Non trouvé")</f>
        <v>Kongo-Central</v>
      </c>
      <c r="B632" t="s">
        <v>152</v>
      </c>
      <c r="C632" s="3">
        <v>45229.960416666669</v>
      </c>
      <c r="D632" s="11">
        <f>Logs_reseau[[#This Row],[Duree_Panne_Min]]/1440</f>
        <v>4.5138888888888888E-2</v>
      </c>
      <c r="E632">
        <v>65</v>
      </c>
      <c r="F632" t="s">
        <v>1</v>
      </c>
      <c r="G632">
        <f>IFERROR(VLOOKUP(Logs_reseau[[#This Row],[Cell_ID]],'[1]Registre_Maintenance_combine '!A:C,3,FALSE),"Non trouvé")</f>
        <v>-4.9108280000000004</v>
      </c>
      <c r="H632">
        <f>IFERROR(VLOOKUP(Logs_reseau[[#This Row],[Cell_ID]],'[1]Registre_Maintenance_combine '!A:D,4,FALSE),"Non trouvé")</f>
        <v>17.670389</v>
      </c>
      <c r="I632" t="str">
        <f>IFERROR(VLOOKUP(Logs_reseau[[#This Row],[Cell_ID]],'[1]Registre_Maintenance_combine '!A:E,5,FALSE),"Non trouvé")</f>
        <v>5G</v>
      </c>
      <c r="J632" t="str">
        <f>IFERROR(VLOOKUP(Logs_reseau[[#This Row],[Cell_ID]],'[1]Registre_Maintenance_combine '!A:F,6,FALSE),"Non trouvé")</f>
        <v>ZTE</v>
      </c>
    </row>
    <row r="633" spans="1:10" x14ac:dyDescent="0.25">
      <c r="A633" t="str">
        <f>IFERROR(VLOOKUP(Logs_reseau[[#This Row],[Cell_ID]],'[1]Registre_Maintenance_combine '!A:B,2,FALSE),"Non trouvé")</f>
        <v>Kongo-Central</v>
      </c>
      <c r="B633" t="s">
        <v>152</v>
      </c>
      <c r="C633" s="3">
        <v>45202.695138888892</v>
      </c>
      <c r="D633" s="11">
        <f>Logs_reseau[[#This Row],[Duree_Panne_Min]]/1440</f>
        <v>2.6388888888888889E-2</v>
      </c>
      <c r="E633">
        <v>38</v>
      </c>
      <c r="F633" t="s">
        <v>2</v>
      </c>
      <c r="G633">
        <f>IFERROR(VLOOKUP(Logs_reseau[[#This Row],[Cell_ID]],'[1]Registre_Maintenance_combine '!A:C,3,FALSE),"Non trouvé")</f>
        <v>-4.9108280000000004</v>
      </c>
      <c r="H633">
        <f>IFERROR(VLOOKUP(Logs_reseau[[#This Row],[Cell_ID]],'[1]Registre_Maintenance_combine '!A:D,4,FALSE),"Non trouvé")</f>
        <v>17.670389</v>
      </c>
      <c r="I633" t="str">
        <f>IFERROR(VLOOKUP(Logs_reseau[[#This Row],[Cell_ID]],'[1]Registre_Maintenance_combine '!A:E,5,FALSE),"Non trouvé")</f>
        <v>5G</v>
      </c>
      <c r="J633" t="str">
        <f>IFERROR(VLOOKUP(Logs_reseau[[#This Row],[Cell_ID]],'[1]Registre_Maintenance_combine '!A:F,6,FALSE),"Non trouvé")</f>
        <v>ZTE</v>
      </c>
    </row>
    <row r="634" spans="1:10" x14ac:dyDescent="0.25">
      <c r="A634" t="str">
        <f>IFERROR(VLOOKUP(Logs_reseau[[#This Row],[Cell_ID]],'[1]Registre_Maintenance_combine '!A:B,2,FALSE),"Non trouvé")</f>
        <v>Non trouvé</v>
      </c>
      <c r="B634" t="s">
        <v>153</v>
      </c>
      <c r="C634" s="3">
        <v>45225.712500000001</v>
      </c>
      <c r="D634" s="11">
        <f>Logs_reseau[[#This Row],[Duree_Panne_Min]]/1440</f>
        <v>2.5000000000000001E-2</v>
      </c>
      <c r="E634">
        <v>36</v>
      </c>
      <c r="F634" t="s">
        <v>4</v>
      </c>
      <c r="G634" t="str">
        <f>IFERROR(VLOOKUP(Logs_reseau[[#This Row],[Cell_ID]],'[1]Registre_Maintenance_combine '!A:C,3,FALSE),"Non trouvé")</f>
        <v>Non trouvé</v>
      </c>
      <c r="H634" t="str">
        <f>IFERROR(VLOOKUP(Logs_reseau[[#This Row],[Cell_ID]],'[1]Registre_Maintenance_combine '!A:D,4,FALSE),"Non trouvé")</f>
        <v>Non trouvé</v>
      </c>
      <c r="I634" t="str">
        <f>IFERROR(VLOOKUP(Logs_reseau[[#This Row],[Cell_ID]],'[1]Registre_Maintenance_combine '!A:E,5,FALSE),"Non trouvé")</f>
        <v>Non trouvé</v>
      </c>
      <c r="J634" t="str">
        <f>IFERROR(VLOOKUP(Logs_reseau[[#This Row],[Cell_ID]],'[1]Registre_Maintenance_combine '!A:F,6,FALSE),"Non trouvé")</f>
        <v>Non trouvé</v>
      </c>
    </row>
    <row r="635" spans="1:10" x14ac:dyDescent="0.25">
      <c r="A635" t="str">
        <f>IFERROR(VLOOKUP(Logs_reseau[[#This Row],[Cell_ID]],'[1]Registre_Maintenance_combine '!A:B,2,FALSE),"Non trouvé")</f>
        <v>Non trouvé</v>
      </c>
      <c r="B635" t="s">
        <v>153</v>
      </c>
      <c r="C635" s="3">
        <v>45220.462500000001</v>
      </c>
      <c r="D635" s="11">
        <f>Logs_reseau[[#This Row],[Duree_Panne_Min]]/1440</f>
        <v>2.5000000000000001E-2</v>
      </c>
      <c r="E635">
        <v>36</v>
      </c>
      <c r="F635" t="s">
        <v>1</v>
      </c>
      <c r="G635" t="str">
        <f>IFERROR(VLOOKUP(Logs_reseau[[#This Row],[Cell_ID]],'[1]Registre_Maintenance_combine '!A:C,3,FALSE),"Non trouvé")</f>
        <v>Non trouvé</v>
      </c>
      <c r="H635" t="str">
        <f>IFERROR(VLOOKUP(Logs_reseau[[#This Row],[Cell_ID]],'[1]Registre_Maintenance_combine '!A:D,4,FALSE),"Non trouvé")</f>
        <v>Non trouvé</v>
      </c>
      <c r="I635" t="str">
        <f>IFERROR(VLOOKUP(Logs_reseau[[#This Row],[Cell_ID]],'[1]Registre_Maintenance_combine '!A:E,5,FALSE),"Non trouvé")</f>
        <v>Non trouvé</v>
      </c>
      <c r="J635" t="str">
        <f>IFERROR(VLOOKUP(Logs_reseau[[#This Row],[Cell_ID]],'[1]Registre_Maintenance_combine '!A:F,6,FALSE),"Non trouvé")</f>
        <v>Non trouvé</v>
      </c>
    </row>
    <row r="636" spans="1:10" x14ac:dyDescent="0.25">
      <c r="A636" t="str">
        <f>IFERROR(VLOOKUP(Logs_reseau[[#This Row],[Cell_ID]],'[1]Registre_Maintenance_combine '!A:B,2,FALSE),"Non trouvé")</f>
        <v>Non trouvé</v>
      </c>
      <c r="B636" t="s">
        <v>153</v>
      </c>
      <c r="C636" s="3">
        <v>45216.675000000003</v>
      </c>
      <c r="D636" s="11">
        <f>Logs_reseau[[#This Row],[Duree_Panne_Min]]/1440</f>
        <v>1.9444444444444445E-2</v>
      </c>
      <c r="E636">
        <v>28</v>
      </c>
      <c r="F636" t="s">
        <v>1</v>
      </c>
      <c r="G636" t="str">
        <f>IFERROR(VLOOKUP(Logs_reseau[[#This Row],[Cell_ID]],'[1]Registre_Maintenance_combine '!A:C,3,FALSE),"Non trouvé")</f>
        <v>Non trouvé</v>
      </c>
      <c r="H636" t="str">
        <f>IFERROR(VLOOKUP(Logs_reseau[[#This Row],[Cell_ID]],'[1]Registre_Maintenance_combine '!A:D,4,FALSE),"Non trouvé")</f>
        <v>Non trouvé</v>
      </c>
      <c r="I636" t="str">
        <f>IFERROR(VLOOKUP(Logs_reseau[[#This Row],[Cell_ID]],'[1]Registre_Maintenance_combine '!A:E,5,FALSE),"Non trouvé")</f>
        <v>Non trouvé</v>
      </c>
      <c r="J636" t="str">
        <f>IFERROR(VLOOKUP(Logs_reseau[[#This Row],[Cell_ID]],'[1]Registre_Maintenance_combine '!A:F,6,FALSE),"Non trouvé")</f>
        <v>Non trouvé</v>
      </c>
    </row>
    <row r="637" spans="1:10" x14ac:dyDescent="0.25">
      <c r="A637" t="str">
        <f>IFERROR(VLOOKUP(Logs_reseau[[#This Row],[Cell_ID]],'[1]Registre_Maintenance_combine '!A:B,2,FALSE),"Non trouvé")</f>
        <v>Non trouvé</v>
      </c>
      <c r="B637" t="s">
        <v>153</v>
      </c>
      <c r="C637" s="3">
        <v>45209.365277777775</v>
      </c>
      <c r="D637" s="11">
        <f>Logs_reseau[[#This Row],[Duree_Panne_Min]]/1440</f>
        <v>4.1666666666666666E-3</v>
      </c>
      <c r="E637">
        <v>6</v>
      </c>
      <c r="F637" t="s">
        <v>1</v>
      </c>
      <c r="G637" t="str">
        <f>IFERROR(VLOOKUP(Logs_reseau[[#This Row],[Cell_ID]],'[1]Registre_Maintenance_combine '!A:C,3,FALSE),"Non trouvé")</f>
        <v>Non trouvé</v>
      </c>
      <c r="H637" t="str">
        <f>IFERROR(VLOOKUP(Logs_reseau[[#This Row],[Cell_ID]],'[1]Registre_Maintenance_combine '!A:D,4,FALSE),"Non trouvé")</f>
        <v>Non trouvé</v>
      </c>
      <c r="I637" t="str">
        <f>IFERROR(VLOOKUP(Logs_reseau[[#This Row],[Cell_ID]],'[1]Registre_Maintenance_combine '!A:E,5,FALSE),"Non trouvé")</f>
        <v>Non trouvé</v>
      </c>
      <c r="J637" t="str">
        <f>IFERROR(VLOOKUP(Logs_reseau[[#This Row],[Cell_ID]],'[1]Registre_Maintenance_combine '!A:F,6,FALSE),"Non trouvé")</f>
        <v>Non trouvé</v>
      </c>
    </row>
    <row r="638" spans="1:10" x14ac:dyDescent="0.25">
      <c r="A638" t="str">
        <f>IFERROR(VLOOKUP(Logs_reseau[[#This Row],[Cell_ID]],'[1]Registre_Maintenance_combine '!A:B,2,FALSE),"Non trouvé")</f>
        <v>Nord-Ubangi</v>
      </c>
      <c r="B638" t="s">
        <v>154</v>
      </c>
      <c r="C638" s="3">
        <v>45215.004861111112</v>
      </c>
      <c r="D638" s="11">
        <f>Logs_reseau[[#This Row],[Duree_Panne_Min]]/1440</f>
        <v>3.5416666666666666E-2</v>
      </c>
      <c r="E638">
        <v>51</v>
      </c>
      <c r="F638" t="s">
        <v>4</v>
      </c>
      <c r="G638">
        <f>IFERROR(VLOOKUP(Logs_reseau[[#This Row],[Cell_ID]],'[1]Registre_Maintenance_combine '!A:C,3,FALSE),"Non trouvé")</f>
        <v>0.94539899999999999</v>
      </c>
      <c r="H638">
        <f>IFERROR(VLOOKUP(Logs_reseau[[#This Row],[Cell_ID]],'[1]Registre_Maintenance_combine '!A:D,4,FALSE),"Non trouvé")</f>
        <v>14.401821999999999</v>
      </c>
      <c r="I638" t="str">
        <f>IFERROR(VLOOKUP(Logs_reseau[[#This Row],[Cell_ID]],'[1]Registre_Maintenance_combine '!A:E,5,FALSE),"Non trouvé")</f>
        <v>5G</v>
      </c>
      <c r="J638" t="str">
        <f>IFERROR(VLOOKUP(Logs_reseau[[#This Row],[Cell_ID]],'[1]Registre_Maintenance_combine '!A:F,6,FALSE),"Non trouvé")</f>
        <v>Nokia</v>
      </c>
    </row>
    <row r="639" spans="1:10" x14ac:dyDescent="0.25">
      <c r="A639" t="str">
        <f>IFERROR(VLOOKUP(Logs_reseau[[#This Row],[Cell_ID]],'[1]Registre_Maintenance_combine '!A:B,2,FALSE),"Non trouvé")</f>
        <v>Nord-Ubangi</v>
      </c>
      <c r="B639" t="s">
        <v>154</v>
      </c>
      <c r="C639" s="3">
        <v>45222.511805555558</v>
      </c>
      <c r="D639" s="11">
        <f>Logs_reseau[[#This Row],[Duree_Panne_Min]]/1440</f>
        <v>1.3888888888888888E-2</v>
      </c>
      <c r="E639">
        <v>20</v>
      </c>
      <c r="F639" t="s">
        <v>4</v>
      </c>
      <c r="G639">
        <f>IFERROR(VLOOKUP(Logs_reseau[[#This Row],[Cell_ID]],'[1]Registre_Maintenance_combine '!A:C,3,FALSE),"Non trouvé")</f>
        <v>0.94539899999999999</v>
      </c>
      <c r="H639">
        <f>IFERROR(VLOOKUP(Logs_reseau[[#This Row],[Cell_ID]],'[1]Registre_Maintenance_combine '!A:D,4,FALSE),"Non trouvé")</f>
        <v>14.401821999999999</v>
      </c>
      <c r="I639" t="str">
        <f>IFERROR(VLOOKUP(Logs_reseau[[#This Row],[Cell_ID]],'[1]Registre_Maintenance_combine '!A:E,5,FALSE),"Non trouvé")</f>
        <v>5G</v>
      </c>
      <c r="J639" t="str">
        <f>IFERROR(VLOOKUP(Logs_reseau[[#This Row],[Cell_ID]],'[1]Registre_Maintenance_combine '!A:F,6,FALSE),"Non trouvé")</f>
        <v>Nokia</v>
      </c>
    </row>
    <row r="640" spans="1:10" x14ac:dyDescent="0.25">
      <c r="A640" t="str">
        <f>IFERROR(VLOOKUP(Logs_reseau[[#This Row],[Cell_ID]],'[1]Registre_Maintenance_combine '!A:B,2,FALSE),"Non trouvé")</f>
        <v>Nord-Ubangi</v>
      </c>
      <c r="B640" t="s">
        <v>154</v>
      </c>
      <c r="C640" s="3">
        <v>45227.543055555558</v>
      </c>
      <c r="D640" s="11">
        <f>Logs_reseau[[#This Row],[Duree_Panne_Min]]/1440</f>
        <v>8.3333333333333329E-2</v>
      </c>
      <c r="E640">
        <v>120</v>
      </c>
      <c r="F640" t="s">
        <v>4</v>
      </c>
      <c r="G640">
        <f>IFERROR(VLOOKUP(Logs_reseau[[#This Row],[Cell_ID]],'[1]Registre_Maintenance_combine '!A:C,3,FALSE),"Non trouvé")</f>
        <v>0.94539899999999999</v>
      </c>
      <c r="H640">
        <f>IFERROR(VLOOKUP(Logs_reseau[[#This Row],[Cell_ID]],'[1]Registre_Maintenance_combine '!A:D,4,FALSE),"Non trouvé")</f>
        <v>14.401821999999999</v>
      </c>
      <c r="I640" t="str">
        <f>IFERROR(VLOOKUP(Logs_reseau[[#This Row],[Cell_ID]],'[1]Registre_Maintenance_combine '!A:E,5,FALSE),"Non trouvé")</f>
        <v>5G</v>
      </c>
      <c r="J640" t="str">
        <f>IFERROR(VLOOKUP(Logs_reseau[[#This Row],[Cell_ID]],'[1]Registre_Maintenance_combine '!A:F,6,FALSE),"Non trouvé")</f>
        <v>Nokia</v>
      </c>
    </row>
    <row r="641" spans="1:10" x14ac:dyDescent="0.25">
      <c r="A641" t="str">
        <f>IFERROR(VLOOKUP(Logs_reseau[[#This Row],[Cell_ID]],'[1]Registre_Maintenance_combine '!A:B,2,FALSE),"Non trouvé")</f>
        <v>Nord-Ubangi</v>
      </c>
      <c r="B641" t="s">
        <v>154</v>
      </c>
      <c r="C641" s="3">
        <v>45209.898611111108</v>
      </c>
      <c r="D641" s="11">
        <f>Logs_reseau[[#This Row],[Duree_Panne_Min]]/1440</f>
        <v>4.027777777777778E-2</v>
      </c>
      <c r="E641">
        <v>58</v>
      </c>
      <c r="F641" t="s">
        <v>1</v>
      </c>
      <c r="G641">
        <f>IFERROR(VLOOKUP(Logs_reseau[[#This Row],[Cell_ID]],'[1]Registre_Maintenance_combine '!A:C,3,FALSE),"Non trouvé")</f>
        <v>0.94539899999999999</v>
      </c>
      <c r="H641">
        <f>IFERROR(VLOOKUP(Logs_reseau[[#This Row],[Cell_ID]],'[1]Registre_Maintenance_combine '!A:D,4,FALSE),"Non trouvé")</f>
        <v>14.401821999999999</v>
      </c>
      <c r="I641" t="str">
        <f>IFERROR(VLOOKUP(Logs_reseau[[#This Row],[Cell_ID]],'[1]Registre_Maintenance_combine '!A:E,5,FALSE),"Non trouvé")</f>
        <v>5G</v>
      </c>
      <c r="J641" t="str">
        <f>IFERROR(VLOOKUP(Logs_reseau[[#This Row],[Cell_ID]],'[1]Registre_Maintenance_combine '!A:F,6,FALSE),"Non trouvé")</f>
        <v>Nokia</v>
      </c>
    </row>
    <row r="642" spans="1:10" x14ac:dyDescent="0.25">
      <c r="A642" t="str">
        <f>IFERROR(VLOOKUP(Logs_reseau[[#This Row],[Cell_ID]],'[1]Registre_Maintenance_combine '!A:B,2,FALSE),"Non trouvé")</f>
        <v>Nord-Ubangi</v>
      </c>
      <c r="B642" t="s">
        <v>154</v>
      </c>
      <c r="C642" s="3">
        <v>45225.468055555553</v>
      </c>
      <c r="D642" s="11">
        <f>Logs_reseau[[#This Row],[Duree_Panne_Min]]/1440</f>
        <v>4.9305555555555554E-2</v>
      </c>
      <c r="E642">
        <v>71</v>
      </c>
      <c r="F642" t="s">
        <v>2</v>
      </c>
      <c r="G642">
        <f>IFERROR(VLOOKUP(Logs_reseau[[#This Row],[Cell_ID]],'[1]Registre_Maintenance_combine '!A:C,3,FALSE),"Non trouvé")</f>
        <v>0.94539899999999999</v>
      </c>
      <c r="H642">
        <f>IFERROR(VLOOKUP(Logs_reseau[[#This Row],[Cell_ID]],'[1]Registre_Maintenance_combine '!A:D,4,FALSE),"Non trouvé")</f>
        <v>14.401821999999999</v>
      </c>
      <c r="I642" t="str">
        <f>IFERROR(VLOOKUP(Logs_reseau[[#This Row],[Cell_ID]],'[1]Registre_Maintenance_combine '!A:E,5,FALSE),"Non trouvé")</f>
        <v>5G</v>
      </c>
      <c r="J642" t="str">
        <f>IFERROR(VLOOKUP(Logs_reseau[[#This Row],[Cell_ID]],'[1]Registre_Maintenance_combine '!A:F,6,FALSE),"Non trouvé")</f>
        <v>Nokia</v>
      </c>
    </row>
    <row r="643" spans="1:10" x14ac:dyDescent="0.25">
      <c r="A643" t="str">
        <f>IFERROR(VLOOKUP(Logs_reseau[[#This Row],[Cell_ID]],'[1]Registre_Maintenance_combine '!A:B,2,FALSE),"Non trouvé")</f>
        <v>Nord-Ubangi</v>
      </c>
      <c r="B643" t="s">
        <v>154</v>
      </c>
      <c r="C643" s="3">
        <v>45208.047222222223</v>
      </c>
      <c r="D643" s="11">
        <f>Logs_reseau[[#This Row],[Duree_Panne_Min]]/1440</f>
        <v>4.583333333333333E-2</v>
      </c>
      <c r="E643">
        <v>66</v>
      </c>
      <c r="F643" t="s">
        <v>2</v>
      </c>
      <c r="G643">
        <f>IFERROR(VLOOKUP(Logs_reseau[[#This Row],[Cell_ID]],'[1]Registre_Maintenance_combine '!A:C,3,FALSE),"Non trouvé")</f>
        <v>0.94539899999999999</v>
      </c>
      <c r="H643">
        <f>IFERROR(VLOOKUP(Logs_reseau[[#This Row],[Cell_ID]],'[1]Registre_Maintenance_combine '!A:D,4,FALSE),"Non trouvé")</f>
        <v>14.401821999999999</v>
      </c>
      <c r="I643" t="str">
        <f>IFERROR(VLOOKUP(Logs_reseau[[#This Row],[Cell_ID]],'[1]Registre_Maintenance_combine '!A:E,5,FALSE),"Non trouvé")</f>
        <v>5G</v>
      </c>
      <c r="J643" t="str">
        <f>IFERROR(VLOOKUP(Logs_reseau[[#This Row],[Cell_ID]],'[1]Registre_Maintenance_combine '!A:F,6,FALSE),"Non trouvé")</f>
        <v>Nokia</v>
      </c>
    </row>
    <row r="644" spans="1:10" x14ac:dyDescent="0.25">
      <c r="A644" t="str">
        <f>IFERROR(VLOOKUP(Logs_reseau[[#This Row],[Cell_ID]],'[1]Registre_Maintenance_combine '!A:B,2,FALSE),"Non trouvé")</f>
        <v>Nord-Ubangi</v>
      </c>
      <c r="B644" t="s">
        <v>154</v>
      </c>
      <c r="C644" s="3">
        <v>45206.443055555559</v>
      </c>
      <c r="D644" s="11">
        <f>Logs_reseau[[#This Row],[Duree_Panne_Min]]/1440</f>
        <v>4.583333333333333E-2</v>
      </c>
      <c r="E644">
        <v>66</v>
      </c>
      <c r="F644" t="s">
        <v>1</v>
      </c>
      <c r="G644">
        <f>IFERROR(VLOOKUP(Logs_reseau[[#This Row],[Cell_ID]],'[1]Registre_Maintenance_combine '!A:C,3,FALSE),"Non trouvé")</f>
        <v>0.94539899999999999</v>
      </c>
      <c r="H644">
        <f>IFERROR(VLOOKUP(Logs_reseau[[#This Row],[Cell_ID]],'[1]Registre_Maintenance_combine '!A:D,4,FALSE),"Non trouvé")</f>
        <v>14.401821999999999</v>
      </c>
      <c r="I644" t="str">
        <f>IFERROR(VLOOKUP(Logs_reseau[[#This Row],[Cell_ID]],'[1]Registre_Maintenance_combine '!A:E,5,FALSE),"Non trouvé")</f>
        <v>5G</v>
      </c>
      <c r="J644" t="str">
        <f>IFERROR(VLOOKUP(Logs_reseau[[#This Row],[Cell_ID]],'[1]Registre_Maintenance_combine '!A:F,6,FALSE),"Non trouvé")</f>
        <v>Nokia</v>
      </c>
    </row>
    <row r="645" spans="1:10" x14ac:dyDescent="0.25">
      <c r="A645" t="str">
        <f>IFERROR(VLOOKUP(Logs_reseau[[#This Row],[Cell_ID]],'[1]Registre_Maintenance_combine '!A:B,2,FALSE),"Non trouvé")</f>
        <v>Nord-Ubangi</v>
      </c>
      <c r="B645" t="s">
        <v>154</v>
      </c>
      <c r="C645" s="3">
        <v>45230.26458333333</v>
      </c>
      <c r="D645" s="11">
        <f>Logs_reseau[[#This Row],[Duree_Panne_Min]]/1440</f>
        <v>8.1944444444444445E-2</v>
      </c>
      <c r="E645">
        <v>118</v>
      </c>
      <c r="F645" t="s">
        <v>1</v>
      </c>
      <c r="G645">
        <f>IFERROR(VLOOKUP(Logs_reseau[[#This Row],[Cell_ID]],'[1]Registre_Maintenance_combine '!A:C,3,FALSE),"Non trouvé")</f>
        <v>0.94539899999999999</v>
      </c>
      <c r="H645">
        <f>IFERROR(VLOOKUP(Logs_reseau[[#This Row],[Cell_ID]],'[1]Registre_Maintenance_combine '!A:D,4,FALSE),"Non trouvé")</f>
        <v>14.401821999999999</v>
      </c>
      <c r="I645" t="str">
        <f>IFERROR(VLOOKUP(Logs_reseau[[#This Row],[Cell_ID]],'[1]Registre_Maintenance_combine '!A:E,5,FALSE),"Non trouvé")</f>
        <v>5G</v>
      </c>
      <c r="J645" t="str">
        <f>IFERROR(VLOOKUP(Logs_reseau[[#This Row],[Cell_ID]],'[1]Registre_Maintenance_combine '!A:F,6,FALSE),"Non trouvé")</f>
        <v>Nokia</v>
      </c>
    </row>
    <row r="646" spans="1:10" x14ac:dyDescent="0.25">
      <c r="A646" t="str">
        <f>IFERROR(VLOOKUP(Logs_reseau[[#This Row],[Cell_ID]],'[1]Registre_Maintenance_combine '!A:B,2,FALSE),"Non trouvé")</f>
        <v>Kongo-Central</v>
      </c>
      <c r="B646" t="s">
        <v>155</v>
      </c>
      <c r="C646" s="3">
        <v>45201.330555555556</v>
      </c>
      <c r="D646" s="11">
        <f>Logs_reseau[[#This Row],[Duree_Panne_Min]]/1440</f>
        <v>6.9444444444444448E-2</v>
      </c>
      <c r="E646">
        <v>100</v>
      </c>
      <c r="F646" t="s">
        <v>2</v>
      </c>
      <c r="G646">
        <f>IFERROR(VLOOKUP(Logs_reseau[[#This Row],[Cell_ID]],'[1]Registre_Maintenance_combine '!A:C,3,FALSE),"Non trouvé")</f>
        <v>-10.977309</v>
      </c>
      <c r="H646">
        <f>IFERROR(VLOOKUP(Logs_reseau[[#This Row],[Cell_ID]],'[1]Registre_Maintenance_combine '!A:D,4,FALSE),"Non trouvé")</f>
        <v>12.408281000000001</v>
      </c>
      <c r="I646" t="str">
        <f>IFERROR(VLOOKUP(Logs_reseau[[#This Row],[Cell_ID]],'[1]Registre_Maintenance_combine '!A:E,5,FALSE),"Non trouvé")</f>
        <v>5G</v>
      </c>
      <c r="J646" t="str">
        <f>IFERROR(VLOOKUP(Logs_reseau[[#This Row],[Cell_ID]],'[1]Registre_Maintenance_combine '!A:F,6,FALSE),"Non trouvé")</f>
        <v>ZTE</v>
      </c>
    </row>
    <row r="647" spans="1:10" x14ac:dyDescent="0.25">
      <c r="A647" t="str">
        <f>IFERROR(VLOOKUP(Logs_reseau[[#This Row],[Cell_ID]],'[1]Registre_Maintenance_combine '!A:B,2,FALSE),"Non trouvé")</f>
        <v>Kongo-Central</v>
      </c>
      <c r="B647" t="s">
        <v>155</v>
      </c>
      <c r="C647" s="3">
        <v>45204.999305555553</v>
      </c>
      <c r="D647" s="11">
        <f>Logs_reseau[[#This Row],[Duree_Panne_Min]]/1440</f>
        <v>6.3194444444444442E-2</v>
      </c>
      <c r="E647">
        <v>91</v>
      </c>
      <c r="F647" t="s">
        <v>2</v>
      </c>
      <c r="G647">
        <f>IFERROR(VLOOKUP(Logs_reseau[[#This Row],[Cell_ID]],'[1]Registre_Maintenance_combine '!A:C,3,FALSE),"Non trouvé")</f>
        <v>-10.977309</v>
      </c>
      <c r="H647">
        <f>IFERROR(VLOOKUP(Logs_reseau[[#This Row],[Cell_ID]],'[1]Registre_Maintenance_combine '!A:D,4,FALSE),"Non trouvé")</f>
        <v>12.408281000000001</v>
      </c>
      <c r="I647" t="str">
        <f>IFERROR(VLOOKUP(Logs_reseau[[#This Row],[Cell_ID]],'[1]Registre_Maintenance_combine '!A:E,5,FALSE),"Non trouvé")</f>
        <v>5G</v>
      </c>
      <c r="J647" t="str">
        <f>IFERROR(VLOOKUP(Logs_reseau[[#This Row],[Cell_ID]],'[1]Registre_Maintenance_combine '!A:F,6,FALSE),"Non trouvé")</f>
        <v>ZTE</v>
      </c>
    </row>
    <row r="648" spans="1:10" x14ac:dyDescent="0.25">
      <c r="A648" t="str">
        <f>IFERROR(VLOOKUP(Logs_reseau[[#This Row],[Cell_ID]],'[1]Registre_Maintenance_combine '!A:B,2,FALSE),"Non trouvé")</f>
        <v>Kongo-Central</v>
      </c>
      <c r="B648" t="s">
        <v>155</v>
      </c>
      <c r="C648" s="3">
        <v>45210.979166666664</v>
      </c>
      <c r="D648" s="11">
        <f>Logs_reseau[[#This Row],[Duree_Panne_Min]]/1440</f>
        <v>6.7361111111111108E-2</v>
      </c>
      <c r="E648">
        <v>97</v>
      </c>
      <c r="F648" t="s">
        <v>2</v>
      </c>
      <c r="G648">
        <f>IFERROR(VLOOKUP(Logs_reseau[[#This Row],[Cell_ID]],'[1]Registre_Maintenance_combine '!A:C,3,FALSE),"Non trouvé")</f>
        <v>-10.977309</v>
      </c>
      <c r="H648">
        <f>IFERROR(VLOOKUP(Logs_reseau[[#This Row],[Cell_ID]],'[1]Registre_Maintenance_combine '!A:D,4,FALSE),"Non trouvé")</f>
        <v>12.408281000000001</v>
      </c>
      <c r="I648" t="str">
        <f>IFERROR(VLOOKUP(Logs_reseau[[#This Row],[Cell_ID]],'[1]Registre_Maintenance_combine '!A:E,5,FALSE),"Non trouvé")</f>
        <v>5G</v>
      </c>
      <c r="J648" t="str">
        <f>IFERROR(VLOOKUP(Logs_reseau[[#This Row],[Cell_ID]],'[1]Registre_Maintenance_combine '!A:F,6,FALSE),"Non trouvé")</f>
        <v>ZTE</v>
      </c>
    </row>
    <row r="649" spans="1:10" x14ac:dyDescent="0.25">
      <c r="A649" t="str">
        <f>IFERROR(VLOOKUP(Logs_reseau[[#This Row],[Cell_ID]],'[1]Registre_Maintenance_combine '!A:B,2,FALSE),"Non trouvé")</f>
        <v>Kongo-Central</v>
      </c>
      <c r="B649" t="s">
        <v>155</v>
      </c>
      <c r="C649" s="3">
        <v>45204.759027777778</v>
      </c>
      <c r="D649" s="11">
        <f>Logs_reseau[[#This Row],[Duree_Panne_Min]]/1440</f>
        <v>7.1527777777777773E-2</v>
      </c>
      <c r="E649">
        <v>103</v>
      </c>
      <c r="F649" t="s">
        <v>2</v>
      </c>
      <c r="G649">
        <f>IFERROR(VLOOKUP(Logs_reseau[[#This Row],[Cell_ID]],'[1]Registre_Maintenance_combine '!A:C,3,FALSE),"Non trouvé")</f>
        <v>-10.977309</v>
      </c>
      <c r="H649">
        <f>IFERROR(VLOOKUP(Logs_reseau[[#This Row],[Cell_ID]],'[1]Registre_Maintenance_combine '!A:D,4,FALSE),"Non trouvé")</f>
        <v>12.408281000000001</v>
      </c>
      <c r="I649" t="str">
        <f>IFERROR(VLOOKUP(Logs_reseau[[#This Row],[Cell_ID]],'[1]Registre_Maintenance_combine '!A:E,5,FALSE),"Non trouvé")</f>
        <v>5G</v>
      </c>
      <c r="J649" t="str">
        <f>IFERROR(VLOOKUP(Logs_reseau[[#This Row],[Cell_ID]],'[1]Registre_Maintenance_combine '!A:F,6,FALSE),"Non trouvé")</f>
        <v>ZTE</v>
      </c>
    </row>
    <row r="650" spans="1:10" x14ac:dyDescent="0.25">
      <c r="A650" t="str">
        <f>IFERROR(VLOOKUP(Logs_reseau[[#This Row],[Cell_ID]],'[1]Registre_Maintenance_combine '!A:B,2,FALSE),"Non trouvé")</f>
        <v>Non trouvé</v>
      </c>
      <c r="B650" t="s">
        <v>156</v>
      </c>
      <c r="C650" s="3">
        <v>45208.240972222222</v>
      </c>
      <c r="D650" s="11">
        <f>Logs_reseau[[#This Row],[Duree_Panne_Min]]/1440</f>
        <v>1.3888888888888888E-2</v>
      </c>
      <c r="E650">
        <v>20</v>
      </c>
      <c r="F650" t="s">
        <v>2</v>
      </c>
      <c r="G650" t="str">
        <f>IFERROR(VLOOKUP(Logs_reseau[[#This Row],[Cell_ID]],'[1]Registre_Maintenance_combine '!A:C,3,FALSE),"Non trouvé")</f>
        <v>Non trouvé</v>
      </c>
      <c r="H650" t="str">
        <f>IFERROR(VLOOKUP(Logs_reseau[[#This Row],[Cell_ID]],'[1]Registre_Maintenance_combine '!A:D,4,FALSE),"Non trouvé")</f>
        <v>Non trouvé</v>
      </c>
      <c r="I650" t="str">
        <f>IFERROR(VLOOKUP(Logs_reseau[[#This Row],[Cell_ID]],'[1]Registre_Maintenance_combine '!A:E,5,FALSE),"Non trouvé")</f>
        <v>Non trouvé</v>
      </c>
      <c r="J650" t="str">
        <f>IFERROR(VLOOKUP(Logs_reseau[[#This Row],[Cell_ID]],'[1]Registre_Maintenance_combine '!A:F,6,FALSE),"Non trouvé")</f>
        <v>Non trouvé</v>
      </c>
    </row>
    <row r="651" spans="1:10" x14ac:dyDescent="0.25">
      <c r="A651" t="str">
        <f>IFERROR(VLOOKUP(Logs_reseau[[#This Row],[Cell_ID]],'[1]Registre_Maintenance_combine '!A:B,2,FALSE),"Non trouvé")</f>
        <v>Non trouvé</v>
      </c>
      <c r="B651" t="s">
        <v>156</v>
      </c>
      <c r="C651" s="3">
        <v>45214.739583333336</v>
      </c>
      <c r="D651" s="11">
        <f>Logs_reseau[[#This Row],[Duree_Panne_Min]]/1440</f>
        <v>2.0833333333333332E-2</v>
      </c>
      <c r="E651">
        <v>30</v>
      </c>
      <c r="F651" t="s">
        <v>1</v>
      </c>
      <c r="G651" t="str">
        <f>IFERROR(VLOOKUP(Logs_reseau[[#This Row],[Cell_ID]],'[1]Registre_Maintenance_combine '!A:C,3,FALSE),"Non trouvé")</f>
        <v>Non trouvé</v>
      </c>
      <c r="H651" t="str">
        <f>IFERROR(VLOOKUP(Logs_reseau[[#This Row],[Cell_ID]],'[1]Registre_Maintenance_combine '!A:D,4,FALSE),"Non trouvé")</f>
        <v>Non trouvé</v>
      </c>
      <c r="I651" t="str">
        <f>IFERROR(VLOOKUP(Logs_reseau[[#This Row],[Cell_ID]],'[1]Registre_Maintenance_combine '!A:E,5,FALSE),"Non trouvé")</f>
        <v>Non trouvé</v>
      </c>
      <c r="J651" t="str">
        <f>IFERROR(VLOOKUP(Logs_reseau[[#This Row],[Cell_ID]],'[1]Registre_Maintenance_combine '!A:F,6,FALSE),"Non trouvé")</f>
        <v>Non trouvé</v>
      </c>
    </row>
    <row r="652" spans="1:10" x14ac:dyDescent="0.25">
      <c r="A652" t="str">
        <f>IFERROR(VLOOKUP(Logs_reseau[[#This Row],[Cell_ID]],'[1]Registre_Maintenance_combine '!A:B,2,FALSE),"Non trouvé")</f>
        <v>Non trouvé</v>
      </c>
      <c r="B652" t="s">
        <v>156</v>
      </c>
      <c r="C652" s="3">
        <v>45209.301388888889</v>
      </c>
      <c r="D652" s="11">
        <f>Logs_reseau[[#This Row],[Duree_Panne_Min]]/1440</f>
        <v>0.05</v>
      </c>
      <c r="E652">
        <v>72</v>
      </c>
      <c r="F652" t="s">
        <v>2</v>
      </c>
      <c r="G652" t="str">
        <f>IFERROR(VLOOKUP(Logs_reseau[[#This Row],[Cell_ID]],'[1]Registre_Maintenance_combine '!A:C,3,FALSE),"Non trouvé")</f>
        <v>Non trouvé</v>
      </c>
      <c r="H652" t="str">
        <f>IFERROR(VLOOKUP(Logs_reseau[[#This Row],[Cell_ID]],'[1]Registre_Maintenance_combine '!A:D,4,FALSE),"Non trouvé")</f>
        <v>Non trouvé</v>
      </c>
      <c r="I652" t="str">
        <f>IFERROR(VLOOKUP(Logs_reseau[[#This Row],[Cell_ID]],'[1]Registre_Maintenance_combine '!A:E,5,FALSE),"Non trouvé")</f>
        <v>Non trouvé</v>
      </c>
      <c r="J652" t="str">
        <f>IFERROR(VLOOKUP(Logs_reseau[[#This Row],[Cell_ID]],'[1]Registre_Maintenance_combine '!A:F,6,FALSE),"Non trouvé")</f>
        <v>Non trouvé</v>
      </c>
    </row>
    <row r="653" spans="1:10" x14ac:dyDescent="0.25">
      <c r="A653" t="str">
        <f>IFERROR(VLOOKUP(Logs_reseau[[#This Row],[Cell_ID]],'[1]Registre_Maintenance_combine '!A:B,2,FALSE),"Non trouvé")</f>
        <v>Non trouvé</v>
      </c>
      <c r="B653" t="s">
        <v>156</v>
      </c>
      <c r="C653" s="3">
        <v>45226.790277777778</v>
      </c>
      <c r="D653" s="11">
        <f>Logs_reseau[[#This Row],[Duree_Panne_Min]]/1440</f>
        <v>5.8333333333333334E-2</v>
      </c>
      <c r="E653">
        <v>84</v>
      </c>
      <c r="F653" t="s">
        <v>2</v>
      </c>
      <c r="G653" t="str">
        <f>IFERROR(VLOOKUP(Logs_reseau[[#This Row],[Cell_ID]],'[1]Registre_Maintenance_combine '!A:C,3,FALSE),"Non trouvé")</f>
        <v>Non trouvé</v>
      </c>
      <c r="H653" t="str">
        <f>IFERROR(VLOOKUP(Logs_reseau[[#This Row],[Cell_ID]],'[1]Registre_Maintenance_combine '!A:D,4,FALSE),"Non trouvé")</f>
        <v>Non trouvé</v>
      </c>
      <c r="I653" t="str">
        <f>IFERROR(VLOOKUP(Logs_reseau[[#This Row],[Cell_ID]],'[1]Registre_Maintenance_combine '!A:E,5,FALSE),"Non trouvé")</f>
        <v>Non trouvé</v>
      </c>
      <c r="J653" t="str">
        <f>IFERROR(VLOOKUP(Logs_reseau[[#This Row],[Cell_ID]],'[1]Registre_Maintenance_combine '!A:F,6,FALSE),"Non trouvé")</f>
        <v>Non trouvé</v>
      </c>
    </row>
    <row r="654" spans="1:10" x14ac:dyDescent="0.25">
      <c r="A654" t="str">
        <f>IFERROR(VLOOKUP(Logs_reseau[[#This Row],[Cell_ID]],'[1]Registre_Maintenance_combine '!A:B,2,FALSE),"Non trouvé")</f>
        <v>Non trouvé</v>
      </c>
      <c r="B654" t="s">
        <v>156</v>
      </c>
      <c r="C654" s="3">
        <v>45226.194444444445</v>
      </c>
      <c r="D654" s="11">
        <f>Logs_reseau[[#This Row],[Duree_Panne_Min]]/1440</f>
        <v>6.1805555555555558E-2</v>
      </c>
      <c r="E654">
        <v>89</v>
      </c>
      <c r="F654" t="s">
        <v>1</v>
      </c>
      <c r="G654" t="str">
        <f>IFERROR(VLOOKUP(Logs_reseau[[#This Row],[Cell_ID]],'[1]Registre_Maintenance_combine '!A:C,3,FALSE),"Non trouvé")</f>
        <v>Non trouvé</v>
      </c>
      <c r="H654" t="str">
        <f>IFERROR(VLOOKUP(Logs_reseau[[#This Row],[Cell_ID]],'[1]Registre_Maintenance_combine '!A:D,4,FALSE),"Non trouvé")</f>
        <v>Non trouvé</v>
      </c>
      <c r="I654" t="str">
        <f>IFERROR(VLOOKUP(Logs_reseau[[#This Row],[Cell_ID]],'[1]Registre_Maintenance_combine '!A:E,5,FALSE),"Non trouvé")</f>
        <v>Non trouvé</v>
      </c>
      <c r="J654" t="str">
        <f>IFERROR(VLOOKUP(Logs_reseau[[#This Row],[Cell_ID]],'[1]Registre_Maintenance_combine '!A:F,6,FALSE),"Non trouvé")</f>
        <v>Non trouvé</v>
      </c>
    </row>
    <row r="655" spans="1:10" x14ac:dyDescent="0.25">
      <c r="A655" t="str">
        <f>IFERROR(VLOOKUP(Logs_reseau[[#This Row],[Cell_ID]],'[1]Registre_Maintenance_combine '!A:B,2,FALSE),"Non trouvé")</f>
        <v>Non trouvé</v>
      </c>
      <c r="B655" t="s">
        <v>157</v>
      </c>
      <c r="C655" s="3">
        <v>45230.061111111114</v>
      </c>
      <c r="D655" s="11">
        <f>Logs_reseau[[#This Row],[Duree_Panne_Min]]/1440</f>
        <v>2.5000000000000001E-2</v>
      </c>
      <c r="E655">
        <v>36</v>
      </c>
      <c r="F655" t="s">
        <v>2</v>
      </c>
      <c r="G655" t="str">
        <f>IFERROR(VLOOKUP(Logs_reseau[[#This Row],[Cell_ID]],'[1]Registre_Maintenance_combine '!A:C,3,FALSE),"Non trouvé")</f>
        <v>Non trouvé</v>
      </c>
      <c r="H655" t="str">
        <f>IFERROR(VLOOKUP(Logs_reseau[[#This Row],[Cell_ID]],'[1]Registre_Maintenance_combine '!A:D,4,FALSE),"Non trouvé")</f>
        <v>Non trouvé</v>
      </c>
      <c r="I655" t="str">
        <f>IFERROR(VLOOKUP(Logs_reseau[[#This Row],[Cell_ID]],'[1]Registre_Maintenance_combine '!A:E,5,FALSE),"Non trouvé")</f>
        <v>Non trouvé</v>
      </c>
      <c r="J655" t="str">
        <f>IFERROR(VLOOKUP(Logs_reseau[[#This Row],[Cell_ID]],'[1]Registre_Maintenance_combine '!A:F,6,FALSE),"Non trouvé")</f>
        <v>Non trouvé</v>
      </c>
    </row>
    <row r="656" spans="1:10" x14ac:dyDescent="0.25">
      <c r="A656" t="str">
        <f>IFERROR(VLOOKUP(Logs_reseau[[#This Row],[Cell_ID]],'[1]Registre_Maintenance_combine '!A:B,2,FALSE),"Non trouvé")</f>
        <v>Non trouvé</v>
      </c>
      <c r="B656" t="s">
        <v>158</v>
      </c>
      <c r="C656" s="3">
        <v>45229.163194444445</v>
      </c>
      <c r="D656" s="11">
        <f>Logs_reseau[[#This Row],[Duree_Panne_Min]]/1440</f>
        <v>5.9722222222222225E-2</v>
      </c>
      <c r="E656">
        <v>86</v>
      </c>
      <c r="F656" t="s">
        <v>4</v>
      </c>
      <c r="G656" t="str">
        <f>IFERROR(VLOOKUP(Logs_reseau[[#This Row],[Cell_ID]],'[1]Registre_Maintenance_combine '!A:C,3,FALSE),"Non trouvé")</f>
        <v>Non trouvé</v>
      </c>
      <c r="H656" t="str">
        <f>IFERROR(VLOOKUP(Logs_reseau[[#This Row],[Cell_ID]],'[1]Registre_Maintenance_combine '!A:D,4,FALSE),"Non trouvé")</f>
        <v>Non trouvé</v>
      </c>
      <c r="I656" t="str">
        <f>IFERROR(VLOOKUP(Logs_reseau[[#This Row],[Cell_ID]],'[1]Registre_Maintenance_combine '!A:E,5,FALSE),"Non trouvé")</f>
        <v>Non trouvé</v>
      </c>
      <c r="J656" t="str">
        <f>IFERROR(VLOOKUP(Logs_reseau[[#This Row],[Cell_ID]],'[1]Registre_Maintenance_combine '!A:F,6,FALSE),"Non trouvé")</f>
        <v>Non trouvé</v>
      </c>
    </row>
    <row r="657" spans="1:10" x14ac:dyDescent="0.25">
      <c r="A657" t="str">
        <f>IFERROR(VLOOKUP(Logs_reseau[[#This Row],[Cell_ID]],'[1]Registre_Maintenance_combine '!A:B,2,FALSE),"Non trouvé")</f>
        <v>Non trouvé</v>
      </c>
      <c r="B657" t="s">
        <v>158</v>
      </c>
      <c r="C657" s="3">
        <v>45201.35</v>
      </c>
      <c r="D657" s="11">
        <f>Logs_reseau[[#This Row],[Duree_Panne_Min]]/1440</f>
        <v>4.583333333333333E-2</v>
      </c>
      <c r="E657">
        <v>66</v>
      </c>
      <c r="F657" t="s">
        <v>4</v>
      </c>
      <c r="G657" t="str">
        <f>IFERROR(VLOOKUP(Logs_reseau[[#This Row],[Cell_ID]],'[1]Registre_Maintenance_combine '!A:C,3,FALSE),"Non trouvé")</f>
        <v>Non trouvé</v>
      </c>
      <c r="H657" t="str">
        <f>IFERROR(VLOOKUP(Logs_reseau[[#This Row],[Cell_ID]],'[1]Registre_Maintenance_combine '!A:D,4,FALSE),"Non trouvé")</f>
        <v>Non trouvé</v>
      </c>
      <c r="I657" t="str">
        <f>IFERROR(VLOOKUP(Logs_reseau[[#This Row],[Cell_ID]],'[1]Registre_Maintenance_combine '!A:E,5,FALSE),"Non trouvé")</f>
        <v>Non trouvé</v>
      </c>
      <c r="J657" t="str">
        <f>IFERROR(VLOOKUP(Logs_reseau[[#This Row],[Cell_ID]],'[1]Registre_Maintenance_combine '!A:F,6,FALSE),"Non trouvé")</f>
        <v>Non trouvé</v>
      </c>
    </row>
    <row r="658" spans="1:10" x14ac:dyDescent="0.25">
      <c r="A658" t="str">
        <f>IFERROR(VLOOKUP(Logs_reseau[[#This Row],[Cell_ID]],'[1]Registre_Maintenance_combine '!A:B,2,FALSE),"Non trouvé")</f>
        <v>Non trouvé</v>
      </c>
      <c r="B658" t="s">
        <v>158</v>
      </c>
      <c r="C658" s="3">
        <v>45214.929861111108</v>
      </c>
      <c r="D658" s="11">
        <f>Logs_reseau[[#This Row],[Duree_Panne_Min]]/1440</f>
        <v>5.7638888888888892E-2</v>
      </c>
      <c r="E658">
        <v>83</v>
      </c>
      <c r="F658" t="s">
        <v>4</v>
      </c>
      <c r="G658" t="str">
        <f>IFERROR(VLOOKUP(Logs_reseau[[#This Row],[Cell_ID]],'[1]Registre_Maintenance_combine '!A:C,3,FALSE),"Non trouvé")</f>
        <v>Non trouvé</v>
      </c>
      <c r="H658" t="str">
        <f>IFERROR(VLOOKUP(Logs_reseau[[#This Row],[Cell_ID]],'[1]Registre_Maintenance_combine '!A:D,4,FALSE),"Non trouvé")</f>
        <v>Non trouvé</v>
      </c>
      <c r="I658" t="str">
        <f>IFERROR(VLOOKUP(Logs_reseau[[#This Row],[Cell_ID]],'[1]Registre_Maintenance_combine '!A:E,5,FALSE),"Non trouvé")</f>
        <v>Non trouvé</v>
      </c>
      <c r="J658" t="str">
        <f>IFERROR(VLOOKUP(Logs_reseau[[#This Row],[Cell_ID]],'[1]Registre_Maintenance_combine '!A:F,6,FALSE),"Non trouvé")</f>
        <v>Non trouvé</v>
      </c>
    </row>
    <row r="659" spans="1:10" x14ac:dyDescent="0.25">
      <c r="A659" t="str">
        <f>IFERROR(VLOOKUP(Logs_reseau[[#This Row],[Cell_ID]],'[1]Registre_Maintenance_combine '!A:B,2,FALSE),"Non trouvé")</f>
        <v>Non trouvé</v>
      </c>
      <c r="B659" t="s">
        <v>158</v>
      </c>
      <c r="C659" s="3">
        <v>45205.102777777778</v>
      </c>
      <c r="D659" s="11">
        <f>Logs_reseau[[#This Row],[Duree_Panne_Min]]/1440</f>
        <v>1.6666666666666666E-2</v>
      </c>
      <c r="E659">
        <v>24</v>
      </c>
      <c r="F659" t="s">
        <v>1</v>
      </c>
      <c r="G659" t="str">
        <f>IFERROR(VLOOKUP(Logs_reseau[[#This Row],[Cell_ID]],'[1]Registre_Maintenance_combine '!A:C,3,FALSE),"Non trouvé")</f>
        <v>Non trouvé</v>
      </c>
      <c r="H659" t="str">
        <f>IFERROR(VLOOKUP(Logs_reseau[[#This Row],[Cell_ID]],'[1]Registre_Maintenance_combine '!A:D,4,FALSE),"Non trouvé")</f>
        <v>Non trouvé</v>
      </c>
      <c r="I659" t="str">
        <f>IFERROR(VLOOKUP(Logs_reseau[[#This Row],[Cell_ID]],'[1]Registre_Maintenance_combine '!A:E,5,FALSE),"Non trouvé")</f>
        <v>Non trouvé</v>
      </c>
      <c r="J659" t="str">
        <f>IFERROR(VLOOKUP(Logs_reseau[[#This Row],[Cell_ID]],'[1]Registre_Maintenance_combine '!A:F,6,FALSE),"Non trouvé")</f>
        <v>Non trouvé</v>
      </c>
    </row>
    <row r="660" spans="1:10" x14ac:dyDescent="0.25">
      <c r="A660" t="str">
        <f>IFERROR(VLOOKUP(Logs_reseau[[#This Row],[Cell_ID]],'[1]Registre_Maintenance_combine '!A:B,2,FALSE),"Non trouvé")</f>
        <v>Non trouvé</v>
      </c>
      <c r="B660" t="s">
        <v>158</v>
      </c>
      <c r="C660" s="3">
        <v>45210.306250000001</v>
      </c>
      <c r="D660" s="11">
        <f>Logs_reseau[[#This Row],[Duree_Panne_Min]]/1440</f>
        <v>6.0416666666666667E-2</v>
      </c>
      <c r="E660">
        <v>87</v>
      </c>
      <c r="F660" t="s">
        <v>4</v>
      </c>
      <c r="G660" t="str">
        <f>IFERROR(VLOOKUP(Logs_reseau[[#This Row],[Cell_ID]],'[1]Registre_Maintenance_combine '!A:C,3,FALSE),"Non trouvé")</f>
        <v>Non trouvé</v>
      </c>
      <c r="H660" t="str">
        <f>IFERROR(VLOOKUP(Logs_reseau[[#This Row],[Cell_ID]],'[1]Registre_Maintenance_combine '!A:D,4,FALSE),"Non trouvé")</f>
        <v>Non trouvé</v>
      </c>
      <c r="I660" t="str">
        <f>IFERROR(VLOOKUP(Logs_reseau[[#This Row],[Cell_ID]],'[1]Registre_Maintenance_combine '!A:E,5,FALSE),"Non trouvé")</f>
        <v>Non trouvé</v>
      </c>
      <c r="J660" t="str">
        <f>IFERROR(VLOOKUP(Logs_reseau[[#This Row],[Cell_ID]],'[1]Registre_Maintenance_combine '!A:F,6,FALSE),"Non trouvé")</f>
        <v>Non trouvé</v>
      </c>
    </row>
    <row r="661" spans="1:10" x14ac:dyDescent="0.25">
      <c r="A661" t="str">
        <f>IFERROR(VLOOKUP(Logs_reseau[[#This Row],[Cell_ID]],'[1]Registre_Maintenance_combine '!A:B,2,FALSE),"Non trouvé")</f>
        <v>Non trouvé</v>
      </c>
      <c r="B661" t="s">
        <v>158</v>
      </c>
      <c r="C661" s="3">
        <v>45217.89166666667</v>
      </c>
      <c r="D661" s="11">
        <f>Logs_reseau[[#This Row],[Duree_Panne_Min]]/1440</f>
        <v>5.4166666666666669E-2</v>
      </c>
      <c r="E661">
        <v>78</v>
      </c>
      <c r="F661" t="s">
        <v>4</v>
      </c>
      <c r="G661" t="str">
        <f>IFERROR(VLOOKUP(Logs_reseau[[#This Row],[Cell_ID]],'[1]Registre_Maintenance_combine '!A:C,3,FALSE),"Non trouvé")</f>
        <v>Non trouvé</v>
      </c>
      <c r="H661" t="str">
        <f>IFERROR(VLOOKUP(Logs_reseau[[#This Row],[Cell_ID]],'[1]Registre_Maintenance_combine '!A:D,4,FALSE),"Non trouvé")</f>
        <v>Non trouvé</v>
      </c>
      <c r="I661" t="str">
        <f>IFERROR(VLOOKUP(Logs_reseau[[#This Row],[Cell_ID]],'[1]Registre_Maintenance_combine '!A:E,5,FALSE),"Non trouvé")</f>
        <v>Non trouvé</v>
      </c>
      <c r="J661" t="str">
        <f>IFERROR(VLOOKUP(Logs_reseau[[#This Row],[Cell_ID]],'[1]Registre_Maintenance_combine '!A:F,6,FALSE),"Non trouvé")</f>
        <v>Non trouvé</v>
      </c>
    </row>
    <row r="662" spans="1:10" x14ac:dyDescent="0.25">
      <c r="A662" t="str">
        <f>IFERROR(VLOOKUP(Logs_reseau[[#This Row],[Cell_ID]],'[1]Registre_Maintenance_combine '!A:B,2,FALSE),"Non trouvé")</f>
        <v>Sud-Kivu</v>
      </c>
      <c r="B662" t="s">
        <v>159</v>
      </c>
      <c r="C662" s="3">
        <v>45218.875694444447</v>
      </c>
      <c r="D662" s="11">
        <f>Logs_reseau[[#This Row],[Duree_Panne_Min]]/1440</f>
        <v>2.9166666666666667E-2</v>
      </c>
      <c r="E662">
        <v>42</v>
      </c>
      <c r="F662" t="s">
        <v>1</v>
      </c>
      <c r="G662">
        <f>IFERROR(VLOOKUP(Logs_reseau[[#This Row],[Cell_ID]],'[1]Registre_Maintenance_combine '!A:C,3,FALSE),"Non trouvé")</f>
        <v>2.4414509999999998</v>
      </c>
      <c r="H662">
        <f>IFERROR(VLOOKUP(Logs_reseau[[#This Row],[Cell_ID]],'[1]Registre_Maintenance_combine '!A:D,4,FALSE),"Non trouvé")</f>
        <v>30.167489</v>
      </c>
      <c r="I662" t="str">
        <f>IFERROR(VLOOKUP(Logs_reseau[[#This Row],[Cell_ID]],'[1]Registre_Maintenance_combine '!A:E,5,FALSE),"Non trouvé")</f>
        <v>5G</v>
      </c>
      <c r="J662" t="str">
        <f>IFERROR(VLOOKUP(Logs_reseau[[#This Row],[Cell_ID]],'[1]Registre_Maintenance_combine '!A:F,6,FALSE),"Non trouvé")</f>
        <v>Nokia</v>
      </c>
    </row>
    <row r="663" spans="1:10" x14ac:dyDescent="0.25">
      <c r="A663" t="str">
        <f>IFERROR(VLOOKUP(Logs_reseau[[#This Row],[Cell_ID]],'[1]Registre_Maintenance_combine '!A:B,2,FALSE),"Non trouvé")</f>
        <v>Sud-Kivu</v>
      </c>
      <c r="B663" t="s">
        <v>159</v>
      </c>
      <c r="C663" s="3">
        <v>45218.056944444441</v>
      </c>
      <c r="D663" s="11">
        <f>Logs_reseau[[#This Row],[Duree_Panne_Min]]/1440</f>
        <v>1.4583333333333334E-2</v>
      </c>
      <c r="E663">
        <v>21</v>
      </c>
      <c r="F663" t="s">
        <v>2</v>
      </c>
      <c r="G663">
        <f>IFERROR(VLOOKUP(Logs_reseau[[#This Row],[Cell_ID]],'[1]Registre_Maintenance_combine '!A:C,3,FALSE),"Non trouvé")</f>
        <v>2.4414509999999998</v>
      </c>
      <c r="H663">
        <f>IFERROR(VLOOKUP(Logs_reseau[[#This Row],[Cell_ID]],'[1]Registre_Maintenance_combine '!A:D,4,FALSE),"Non trouvé")</f>
        <v>30.167489</v>
      </c>
      <c r="I663" t="str">
        <f>IFERROR(VLOOKUP(Logs_reseau[[#This Row],[Cell_ID]],'[1]Registre_Maintenance_combine '!A:E,5,FALSE),"Non trouvé")</f>
        <v>5G</v>
      </c>
      <c r="J663" t="str">
        <f>IFERROR(VLOOKUP(Logs_reseau[[#This Row],[Cell_ID]],'[1]Registre_Maintenance_combine '!A:F,6,FALSE),"Non trouvé")</f>
        <v>Nokia</v>
      </c>
    </row>
    <row r="664" spans="1:10" x14ac:dyDescent="0.25">
      <c r="A664" t="str">
        <f>IFERROR(VLOOKUP(Logs_reseau[[#This Row],[Cell_ID]],'[1]Registre_Maintenance_combine '!A:B,2,FALSE),"Non trouvé")</f>
        <v>Sud-Kivu</v>
      </c>
      <c r="B664" t="s">
        <v>159</v>
      </c>
      <c r="C664" s="3">
        <v>45214.097222222219</v>
      </c>
      <c r="D664" s="11">
        <f>Logs_reseau[[#This Row],[Duree_Panne_Min]]/1440</f>
        <v>3.2638888888888891E-2</v>
      </c>
      <c r="E664">
        <v>47</v>
      </c>
      <c r="F664" t="s">
        <v>2</v>
      </c>
      <c r="G664">
        <f>IFERROR(VLOOKUP(Logs_reseau[[#This Row],[Cell_ID]],'[1]Registre_Maintenance_combine '!A:C,3,FALSE),"Non trouvé")</f>
        <v>2.4414509999999998</v>
      </c>
      <c r="H664">
        <f>IFERROR(VLOOKUP(Logs_reseau[[#This Row],[Cell_ID]],'[1]Registre_Maintenance_combine '!A:D,4,FALSE),"Non trouvé")</f>
        <v>30.167489</v>
      </c>
      <c r="I664" t="str">
        <f>IFERROR(VLOOKUP(Logs_reseau[[#This Row],[Cell_ID]],'[1]Registre_Maintenance_combine '!A:E,5,FALSE),"Non trouvé")</f>
        <v>5G</v>
      </c>
      <c r="J664" t="str">
        <f>IFERROR(VLOOKUP(Logs_reseau[[#This Row],[Cell_ID]],'[1]Registre_Maintenance_combine '!A:F,6,FALSE),"Non trouvé")</f>
        <v>Nokia</v>
      </c>
    </row>
    <row r="665" spans="1:10" x14ac:dyDescent="0.25">
      <c r="A665" t="str">
        <f>IFERROR(VLOOKUP(Logs_reseau[[#This Row],[Cell_ID]],'[1]Registre_Maintenance_combine '!A:B,2,FALSE),"Non trouvé")</f>
        <v>Sud-Kivu</v>
      </c>
      <c r="B665" t="s">
        <v>159</v>
      </c>
      <c r="C665" s="3">
        <v>45226.892361111109</v>
      </c>
      <c r="D665" s="11">
        <f>Logs_reseau[[#This Row],[Duree_Panne_Min]]/1440</f>
        <v>8.0555555555555561E-2</v>
      </c>
      <c r="E665">
        <v>116</v>
      </c>
      <c r="F665" t="s">
        <v>4</v>
      </c>
      <c r="G665">
        <f>IFERROR(VLOOKUP(Logs_reseau[[#This Row],[Cell_ID]],'[1]Registre_Maintenance_combine '!A:C,3,FALSE),"Non trouvé")</f>
        <v>2.4414509999999998</v>
      </c>
      <c r="H665">
        <f>IFERROR(VLOOKUP(Logs_reseau[[#This Row],[Cell_ID]],'[1]Registre_Maintenance_combine '!A:D,4,FALSE),"Non trouvé")</f>
        <v>30.167489</v>
      </c>
      <c r="I665" t="str">
        <f>IFERROR(VLOOKUP(Logs_reseau[[#This Row],[Cell_ID]],'[1]Registre_Maintenance_combine '!A:E,5,FALSE),"Non trouvé")</f>
        <v>5G</v>
      </c>
      <c r="J665" t="str">
        <f>IFERROR(VLOOKUP(Logs_reseau[[#This Row],[Cell_ID]],'[1]Registre_Maintenance_combine '!A:F,6,FALSE),"Non trouvé")</f>
        <v>Nokia</v>
      </c>
    </row>
    <row r="666" spans="1:10" x14ac:dyDescent="0.25">
      <c r="A666" t="str">
        <f>IFERROR(VLOOKUP(Logs_reseau[[#This Row],[Cell_ID]],'[1]Registre_Maintenance_combine '!A:B,2,FALSE),"Non trouvé")</f>
        <v>Sud-Kivu</v>
      </c>
      <c r="B666" t="s">
        <v>159</v>
      </c>
      <c r="C666" s="3">
        <v>45229.39166666667</v>
      </c>
      <c r="D666" s="11">
        <f>Logs_reseau[[#This Row],[Duree_Panne_Min]]/1440</f>
        <v>2.7083333333333334E-2</v>
      </c>
      <c r="E666">
        <v>39</v>
      </c>
      <c r="F666" t="s">
        <v>2</v>
      </c>
      <c r="G666">
        <f>IFERROR(VLOOKUP(Logs_reseau[[#This Row],[Cell_ID]],'[1]Registre_Maintenance_combine '!A:C,3,FALSE),"Non trouvé")</f>
        <v>2.4414509999999998</v>
      </c>
      <c r="H666">
        <f>IFERROR(VLOOKUP(Logs_reseau[[#This Row],[Cell_ID]],'[1]Registre_Maintenance_combine '!A:D,4,FALSE),"Non trouvé")</f>
        <v>30.167489</v>
      </c>
      <c r="I666" t="str">
        <f>IFERROR(VLOOKUP(Logs_reseau[[#This Row],[Cell_ID]],'[1]Registre_Maintenance_combine '!A:E,5,FALSE),"Non trouvé")</f>
        <v>5G</v>
      </c>
      <c r="J666" t="str">
        <f>IFERROR(VLOOKUP(Logs_reseau[[#This Row],[Cell_ID]],'[1]Registre_Maintenance_combine '!A:F,6,FALSE),"Non trouvé")</f>
        <v>Nokia</v>
      </c>
    </row>
    <row r="667" spans="1:10" x14ac:dyDescent="0.25">
      <c r="A667" t="str">
        <f>IFERROR(VLOOKUP(Logs_reseau[[#This Row],[Cell_ID]],'[1]Registre_Maintenance_combine '!A:B,2,FALSE),"Non trouvé")</f>
        <v>Sud-Kivu</v>
      </c>
      <c r="B667" t="s">
        <v>159</v>
      </c>
      <c r="C667" s="3">
        <v>45226.265972222223</v>
      </c>
      <c r="D667" s="11">
        <f>Logs_reseau[[#This Row],[Duree_Panne_Min]]/1440</f>
        <v>6.5277777777777782E-2</v>
      </c>
      <c r="E667">
        <v>94</v>
      </c>
      <c r="F667" t="s">
        <v>4</v>
      </c>
      <c r="G667">
        <f>IFERROR(VLOOKUP(Logs_reseau[[#This Row],[Cell_ID]],'[1]Registre_Maintenance_combine '!A:C,3,FALSE),"Non trouvé")</f>
        <v>2.4414509999999998</v>
      </c>
      <c r="H667">
        <f>IFERROR(VLOOKUP(Logs_reseau[[#This Row],[Cell_ID]],'[1]Registre_Maintenance_combine '!A:D,4,FALSE),"Non trouvé")</f>
        <v>30.167489</v>
      </c>
      <c r="I667" t="str">
        <f>IFERROR(VLOOKUP(Logs_reseau[[#This Row],[Cell_ID]],'[1]Registre_Maintenance_combine '!A:E,5,FALSE),"Non trouvé")</f>
        <v>5G</v>
      </c>
      <c r="J667" t="str">
        <f>IFERROR(VLOOKUP(Logs_reseau[[#This Row],[Cell_ID]],'[1]Registre_Maintenance_combine '!A:F,6,FALSE),"Non trouvé")</f>
        <v>Nokia</v>
      </c>
    </row>
    <row r="668" spans="1:10" x14ac:dyDescent="0.25">
      <c r="A668" t="str">
        <f>IFERROR(VLOOKUP(Logs_reseau[[#This Row],[Cell_ID]],'[1]Registre_Maintenance_combine '!A:B,2,FALSE),"Non trouvé")</f>
        <v>Non trouvé</v>
      </c>
      <c r="B668" t="s">
        <v>160</v>
      </c>
      <c r="C668" s="3">
        <v>45229.298611111109</v>
      </c>
      <c r="D668" s="11">
        <f>Logs_reseau[[#This Row],[Duree_Panne_Min]]/1440</f>
        <v>6.8750000000000006E-2</v>
      </c>
      <c r="E668">
        <v>99</v>
      </c>
      <c r="F668" t="s">
        <v>4</v>
      </c>
      <c r="G668" t="str">
        <f>IFERROR(VLOOKUP(Logs_reseau[[#This Row],[Cell_ID]],'[1]Registre_Maintenance_combine '!A:C,3,FALSE),"Non trouvé")</f>
        <v>Non trouvé</v>
      </c>
      <c r="H668" t="str">
        <f>IFERROR(VLOOKUP(Logs_reseau[[#This Row],[Cell_ID]],'[1]Registre_Maintenance_combine '!A:D,4,FALSE),"Non trouvé")</f>
        <v>Non trouvé</v>
      </c>
      <c r="I668" t="str">
        <f>IFERROR(VLOOKUP(Logs_reseau[[#This Row],[Cell_ID]],'[1]Registre_Maintenance_combine '!A:E,5,FALSE),"Non trouvé")</f>
        <v>Non trouvé</v>
      </c>
      <c r="J668" t="str">
        <f>IFERROR(VLOOKUP(Logs_reseau[[#This Row],[Cell_ID]],'[1]Registre_Maintenance_combine '!A:F,6,FALSE),"Non trouvé")</f>
        <v>Non trouvé</v>
      </c>
    </row>
    <row r="669" spans="1:10" x14ac:dyDescent="0.25">
      <c r="A669" t="str">
        <f>IFERROR(VLOOKUP(Logs_reseau[[#This Row],[Cell_ID]],'[1]Registre_Maintenance_combine '!A:B,2,FALSE),"Non trouvé")</f>
        <v>Non trouvé</v>
      </c>
      <c r="B669" t="s">
        <v>160</v>
      </c>
      <c r="C669" s="3">
        <v>45221.039583333331</v>
      </c>
      <c r="D669" s="11">
        <f>Logs_reseau[[#This Row],[Duree_Panne_Min]]/1440</f>
        <v>4.2361111111111113E-2</v>
      </c>
      <c r="E669">
        <v>61</v>
      </c>
      <c r="F669" t="s">
        <v>1</v>
      </c>
      <c r="G669" t="str">
        <f>IFERROR(VLOOKUP(Logs_reseau[[#This Row],[Cell_ID]],'[1]Registre_Maintenance_combine '!A:C,3,FALSE),"Non trouvé")</f>
        <v>Non trouvé</v>
      </c>
      <c r="H669" t="str">
        <f>IFERROR(VLOOKUP(Logs_reseau[[#This Row],[Cell_ID]],'[1]Registre_Maintenance_combine '!A:D,4,FALSE),"Non trouvé")</f>
        <v>Non trouvé</v>
      </c>
      <c r="I669" t="str">
        <f>IFERROR(VLOOKUP(Logs_reseau[[#This Row],[Cell_ID]],'[1]Registre_Maintenance_combine '!A:E,5,FALSE),"Non trouvé")</f>
        <v>Non trouvé</v>
      </c>
      <c r="J669" t="str">
        <f>IFERROR(VLOOKUP(Logs_reseau[[#This Row],[Cell_ID]],'[1]Registre_Maintenance_combine '!A:F,6,FALSE),"Non trouvé")</f>
        <v>Non trouvé</v>
      </c>
    </row>
    <row r="670" spans="1:10" x14ac:dyDescent="0.25">
      <c r="A670" t="str">
        <f>IFERROR(VLOOKUP(Logs_reseau[[#This Row],[Cell_ID]],'[1]Registre_Maintenance_combine '!A:B,2,FALSE),"Non trouvé")</f>
        <v>Kasai-Oriental</v>
      </c>
      <c r="B670" t="s">
        <v>161</v>
      </c>
      <c r="C670" s="3">
        <v>45228.56527777778</v>
      </c>
      <c r="D670" s="11">
        <f>Logs_reseau[[#This Row],[Duree_Panne_Min]]/1440</f>
        <v>2.1527777777777778E-2</v>
      </c>
      <c r="E670">
        <v>31</v>
      </c>
      <c r="F670" t="s">
        <v>2</v>
      </c>
      <c r="G670">
        <f>IFERROR(VLOOKUP(Logs_reseau[[#This Row],[Cell_ID]],'[1]Registre_Maintenance_combine '!A:C,3,FALSE),"Non trouvé")</f>
        <v>-1.648326</v>
      </c>
      <c r="H670">
        <f>IFERROR(VLOOKUP(Logs_reseau[[#This Row],[Cell_ID]],'[1]Registre_Maintenance_combine '!A:D,4,FALSE),"Non trouvé")</f>
        <v>25.528901999999999</v>
      </c>
      <c r="I670" t="str">
        <f>IFERROR(VLOOKUP(Logs_reseau[[#This Row],[Cell_ID]],'[1]Registre_Maintenance_combine '!A:E,5,FALSE),"Non trouvé")</f>
        <v>4G</v>
      </c>
      <c r="J670" t="str">
        <f>IFERROR(VLOOKUP(Logs_reseau[[#This Row],[Cell_ID]],'[1]Registre_Maintenance_combine '!A:F,6,FALSE),"Non trouvé")</f>
        <v>Huawei</v>
      </c>
    </row>
    <row r="671" spans="1:10" x14ac:dyDescent="0.25">
      <c r="A671" t="str">
        <f>IFERROR(VLOOKUP(Logs_reseau[[#This Row],[Cell_ID]],'[1]Registre_Maintenance_combine '!A:B,2,FALSE),"Non trouvé")</f>
        <v>Kasai-Oriental</v>
      </c>
      <c r="B671" t="s">
        <v>161</v>
      </c>
      <c r="C671" s="3">
        <v>45203.500694444447</v>
      </c>
      <c r="D671" s="11">
        <f>Logs_reseau[[#This Row],[Duree_Panne_Min]]/1440</f>
        <v>4.4444444444444446E-2</v>
      </c>
      <c r="E671">
        <v>64</v>
      </c>
      <c r="F671" t="s">
        <v>2</v>
      </c>
      <c r="G671">
        <f>IFERROR(VLOOKUP(Logs_reseau[[#This Row],[Cell_ID]],'[1]Registre_Maintenance_combine '!A:C,3,FALSE),"Non trouvé")</f>
        <v>-1.648326</v>
      </c>
      <c r="H671">
        <f>IFERROR(VLOOKUP(Logs_reseau[[#This Row],[Cell_ID]],'[1]Registre_Maintenance_combine '!A:D,4,FALSE),"Non trouvé")</f>
        <v>25.528901999999999</v>
      </c>
      <c r="I671" t="str">
        <f>IFERROR(VLOOKUP(Logs_reseau[[#This Row],[Cell_ID]],'[1]Registre_Maintenance_combine '!A:E,5,FALSE),"Non trouvé")</f>
        <v>4G</v>
      </c>
      <c r="J671" t="str">
        <f>IFERROR(VLOOKUP(Logs_reseau[[#This Row],[Cell_ID]],'[1]Registre_Maintenance_combine '!A:F,6,FALSE),"Non trouvé")</f>
        <v>Huawei</v>
      </c>
    </row>
    <row r="672" spans="1:10" x14ac:dyDescent="0.25">
      <c r="A672" t="str">
        <f>IFERROR(VLOOKUP(Logs_reseau[[#This Row],[Cell_ID]],'[1]Registre_Maintenance_combine '!A:B,2,FALSE),"Non trouvé")</f>
        <v>Non trouvé</v>
      </c>
      <c r="B672" t="s">
        <v>162</v>
      </c>
      <c r="C672" s="3">
        <v>45200.093055555553</v>
      </c>
      <c r="D672" s="11">
        <f>Logs_reseau[[#This Row],[Duree_Panne_Min]]/1440</f>
        <v>7.3611111111111113E-2</v>
      </c>
      <c r="E672">
        <v>106</v>
      </c>
      <c r="F672" t="s">
        <v>2</v>
      </c>
      <c r="G672" t="str">
        <f>IFERROR(VLOOKUP(Logs_reseau[[#This Row],[Cell_ID]],'[1]Registre_Maintenance_combine '!A:C,3,FALSE),"Non trouvé")</f>
        <v>Non trouvé</v>
      </c>
      <c r="H672" t="str">
        <f>IFERROR(VLOOKUP(Logs_reseau[[#This Row],[Cell_ID]],'[1]Registre_Maintenance_combine '!A:D,4,FALSE),"Non trouvé")</f>
        <v>Non trouvé</v>
      </c>
      <c r="I672" t="str">
        <f>IFERROR(VLOOKUP(Logs_reseau[[#This Row],[Cell_ID]],'[1]Registre_Maintenance_combine '!A:E,5,FALSE),"Non trouvé")</f>
        <v>Non trouvé</v>
      </c>
      <c r="J672" t="str">
        <f>IFERROR(VLOOKUP(Logs_reseau[[#This Row],[Cell_ID]],'[1]Registre_Maintenance_combine '!A:F,6,FALSE),"Non trouvé")</f>
        <v>Non trouvé</v>
      </c>
    </row>
    <row r="673" spans="1:10" x14ac:dyDescent="0.25">
      <c r="A673" t="str">
        <f>IFERROR(VLOOKUP(Logs_reseau[[#This Row],[Cell_ID]],'[1]Registre_Maintenance_combine '!A:B,2,FALSE),"Non trouvé")</f>
        <v>Non trouvé</v>
      </c>
      <c r="B673" t="s">
        <v>162</v>
      </c>
      <c r="C673" s="3">
        <v>45229.394444444442</v>
      </c>
      <c r="D673" s="11">
        <f>Logs_reseau[[#This Row],[Duree_Panne_Min]]/1440</f>
        <v>3.1944444444444442E-2</v>
      </c>
      <c r="E673">
        <v>46</v>
      </c>
      <c r="F673" t="s">
        <v>1</v>
      </c>
      <c r="G673" t="str">
        <f>IFERROR(VLOOKUP(Logs_reseau[[#This Row],[Cell_ID]],'[1]Registre_Maintenance_combine '!A:C,3,FALSE),"Non trouvé")</f>
        <v>Non trouvé</v>
      </c>
      <c r="H673" t="str">
        <f>IFERROR(VLOOKUP(Logs_reseau[[#This Row],[Cell_ID]],'[1]Registre_Maintenance_combine '!A:D,4,FALSE),"Non trouvé")</f>
        <v>Non trouvé</v>
      </c>
      <c r="I673" t="str">
        <f>IFERROR(VLOOKUP(Logs_reseau[[#This Row],[Cell_ID]],'[1]Registre_Maintenance_combine '!A:E,5,FALSE),"Non trouvé")</f>
        <v>Non trouvé</v>
      </c>
      <c r="J673" t="str">
        <f>IFERROR(VLOOKUP(Logs_reseau[[#This Row],[Cell_ID]],'[1]Registre_Maintenance_combine '!A:F,6,FALSE),"Non trouvé")</f>
        <v>Non trouvé</v>
      </c>
    </row>
    <row r="674" spans="1:10" x14ac:dyDescent="0.25">
      <c r="A674" t="str">
        <f>IFERROR(VLOOKUP(Logs_reseau[[#This Row],[Cell_ID]],'[1]Registre_Maintenance_combine '!A:B,2,FALSE),"Non trouvé")</f>
        <v>Non trouvé</v>
      </c>
      <c r="B674" t="s">
        <v>162</v>
      </c>
      <c r="C674" s="3">
        <v>45226.660416666666</v>
      </c>
      <c r="D674" s="11">
        <f>Logs_reseau[[#This Row],[Duree_Panne_Min]]/1440</f>
        <v>6.3194444444444442E-2</v>
      </c>
      <c r="E674">
        <v>91</v>
      </c>
      <c r="F674" t="s">
        <v>2</v>
      </c>
      <c r="G674" t="str">
        <f>IFERROR(VLOOKUP(Logs_reseau[[#This Row],[Cell_ID]],'[1]Registre_Maintenance_combine '!A:C,3,FALSE),"Non trouvé")</f>
        <v>Non trouvé</v>
      </c>
      <c r="H674" t="str">
        <f>IFERROR(VLOOKUP(Logs_reseau[[#This Row],[Cell_ID]],'[1]Registre_Maintenance_combine '!A:D,4,FALSE),"Non trouvé")</f>
        <v>Non trouvé</v>
      </c>
      <c r="I674" t="str">
        <f>IFERROR(VLOOKUP(Logs_reseau[[#This Row],[Cell_ID]],'[1]Registre_Maintenance_combine '!A:E,5,FALSE),"Non trouvé")</f>
        <v>Non trouvé</v>
      </c>
      <c r="J674" t="str">
        <f>IFERROR(VLOOKUP(Logs_reseau[[#This Row],[Cell_ID]],'[1]Registre_Maintenance_combine '!A:F,6,FALSE),"Non trouvé")</f>
        <v>Non trouvé</v>
      </c>
    </row>
    <row r="675" spans="1:10" x14ac:dyDescent="0.25">
      <c r="A675" t="str">
        <f>IFERROR(VLOOKUP(Logs_reseau[[#This Row],[Cell_ID]],'[1]Registre_Maintenance_combine '!A:B,2,FALSE),"Non trouvé")</f>
        <v>Non trouvé</v>
      </c>
      <c r="B675" t="s">
        <v>162</v>
      </c>
      <c r="C675" s="3">
        <v>45222.467361111114</v>
      </c>
      <c r="D675" s="11">
        <f>Logs_reseau[[#This Row],[Duree_Panne_Min]]/1440</f>
        <v>2.7777777777777776E-2</v>
      </c>
      <c r="E675">
        <v>40</v>
      </c>
      <c r="F675" t="s">
        <v>1</v>
      </c>
      <c r="G675" t="str">
        <f>IFERROR(VLOOKUP(Logs_reseau[[#This Row],[Cell_ID]],'[1]Registre_Maintenance_combine '!A:C,3,FALSE),"Non trouvé")</f>
        <v>Non trouvé</v>
      </c>
      <c r="H675" t="str">
        <f>IFERROR(VLOOKUP(Logs_reseau[[#This Row],[Cell_ID]],'[1]Registre_Maintenance_combine '!A:D,4,FALSE),"Non trouvé")</f>
        <v>Non trouvé</v>
      </c>
      <c r="I675" t="str">
        <f>IFERROR(VLOOKUP(Logs_reseau[[#This Row],[Cell_ID]],'[1]Registre_Maintenance_combine '!A:E,5,FALSE),"Non trouvé")</f>
        <v>Non trouvé</v>
      </c>
      <c r="J675" t="str">
        <f>IFERROR(VLOOKUP(Logs_reseau[[#This Row],[Cell_ID]],'[1]Registre_Maintenance_combine '!A:F,6,FALSE),"Non trouvé")</f>
        <v>Non trouvé</v>
      </c>
    </row>
    <row r="676" spans="1:10" x14ac:dyDescent="0.25">
      <c r="A676" t="str">
        <f>IFERROR(VLOOKUP(Logs_reseau[[#This Row],[Cell_ID]],'[1]Registre_Maintenance_combine '!A:B,2,FALSE),"Non trouvé")</f>
        <v>Non trouvé</v>
      </c>
      <c r="B676" t="s">
        <v>162</v>
      </c>
      <c r="C676" s="3">
        <v>45221.455555555556</v>
      </c>
      <c r="D676" s="11">
        <f>Logs_reseau[[#This Row],[Duree_Panne_Min]]/1440</f>
        <v>2.9166666666666667E-2</v>
      </c>
      <c r="E676">
        <v>42</v>
      </c>
      <c r="F676" t="s">
        <v>4</v>
      </c>
      <c r="G676" t="str">
        <f>IFERROR(VLOOKUP(Logs_reseau[[#This Row],[Cell_ID]],'[1]Registre_Maintenance_combine '!A:C,3,FALSE),"Non trouvé")</f>
        <v>Non trouvé</v>
      </c>
      <c r="H676" t="str">
        <f>IFERROR(VLOOKUP(Logs_reseau[[#This Row],[Cell_ID]],'[1]Registre_Maintenance_combine '!A:D,4,FALSE),"Non trouvé")</f>
        <v>Non trouvé</v>
      </c>
      <c r="I676" t="str">
        <f>IFERROR(VLOOKUP(Logs_reseau[[#This Row],[Cell_ID]],'[1]Registre_Maintenance_combine '!A:E,5,FALSE),"Non trouvé")</f>
        <v>Non trouvé</v>
      </c>
      <c r="J676" t="str">
        <f>IFERROR(VLOOKUP(Logs_reseau[[#This Row],[Cell_ID]],'[1]Registre_Maintenance_combine '!A:F,6,FALSE),"Non trouvé")</f>
        <v>Non trouvé</v>
      </c>
    </row>
    <row r="677" spans="1:10" x14ac:dyDescent="0.25">
      <c r="A677" t="str">
        <f>IFERROR(VLOOKUP(Logs_reseau[[#This Row],[Cell_ID]],'[1]Registre_Maintenance_combine '!A:B,2,FALSE),"Non trouvé")</f>
        <v>Kinshasa</v>
      </c>
      <c r="B677" t="s">
        <v>163</v>
      </c>
      <c r="C677" s="3">
        <v>45202.852083333331</v>
      </c>
      <c r="D677" s="11">
        <f>Logs_reseau[[#This Row],[Duree_Panne_Min]]/1440</f>
        <v>6.0416666666666667E-2</v>
      </c>
      <c r="E677">
        <v>87</v>
      </c>
      <c r="F677" t="s">
        <v>4</v>
      </c>
      <c r="G677">
        <f>IFERROR(VLOOKUP(Logs_reseau[[#This Row],[Cell_ID]],'[1]Registre_Maintenance_combine '!A:C,3,FALSE),"Non trouvé")</f>
        <v>-11.389362</v>
      </c>
      <c r="H677">
        <f>IFERROR(VLOOKUP(Logs_reseau[[#This Row],[Cell_ID]],'[1]Registre_Maintenance_combine '!A:D,4,FALSE),"Non trouvé")</f>
        <v>22.240174</v>
      </c>
      <c r="I677" t="str">
        <f>IFERROR(VLOOKUP(Logs_reseau[[#This Row],[Cell_ID]],'[1]Registre_Maintenance_combine '!A:E,5,FALSE),"Non trouvé")</f>
        <v>5G</v>
      </c>
      <c r="J677" t="str">
        <f>IFERROR(VLOOKUP(Logs_reseau[[#This Row],[Cell_ID]],'[1]Registre_Maintenance_combine '!A:F,6,FALSE),"Non trouvé")</f>
        <v>ZTE</v>
      </c>
    </row>
    <row r="678" spans="1:10" x14ac:dyDescent="0.25">
      <c r="A678" t="str">
        <f>IFERROR(VLOOKUP(Logs_reseau[[#This Row],[Cell_ID]],'[1]Registre_Maintenance_combine '!A:B,2,FALSE),"Non trouvé")</f>
        <v>Kinshasa</v>
      </c>
      <c r="B678" t="s">
        <v>163</v>
      </c>
      <c r="C678" s="3">
        <v>45224.322222222225</v>
      </c>
      <c r="D678" s="11">
        <f>Logs_reseau[[#This Row],[Duree_Panne_Min]]/1440</f>
        <v>6.7361111111111108E-2</v>
      </c>
      <c r="E678">
        <v>97</v>
      </c>
      <c r="F678" t="s">
        <v>1</v>
      </c>
      <c r="G678">
        <f>IFERROR(VLOOKUP(Logs_reseau[[#This Row],[Cell_ID]],'[1]Registre_Maintenance_combine '!A:C,3,FALSE),"Non trouvé")</f>
        <v>-11.389362</v>
      </c>
      <c r="H678">
        <f>IFERROR(VLOOKUP(Logs_reseau[[#This Row],[Cell_ID]],'[1]Registre_Maintenance_combine '!A:D,4,FALSE),"Non trouvé")</f>
        <v>22.240174</v>
      </c>
      <c r="I678" t="str">
        <f>IFERROR(VLOOKUP(Logs_reseau[[#This Row],[Cell_ID]],'[1]Registre_Maintenance_combine '!A:E,5,FALSE),"Non trouvé")</f>
        <v>5G</v>
      </c>
      <c r="J678" t="str">
        <f>IFERROR(VLOOKUP(Logs_reseau[[#This Row],[Cell_ID]],'[1]Registre_Maintenance_combine '!A:F,6,FALSE),"Non trouvé")</f>
        <v>ZTE</v>
      </c>
    </row>
    <row r="679" spans="1:10" x14ac:dyDescent="0.25">
      <c r="A679" t="str">
        <f>IFERROR(VLOOKUP(Logs_reseau[[#This Row],[Cell_ID]],'[1]Registre_Maintenance_combine '!A:B,2,FALSE),"Non trouvé")</f>
        <v>Kinshasa</v>
      </c>
      <c r="B679" t="s">
        <v>163</v>
      </c>
      <c r="C679" s="3">
        <v>45223.564583333333</v>
      </c>
      <c r="D679" s="11">
        <f>Logs_reseau[[#This Row],[Duree_Panne_Min]]/1440</f>
        <v>2.2222222222222223E-2</v>
      </c>
      <c r="E679">
        <v>32</v>
      </c>
      <c r="F679" t="s">
        <v>2</v>
      </c>
      <c r="G679">
        <f>IFERROR(VLOOKUP(Logs_reseau[[#This Row],[Cell_ID]],'[1]Registre_Maintenance_combine '!A:C,3,FALSE),"Non trouvé")</f>
        <v>-11.389362</v>
      </c>
      <c r="H679">
        <f>IFERROR(VLOOKUP(Logs_reseau[[#This Row],[Cell_ID]],'[1]Registre_Maintenance_combine '!A:D,4,FALSE),"Non trouvé")</f>
        <v>22.240174</v>
      </c>
      <c r="I679" t="str">
        <f>IFERROR(VLOOKUP(Logs_reseau[[#This Row],[Cell_ID]],'[1]Registre_Maintenance_combine '!A:E,5,FALSE),"Non trouvé")</f>
        <v>5G</v>
      </c>
      <c r="J679" t="str">
        <f>IFERROR(VLOOKUP(Logs_reseau[[#This Row],[Cell_ID]],'[1]Registre_Maintenance_combine '!A:F,6,FALSE),"Non trouvé")</f>
        <v>ZTE</v>
      </c>
    </row>
    <row r="680" spans="1:10" x14ac:dyDescent="0.25">
      <c r="A680" t="str">
        <f>IFERROR(VLOOKUP(Logs_reseau[[#This Row],[Cell_ID]],'[1]Registre_Maintenance_combine '!A:B,2,FALSE),"Non trouvé")</f>
        <v>Kinshasa</v>
      </c>
      <c r="B680" t="s">
        <v>163</v>
      </c>
      <c r="C680" s="3">
        <v>45226.956944444442</v>
      </c>
      <c r="D680" s="11">
        <f>Logs_reseau[[#This Row],[Duree_Panne_Min]]/1440</f>
        <v>7.4999999999999997E-2</v>
      </c>
      <c r="E680">
        <v>108</v>
      </c>
      <c r="F680" t="s">
        <v>4</v>
      </c>
      <c r="G680">
        <f>IFERROR(VLOOKUP(Logs_reseau[[#This Row],[Cell_ID]],'[1]Registre_Maintenance_combine '!A:C,3,FALSE),"Non trouvé")</f>
        <v>-11.389362</v>
      </c>
      <c r="H680">
        <f>IFERROR(VLOOKUP(Logs_reseau[[#This Row],[Cell_ID]],'[1]Registre_Maintenance_combine '!A:D,4,FALSE),"Non trouvé")</f>
        <v>22.240174</v>
      </c>
      <c r="I680" t="str">
        <f>IFERROR(VLOOKUP(Logs_reseau[[#This Row],[Cell_ID]],'[1]Registre_Maintenance_combine '!A:E,5,FALSE),"Non trouvé")</f>
        <v>5G</v>
      </c>
      <c r="J680" t="str">
        <f>IFERROR(VLOOKUP(Logs_reseau[[#This Row],[Cell_ID]],'[1]Registre_Maintenance_combine '!A:F,6,FALSE),"Non trouvé")</f>
        <v>ZTE</v>
      </c>
    </row>
    <row r="681" spans="1:10" x14ac:dyDescent="0.25">
      <c r="A681" t="str">
        <f>IFERROR(VLOOKUP(Logs_reseau[[#This Row],[Cell_ID]],'[1]Registre_Maintenance_combine '!A:B,2,FALSE),"Non trouvé")</f>
        <v>Kinshasa</v>
      </c>
      <c r="B681" t="s">
        <v>163</v>
      </c>
      <c r="C681" s="3">
        <v>45201.623611111114</v>
      </c>
      <c r="D681" s="11">
        <f>Logs_reseau[[#This Row],[Duree_Panne_Min]]/1440</f>
        <v>1.9444444444444445E-2</v>
      </c>
      <c r="E681">
        <v>28</v>
      </c>
      <c r="F681" t="s">
        <v>1</v>
      </c>
      <c r="G681">
        <f>IFERROR(VLOOKUP(Logs_reseau[[#This Row],[Cell_ID]],'[1]Registre_Maintenance_combine '!A:C,3,FALSE),"Non trouvé")</f>
        <v>-11.389362</v>
      </c>
      <c r="H681">
        <f>IFERROR(VLOOKUP(Logs_reseau[[#This Row],[Cell_ID]],'[1]Registre_Maintenance_combine '!A:D,4,FALSE),"Non trouvé")</f>
        <v>22.240174</v>
      </c>
      <c r="I681" t="str">
        <f>IFERROR(VLOOKUP(Logs_reseau[[#This Row],[Cell_ID]],'[1]Registre_Maintenance_combine '!A:E,5,FALSE),"Non trouvé")</f>
        <v>5G</v>
      </c>
      <c r="J681" t="str">
        <f>IFERROR(VLOOKUP(Logs_reseau[[#This Row],[Cell_ID]],'[1]Registre_Maintenance_combine '!A:F,6,FALSE),"Non trouvé")</f>
        <v>ZTE</v>
      </c>
    </row>
    <row r="682" spans="1:10" x14ac:dyDescent="0.25">
      <c r="A682" t="str">
        <f>IFERROR(VLOOKUP(Logs_reseau[[#This Row],[Cell_ID]],'[1]Registre_Maintenance_combine '!A:B,2,FALSE),"Non trouvé")</f>
        <v>Sud-Ubangi</v>
      </c>
      <c r="B682" t="s">
        <v>164</v>
      </c>
      <c r="C682" s="3">
        <v>45217.411805555559</v>
      </c>
      <c r="D682" s="11">
        <f>Logs_reseau[[#This Row],[Duree_Panne_Min]]/1440</f>
        <v>3.888888888888889E-2</v>
      </c>
      <c r="E682">
        <v>56</v>
      </c>
      <c r="F682" t="s">
        <v>2</v>
      </c>
      <c r="G682">
        <f>IFERROR(VLOOKUP(Logs_reseau[[#This Row],[Cell_ID]],'[1]Registre_Maintenance_combine '!A:C,3,FALSE),"Non trouvé")</f>
        <v>-0.54908599999999996</v>
      </c>
      <c r="H682">
        <f>IFERROR(VLOOKUP(Logs_reseau[[#This Row],[Cell_ID]],'[1]Registre_Maintenance_combine '!A:D,4,FALSE),"Non trouvé")</f>
        <v>14.816867</v>
      </c>
      <c r="I682" t="str">
        <f>IFERROR(VLOOKUP(Logs_reseau[[#This Row],[Cell_ID]],'[1]Registre_Maintenance_combine '!A:E,5,FALSE),"Non trouvé")</f>
        <v>5G</v>
      </c>
      <c r="J682" t="str">
        <f>IFERROR(VLOOKUP(Logs_reseau[[#This Row],[Cell_ID]],'[1]Registre_Maintenance_combine '!A:F,6,FALSE),"Non trouvé")</f>
        <v>ZTE</v>
      </c>
    </row>
    <row r="683" spans="1:10" x14ac:dyDescent="0.25">
      <c r="A683" t="str">
        <f>IFERROR(VLOOKUP(Logs_reseau[[#This Row],[Cell_ID]],'[1]Registre_Maintenance_combine '!A:B,2,FALSE),"Non trouvé")</f>
        <v>Sud-Ubangi</v>
      </c>
      <c r="B683" t="s">
        <v>164</v>
      </c>
      <c r="C683" s="3">
        <v>45225.737500000003</v>
      </c>
      <c r="D683" s="11">
        <f>Logs_reseau[[#This Row],[Duree_Panne_Min]]/1440</f>
        <v>2.6388888888888889E-2</v>
      </c>
      <c r="E683">
        <v>38</v>
      </c>
      <c r="F683" t="s">
        <v>1</v>
      </c>
      <c r="G683">
        <f>IFERROR(VLOOKUP(Logs_reseau[[#This Row],[Cell_ID]],'[1]Registre_Maintenance_combine '!A:C,3,FALSE),"Non trouvé")</f>
        <v>-0.54908599999999996</v>
      </c>
      <c r="H683">
        <f>IFERROR(VLOOKUP(Logs_reseau[[#This Row],[Cell_ID]],'[1]Registre_Maintenance_combine '!A:D,4,FALSE),"Non trouvé")</f>
        <v>14.816867</v>
      </c>
      <c r="I683" t="str">
        <f>IFERROR(VLOOKUP(Logs_reseau[[#This Row],[Cell_ID]],'[1]Registre_Maintenance_combine '!A:E,5,FALSE),"Non trouvé")</f>
        <v>5G</v>
      </c>
      <c r="J683" t="str">
        <f>IFERROR(VLOOKUP(Logs_reseau[[#This Row],[Cell_ID]],'[1]Registre_Maintenance_combine '!A:F,6,FALSE),"Non trouvé")</f>
        <v>ZTE</v>
      </c>
    </row>
    <row r="684" spans="1:10" x14ac:dyDescent="0.25">
      <c r="A684" t="str">
        <f>IFERROR(VLOOKUP(Logs_reseau[[#This Row],[Cell_ID]],'[1]Registre_Maintenance_combine '!A:B,2,FALSE),"Non trouvé")</f>
        <v>Sud-Ubangi</v>
      </c>
      <c r="B684" t="s">
        <v>164</v>
      </c>
      <c r="C684" s="3">
        <v>45216.734722222223</v>
      </c>
      <c r="D684" s="11">
        <f>Logs_reseau[[#This Row],[Duree_Panne_Min]]/1440</f>
        <v>6.0416666666666667E-2</v>
      </c>
      <c r="E684">
        <v>87</v>
      </c>
      <c r="F684" t="s">
        <v>1</v>
      </c>
      <c r="G684">
        <f>IFERROR(VLOOKUP(Logs_reseau[[#This Row],[Cell_ID]],'[1]Registre_Maintenance_combine '!A:C,3,FALSE),"Non trouvé")</f>
        <v>-0.54908599999999996</v>
      </c>
      <c r="H684">
        <f>IFERROR(VLOOKUP(Logs_reseau[[#This Row],[Cell_ID]],'[1]Registre_Maintenance_combine '!A:D,4,FALSE),"Non trouvé")</f>
        <v>14.816867</v>
      </c>
      <c r="I684" t="str">
        <f>IFERROR(VLOOKUP(Logs_reseau[[#This Row],[Cell_ID]],'[1]Registre_Maintenance_combine '!A:E,5,FALSE),"Non trouvé")</f>
        <v>5G</v>
      </c>
      <c r="J684" t="str">
        <f>IFERROR(VLOOKUP(Logs_reseau[[#This Row],[Cell_ID]],'[1]Registre_Maintenance_combine '!A:F,6,FALSE),"Non trouvé")</f>
        <v>ZTE</v>
      </c>
    </row>
    <row r="685" spans="1:10" x14ac:dyDescent="0.25">
      <c r="A685" t="str">
        <f>IFERROR(VLOOKUP(Logs_reseau[[#This Row],[Cell_ID]],'[1]Registre_Maintenance_combine '!A:B,2,FALSE),"Non trouvé")</f>
        <v>Sud-Ubangi</v>
      </c>
      <c r="B685" t="s">
        <v>164</v>
      </c>
      <c r="C685" s="3">
        <v>45217.088888888888</v>
      </c>
      <c r="D685" s="11">
        <f>Logs_reseau[[#This Row],[Duree_Panne_Min]]/1440</f>
        <v>6.9444444444444441E-3</v>
      </c>
      <c r="E685">
        <v>10</v>
      </c>
      <c r="F685" t="s">
        <v>4</v>
      </c>
      <c r="G685">
        <f>IFERROR(VLOOKUP(Logs_reseau[[#This Row],[Cell_ID]],'[1]Registre_Maintenance_combine '!A:C,3,FALSE),"Non trouvé")</f>
        <v>-0.54908599999999996</v>
      </c>
      <c r="H685">
        <f>IFERROR(VLOOKUP(Logs_reseau[[#This Row],[Cell_ID]],'[1]Registre_Maintenance_combine '!A:D,4,FALSE),"Non trouvé")</f>
        <v>14.816867</v>
      </c>
      <c r="I685" t="str">
        <f>IFERROR(VLOOKUP(Logs_reseau[[#This Row],[Cell_ID]],'[1]Registre_Maintenance_combine '!A:E,5,FALSE),"Non trouvé")</f>
        <v>5G</v>
      </c>
      <c r="J685" t="str">
        <f>IFERROR(VLOOKUP(Logs_reseau[[#This Row],[Cell_ID]],'[1]Registre_Maintenance_combine '!A:F,6,FALSE),"Non trouvé")</f>
        <v>ZTE</v>
      </c>
    </row>
    <row r="686" spans="1:10" x14ac:dyDescent="0.25">
      <c r="A686" t="str">
        <f>IFERROR(VLOOKUP(Logs_reseau[[#This Row],[Cell_ID]],'[1]Registre_Maintenance_combine '!A:B,2,FALSE),"Non trouvé")</f>
        <v>Sud-Ubangi</v>
      </c>
      <c r="B686" t="s">
        <v>165</v>
      </c>
      <c r="C686" s="3">
        <v>45227.48333333333</v>
      </c>
      <c r="D686" s="11">
        <f>Logs_reseau[[#This Row],[Duree_Panne_Min]]/1440</f>
        <v>4.2361111111111113E-2</v>
      </c>
      <c r="E686">
        <v>61</v>
      </c>
      <c r="F686" t="s">
        <v>2</v>
      </c>
      <c r="G686">
        <f>IFERROR(VLOOKUP(Logs_reseau[[#This Row],[Cell_ID]],'[1]Registre_Maintenance_combine '!A:C,3,FALSE),"Non trouvé")</f>
        <v>-10.56448</v>
      </c>
      <c r="H686">
        <f>IFERROR(VLOOKUP(Logs_reseau[[#This Row],[Cell_ID]],'[1]Registre_Maintenance_combine '!A:D,4,FALSE),"Non trouvé")</f>
        <v>19.792876</v>
      </c>
      <c r="I686" t="str">
        <f>IFERROR(VLOOKUP(Logs_reseau[[#This Row],[Cell_ID]],'[1]Registre_Maintenance_combine '!A:E,5,FALSE),"Non trouvé")</f>
        <v>5G</v>
      </c>
      <c r="J686" t="str">
        <f>IFERROR(VLOOKUP(Logs_reseau[[#This Row],[Cell_ID]],'[1]Registre_Maintenance_combine '!A:F,6,FALSE),"Non trouvé")</f>
        <v>Ericsson</v>
      </c>
    </row>
    <row r="687" spans="1:10" x14ac:dyDescent="0.25">
      <c r="A687" t="str">
        <f>IFERROR(VLOOKUP(Logs_reseau[[#This Row],[Cell_ID]],'[1]Registre_Maintenance_combine '!A:B,2,FALSE),"Non trouvé")</f>
        <v>Sud-Ubangi</v>
      </c>
      <c r="B687" t="s">
        <v>165</v>
      </c>
      <c r="C687" s="3">
        <v>45229.879166666666</v>
      </c>
      <c r="D687" s="11">
        <f>Logs_reseau[[#This Row],[Duree_Panne_Min]]/1440</f>
        <v>2.9861111111111113E-2</v>
      </c>
      <c r="E687">
        <v>43</v>
      </c>
      <c r="F687" t="s">
        <v>4</v>
      </c>
      <c r="G687">
        <f>IFERROR(VLOOKUP(Logs_reseau[[#This Row],[Cell_ID]],'[1]Registre_Maintenance_combine '!A:C,3,FALSE),"Non trouvé")</f>
        <v>-10.56448</v>
      </c>
      <c r="H687">
        <f>IFERROR(VLOOKUP(Logs_reseau[[#This Row],[Cell_ID]],'[1]Registre_Maintenance_combine '!A:D,4,FALSE),"Non trouvé")</f>
        <v>19.792876</v>
      </c>
      <c r="I687" t="str">
        <f>IFERROR(VLOOKUP(Logs_reseau[[#This Row],[Cell_ID]],'[1]Registre_Maintenance_combine '!A:E,5,FALSE),"Non trouvé")</f>
        <v>5G</v>
      </c>
      <c r="J687" t="str">
        <f>IFERROR(VLOOKUP(Logs_reseau[[#This Row],[Cell_ID]],'[1]Registre_Maintenance_combine '!A:F,6,FALSE),"Non trouvé")</f>
        <v>Ericsson</v>
      </c>
    </row>
    <row r="688" spans="1:10" x14ac:dyDescent="0.25">
      <c r="A688" t="str">
        <f>IFERROR(VLOOKUP(Logs_reseau[[#This Row],[Cell_ID]],'[1]Registre_Maintenance_combine '!A:B,2,FALSE),"Non trouvé")</f>
        <v>Sud-Ubangi</v>
      </c>
      <c r="B688" t="s">
        <v>165</v>
      </c>
      <c r="C688" s="3">
        <v>45217.681944444441</v>
      </c>
      <c r="D688" s="11">
        <f>Logs_reseau[[#This Row],[Duree_Panne_Min]]/1440</f>
        <v>4.4444444444444446E-2</v>
      </c>
      <c r="E688">
        <v>64</v>
      </c>
      <c r="F688" t="s">
        <v>2</v>
      </c>
      <c r="G688">
        <f>IFERROR(VLOOKUP(Logs_reseau[[#This Row],[Cell_ID]],'[1]Registre_Maintenance_combine '!A:C,3,FALSE),"Non trouvé")</f>
        <v>-10.56448</v>
      </c>
      <c r="H688">
        <f>IFERROR(VLOOKUP(Logs_reseau[[#This Row],[Cell_ID]],'[1]Registre_Maintenance_combine '!A:D,4,FALSE),"Non trouvé")</f>
        <v>19.792876</v>
      </c>
      <c r="I688" t="str">
        <f>IFERROR(VLOOKUP(Logs_reseau[[#This Row],[Cell_ID]],'[1]Registre_Maintenance_combine '!A:E,5,FALSE),"Non trouvé")</f>
        <v>5G</v>
      </c>
      <c r="J688" t="str">
        <f>IFERROR(VLOOKUP(Logs_reseau[[#This Row],[Cell_ID]],'[1]Registre_Maintenance_combine '!A:F,6,FALSE),"Non trouvé")</f>
        <v>Ericsson</v>
      </c>
    </row>
    <row r="689" spans="1:10" x14ac:dyDescent="0.25">
      <c r="A689" t="str">
        <f>IFERROR(VLOOKUP(Logs_reseau[[#This Row],[Cell_ID]],'[1]Registre_Maintenance_combine '!A:B,2,FALSE),"Non trouvé")</f>
        <v>Sud-Ubangi</v>
      </c>
      <c r="B689" t="s">
        <v>165</v>
      </c>
      <c r="C689" s="3">
        <v>45215.518750000003</v>
      </c>
      <c r="D689" s="11">
        <f>Logs_reseau[[#This Row],[Duree_Panne_Min]]/1440</f>
        <v>1.2500000000000001E-2</v>
      </c>
      <c r="E689">
        <v>18</v>
      </c>
      <c r="F689" t="s">
        <v>2</v>
      </c>
      <c r="G689">
        <f>IFERROR(VLOOKUP(Logs_reseau[[#This Row],[Cell_ID]],'[1]Registre_Maintenance_combine '!A:C,3,FALSE),"Non trouvé")</f>
        <v>-10.56448</v>
      </c>
      <c r="H689">
        <f>IFERROR(VLOOKUP(Logs_reseau[[#This Row],[Cell_ID]],'[1]Registre_Maintenance_combine '!A:D,4,FALSE),"Non trouvé")</f>
        <v>19.792876</v>
      </c>
      <c r="I689" t="str">
        <f>IFERROR(VLOOKUP(Logs_reseau[[#This Row],[Cell_ID]],'[1]Registre_Maintenance_combine '!A:E,5,FALSE),"Non trouvé")</f>
        <v>5G</v>
      </c>
      <c r="J689" t="str">
        <f>IFERROR(VLOOKUP(Logs_reseau[[#This Row],[Cell_ID]],'[1]Registre_Maintenance_combine '!A:F,6,FALSE),"Non trouvé")</f>
        <v>Ericsson</v>
      </c>
    </row>
    <row r="690" spans="1:10" x14ac:dyDescent="0.25">
      <c r="A690" t="str">
        <f>IFERROR(VLOOKUP(Logs_reseau[[#This Row],[Cell_ID]],'[1]Registre_Maintenance_combine '!A:B,2,FALSE),"Non trouvé")</f>
        <v>Sud-Ubangi</v>
      </c>
      <c r="B690" t="s">
        <v>165</v>
      </c>
      <c r="C690" s="3">
        <v>45219.169444444444</v>
      </c>
      <c r="D690" s="11">
        <f>Logs_reseau[[#This Row],[Duree_Panne_Min]]/1440</f>
        <v>2.4305555555555556E-2</v>
      </c>
      <c r="E690">
        <v>35</v>
      </c>
      <c r="F690" t="s">
        <v>2</v>
      </c>
      <c r="G690">
        <f>IFERROR(VLOOKUP(Logs_reseau[[#This Row],[Cell_ID]],'[1]Registre_Maintenance_combine '!A:C,3,FALSE),"Non trouvé")</f>
        <v>-10.56448</v>
      </c>
      <c r="H690">
        <f>IFERROR(VLOOKUP(Logs_reseau[[#This Row],[Cell_ID]],'[1]Registre_Maintenance_combine '!A:D,4,FALSE),"Non trouvé")</f>
        <v>19.792876</v>
      </c>
      <c r="I690" t="str">
        <f>IFERROR(VLOOKUP(Logs_reseau[[#This Row],[Cell_ID]],'[1]Registre_Maintenance_combine '!A:E,5,FALSE),"Non trouvé")</f>
        <v>5G</v>
      </c>
      <c r="J690" t="str">
        <f>IFERROR(VLOOKUP(Logs_reseau[[#This Row],[Cell_ID]],'[1]Registre_Maintenance_combine '!A:F,6,FALSE),"Non trouvé")</f>
        <v>Ericsson</v>
      </c>
    </row>
    <row r="691" spans="1:10" x14ac:dyDescent="0.25">
      <c r="A691" t="str">
        <f>IFERROR(VLOOKUP(Logs_reseau[[#This Row],[Cell_ID]],'[1]Registre_Maintenance_combine '!A:B,2,FALSE),"Non trouvé")</f>
        <v>Sud-Ubangi</v>
      </c>
      <c r="B691" t="s">
        <v>165</v>
      </c>
      <c r="C691" s="3">
        <v>45220.774305555555</v>
      </c>
      <c r="D691" s="11">
        <f>Logs_reseau[[#This Row],[Duree_Panne_Min]]/1440</f>
        <v>7.6388888888888886E-3</v>
      </c>
      <c r="E691">
        <v>11</v>
      </c>
      <c r="F691" t="s">
        <v>4</v>
      </c>
      <c r="G691">
        <f>IFERROR(VLOOKUP(Logs_reseau[[#This Row],[Cell_ID]],'[1]Registre_Maintenance_combine '!A:C,3,FALSE),"Non trouvé")</f>
        <v>-10.56448</v>
      </c>
      <c r="H691">
        <f>IFERROR(VLOOKUP(Logs_reseau[[#This Row],[Cell_ID]],'[1]Registre_Maintenance_combine '!A:D,4,FALSE),"Non trouvé")</f>
        <v>19.792876</v>
      </c>
      <c r="I691" t="str">
        <f>IFERROR(VLOOKUP(Logs_reseau[[#This Row],[Cell_ID]],'[1]Registre_Maintenance_combine '!A:E,5,FALSE),"Non trouvé")</f>
        <v>5G</v>
      </c>
      <c r="J691" t="str">
        <f>IFERROR(VLOOKUP(Logs_reseau[[#This Row],[Cell_ID]],'[1]Registre_Maintenance_combine '!A:F,6,FALSE),"Non trouvé")</f>
        <v>Ericsson</v>
      </c>
    </row>
    <row r="692" spans="1:10" x14ac:dyDescent="0.25">
      <c r="A692" t="str">
        <f>IFERROR(VLOOKUP(Logs_reseau[[#This Row],[Cell_ID]],'[1]Registre_Maintenance_combine '!A:B,2,FALSE),"Non trouvé")</f>
        <v>Sud-Ubangi</v>
      </c>
      <c r="B692" t="s">
        <v>165</v>
      </c>
      <c r="C692" s="3">
        <v>45207.526388888888</v>
      </c>
      <c r="D692" s="11">
        <f>Logs_reseau[[#This Row],[Duree_Panne_Min]]/1440</f>
        <v>4.1666666666666666E-3</v>
      </c>
      <c r="E692">
        <v>6</v>
      </c>
      <c r="F692" t="s">
        <v>1</v>
      </c>
      <c r="G692">
        <f>IFERROR(VLOOKUP(Logs_reseau[[#This Row],[Cell_ID]],'[1]Registre_Maintenance_combine '!A:C,3,FALSE),"Non trouvé")</f>
        <v>-10.56448</v>
      </c>
      <c r="H692">
        <f>IFERROR(VLOOKUP(Logs_reseau[[#This Row],[Cell_ID]],'[1]Registre_Maintenance_combine '!A:D,4,FALSE),"Non trouvé")</f>
        <v>19.792876</v>
      </c>
      <c r="I692" t="str">
        <f>IFERROR(VLOOKUP(Logs_reseau[[#This Row],[Cell_ID]],'[1]Registre_Maintenance_combine '!A:E,5,FALSE),"Non trouvé")</f>
        <v>5G</v>
      </c>
      <c r="J692" t="str">
        <f>IFERROR(VLOOKUP(Logs_reseau[[#This Row],[Cell_ID]],'[1]Registre_Maintenance_combine '!A:F,6,FALSE),"Non trouvé")</f>
        <v>Ericsson</v>
      </c>
    </row>
    <row r="693" spans="1:10" x14ac:dyDescent="0.25">
      <c r="A693" t="str">
        <f>IFERROR(VLOOKUP(Logs_reseau[[#This Row],[Cell_ID]],'[1]Registre_Maintenance_combine '!A:B,2,FALSE),"Non trouvé")</f>
        <v>Sud-Ubangi</v>
      </c>
      <c r="B693" t="s">
        <v>165</v>
      </c>
      <c r="C693" s="3">
        <v>45205.245138888888</v>
      </c>
      <c r="D693" s="11">
        <f>Logs_reseau[[#This Row],[Duree_Panne_Min]]/1440</f>
        <v>2.2916666666666665E-2</v>
      </c>
      <c r="E693">
        <v>33</v>
      </c>
      <c r="F693" t="s">
        <v>1</v>
      </c>
      <c r="G693">
        <f>IFERROR(VLOOKUP(Logs_reseau[[#This Row],[Cell_ID]],'[1]Registre_Maintenance_combine '!A:C,3,FALSE),"Non trouvé")</f>
        <v>-10.56448</v>
      </c>
      <c r="H693">
        <f>IFERROR(VLOOKUP(Logs_reseau[[#This Row],[Cell_ID]],'[1]Registre_Maintenance_combine '!A:D,4,FALSE),"Non trouvé")</f>
        <v>19.792876</v>
      </c>
      <c r="I693" t="str">
        <f>IFERROR(VLOOKUP(Logs_reseau[[#This Row],[Cell_ID]],'[1]Registre_Maintenance_combine '!A:E,5,FALSE),"Non trouvé")</f>
        <v>5G</v>
      </c>
      <c r="J693" t="str">
        <f>IFERROR(VLOOKUP(Logs_reseau[[#This Row],[Cell_ID]],'[1]Registre_Maintenance_combine '!A:F,6,FALSE),"Non trouvé")</f>
        <v>Ericsson</v>
      </c>
    </row>
    <row r="694" spans="1:10" x14ac:dyDescent="0.25">
      <c r="A694" t="str">
        <f>IFERROR(VLOOKUP(Logs_reseau[[#This Row],[Cell_ID]],'[1]Registre_Maintenance_combine '!A:B,2,FALSE),"Non trouvé")</f>
        <v>Non trouvé</v>
      </c>
      <c r="B694" t="s">
        <v>166</v>
      </c>
      <c r="C694" s="3">
        <v>45210.568055555559</v>
      </c>
      <c r="D694" s="11">
        <f>Logs_reseau[[#This Row],[Duree_Panne_Min]]/1440</f>
        <v>4.4444444444444446E-2</v>
      </c>
      <c r="E694">
        <v>64</v>
      </c>
      <c r="F694" t="s">
        <v>2</v>
      </c>
      <c r="G694" t="str">
        <f>IFERROR(VLOOKUP(Logs_reseau[[#This Row],[Cell_ID]],'[1]Registre_Maintenance_combine '!A:C,3,FALSE),"Non trouvé")</f>
        <v>Non trouvé</v>
      </c>
      <c r="H694" t="str">
        <f>IFERROR(VLOOKUP(Logs_reseau[[#This Row],[Cell_ID]],'[1]Registre_Maintenance_combine '!A:D,4,FALSE),"Non trouvé")</f>
        <v>Non trouvé</v>
      </c>
      <c r="I694" t="str">
        <f>IFERROR(VLOOKUP(Logs_reseau[[#This Row],[Cell_ID]],'[1]Registre_Maintenance_combine '!A:E,5,FALSE),"Non trouvé")</f>
        <v>Non trouvé</v>
      </c>
      <c r="J694" t="str">
        <f>IFERROR(VLOOKUP(Logs_reseau[[#This Row],[Cell_ID]],'[1]Registre_Maintenance_combine '!A:F,6,FALSE),"Non trouvé")</f>
        <v>Non trouvé</v>
      </c>
    </row>
    <row r="695" spans="1:10" x14ac:dyDescent="0.25">
      <c r="A695" t="str">
        <f>IFERROR(VLOOKUP(Logs_reseau[[#This Row],[Cell_ID]],'[1]Registre_Maintenance_combine '!A:B,2,FALSE),"Non trouvé")</f>
        <v>Non trouvé</v>
      </c>
      <c r="B695" t="s">
        <v>166</v>
      </c>
      <c r="C695" s="3">
        <v>45219.89166666667</v>
      </c>
      <c r="D695" s="11">
        <f>Logs_reseau[[#This Row],[Duree_Panne_Min]]/1440</f>
        <v>7.9861111111111105E-2</v>
      </c>
      <c r="E695">
        <v>115</v>
      </c>
      <c r="F695" t="s">
        <v>2</v>
      </c>
      <c r="G695" t="str">
        <f>IFERROR(VLOOKUP(Logs_reseau[[#This Row],[Cell_ID]],'[1]Registre_Maintenance_combine '!A:C,3,FALSE),"Non trouvé")</f>
        <v>Non trouvé</v>
      </c>
      <c r="H695" t="str">
        <f>IFERROR(VLOOKUP(Logs_reseau[[#This Row],[Cell_ID]],'[1]Registre_Maintenance_combine '!A:D,4,FALSE),"Non trouvé")</f>
        <v>Non trouvé</v>
      </c>
      <c r="I695" t="str">
        <f>IFERROR(VLOOKUP(Logs_reseau[[#This Row],[Cell_ID]],'[1]Registre_Maintenance_combine '!A:E,5,FALSE),"Non trouvé")</f>
        <v>Non trouvé</v>
      </c>
      <c r="J695" t="str">
        <f>IFERROR(VLOOKUP(Logs_reseau[[#This Row],[Cell_ID]],'[1]Registre_Maintenance_combine '!A:F,6,FALSE),"Non trouvé")</f>
        <v>Non trouvé</v>
      </c>
    </row>
    <row r="696" spans="1:10" x14ac:dyDescent="0.25">
      <c r="A696" t="str">
        <f>IFERROR(VLOOKUP(Logs_reseau[[#This Row],[Cell_ID]],'[1]Registre_Maintenance_combine '!A:B,2,FALSE),"Non trouvé")</f>
        <v>Non trouvé</v>
      </c>
      <c r="B696" t="s">
        <v>166</v>
      </c>
      <c r="C696" s="3">
        <v>45225.318055555559</v>
      </c>
      <c r="D696" s="11">
        <f>Logs_reseau[[#This Row],[Duree_Panne_Min]]/1440</f>
        <v>1.5277777777777777E-2</v>
      </c>
      <c r="E696">
        <v>22</v>
      </c>
      <c r="F696" t="s">
        <v>2</v>
      </c>
      <c r="G696" t="str">
        <f>IFERROR(VLOOKUP(Logs_reseau[[#This Row],[Cell_ID]],'[1]Registre_Maintenance_combine '!A:C,3,FALSE),"Non trouvé")</f>
        <v>Non trouvé</v>
      </c>
      <c r="H696" t="str">
        <f>IFERROR(VLOOKUP(Logs_reseau[[#This Row],[Cell_ID]],'[1]Registre_Maintenance_combine '!A:D,4,FALSE),"Non trouvé")</f>
        <v>Non trouvé</v>
      </c>
      <c r="I696" t="str">
        <f>IFERROR(VLOOKUP(Logs_reseau[[#This Row],[Cell_ID]],'[1]Registre_Maintenance_combine '!A:E,5,FALSE),"Non trouvé")</f>
        <v>Non trouvé</v>
      </c>
      <c r="J696" t="str">
        <f>IFERROR(VLOOKUP(Logs_reseau[[#This Row],[Cell_ID]],'[1]Registre_Maintenance_combine '!A:F,6,FALSE),"Non trouvé")</f>
        <v>Non trouvé</v>
      </c>
    </row>
    <row r="697" spans="1:10" x14ac:dyDescent="0.25">
      <c r="A697" t="str">
        <f>IFERROR(VLOOKUP(Logs_reseau[[#This Row],[Cell_ID]],'[1]Registre_Maintenance_combine '!A:B,2,FALSE),"Non trouvé")</f>
        <v>Non trouvé</v>
      </c>
      <c r="B697" t="s">
        <v>167</v>
      </c>
      <c r="C697" s="3">
        <v>45217.96875</v>
      </c>
      <c r="D697" s="11">
        <f>Logs_reseau[[#This Row],[Duree_Panne_Min]]/1440</f>
        <v>7.4305555555555555E-2</v>
      </c>
      <c r="E697">
        <v>107</v>
      </c>
      <c r="F697" t="s">
        <v>1</v>
      </c>
      <c r="G697" t="str">
        <f>IFERROR(VLOOKUP(Logs_reseau[[#This Row],[Cell_ID]],'[1]Registre_Maintenance_combine '!A:C,3,FALSE),"Non trouvé")</f>
        <v>Non trouvé</v>
      </c>
      <c r="H697" t="str">
        <f>IFERROR(VLOOKUP(Logs_reseau[[#This Row],[Cell_ID]],'[1]Registre_Maintenance_combine '!A:D,4,FALSE),"Non trouvé")</f>
        <v>Non trouvé</v>
      </c>
      <c r="I697" t="str">
        <f>IFERROR(VLOOKUP(Logs_reseau[[#This Row],[Cell_ID]],'[1]Registre_Maintenance_combine '!A:E,5,FALSE),"Non trouvé")</f>
        <v>Non trouvé</v>
      </c>
      <c r="J697" t="str">
        <f>IFERROR(VLOOKUP(Logs_reseau[[#This Row],[Cell_ID]],'[1]Registre_Maintenance_combine '!A:F,6,FALSE),"Non trouvé")</f>
        <v>Non trouvé</v>
      </c>
    </row>
    <row r="698" spans="1:10" x14ac:dyDescent="0.25">
      <c r="A698" t="str">
        <f>IFERROR(VLOOKUP(Logs_reseau[[#This Row],[Cell_ID]],'[1]Registre_Maintenance_combine '!A:B,2,FALSE),"Non trouvé")</f>
        <v>Non trouvé</v>
      </c>
      <c r="B698" t="s">
        <v>167</v>
      </c>
      <c r="C698" s="3">
        <v>45222.039583333331</v>
      </c>
      <c r="D698" s="11">
        <f>Logs_reseau[[#This Row],[Duree_Panne_Min]]/1440</f>
        <v>1.4583333333333334E-2</v>
      </c>
      <c r="E698">
        <v>21</v>
      </c>
      <c r="F698" t="s">
        <v>2</v>
      </c>
      <c r="G698" t="str">
        <f>IFERROR(VLOOKUP(Logs_reseau[[#This Row],[Cell_ID]],'[1]Registre_Maintenance_combine '!A:C,3,FALSE),"Non trouvé")</f>
        <v>Non trouvé</v>
      </c>
      <c r="H698" t="str">
        <f>IFERROR(VLOOKUP(Logs_reseau[[#This Row],[Cell_ID]],'[1]Registre_Maintenance_combine '!A:D,4,FALSE),"Non trouvé")</f>
        <v>Non trouvé</v>
      </c>
      <c r="I698" t="str">
        <f>IFERROR(VLOOKUP(Logs_reseau[[#This Row],[Cell_ID]],'[1]Registre_Maintenance_combine '!A:E,5,FALSE),"Non trouvé")</f>
        <v>Non trouvé</v>
      </c>
      <c r="J698" t="str">
        <f>IFERROR(VLOOKUP(Logs_reseau[[#This Row],[Cell_ID]],'[1]Registre_Maintenance_combine '!A:F,6,FALSE),"Non trouvé")</f>
        <v>Non trouvé</v>
      </c>
    </row>
    <row r="699" spans="1:10" x14ac:dyDescent="0.25">
      <c r="A699" t="str">
        <f>IFERROR(VLOOKUP(Logs_reseau[[#This Row],[Cell_ID]],'[1]Registre_Maintenance_combine '!A:B,2,FALSE),"Non trouvé")</f>
        <v>Non trouvé</v>
      </c>
      <c r="B699" t="s">
        <v>167</v>
      </c>
      <c r="C699" s="3">
        <v>45224.60833333333</v>
      </c>
      <c r="D699" s="11">
        <f>Logs_reseau[[#This Row],[Duree_Panne_Min]]/1440</f>
        <v>3.7499999999999999E-2</v>
      </c>
      <c r="E699">
        <v>54</v>
      </c>
      <c r="F699" t="s">
        <v>2</v>
      </c>
      <c r="G699" t="str">
        <f>IFERROR(VLOOKUP(Logs_reseau[[#This Row],[Cell_ID]],'[1]Registre_Maintenance_combine '!A:C,3,FALSE),"Non trouvé")</f>
        <v>Non trouvé</v>
      </c>
      <c r="H699" t="str">
        <f>IFERROR(VLOOKUP(Logs_reseau[[#This Row],[Cell_ID]],'[1]Registre_Maintenance_combine '!A:D,4,FALSE),"Non trouvé")</f>
        <v>Non trouvé</v>
      </c>
      <c r="I699" t="str">
        <f>IFERROR(VLOOKUP(Logs_reseau[[#This Row],[Cell_ID]],'[1]Registre_Maintenance_combine '!A:E,5,FALSE),"Non trouvé")</f>
        <v>Non trouvé</v>
      </c>
      <c r="J699" t="str">
        <f>IFERROR(VLOOKUP(Logs_reseau[[#This Row],[Cell_ID]],'[1]Registre_Maintenance_combine '!A:F,6,FALSE),"Non trouvé")</f>
        <v>Non trouvé</v>
      </c>
    </row>
    <row r="700" spans="1:10" x14ac:dyDescent="0.25">
      <c r="A700" t="str">
        <f>IFERROR(VLOOKUP(Logs_reseau[[#This Row],[Cell_ID]],'[1]Registre_Maintenance_combine '!A:B,2,FALSE),"Non trouvé")</f>
        <v>Non trouvé</v>
      </c>
      <c r="B700" t="s">
        <v>167</v>
      </c>
      <c r="C700" s="3">
        <v>45216.137499999997</v>
      </c>
      <c r="D700" s="11">
        <f>Logs_reseau[[#This Row],[Duree_Panne_Min]]/1440</f>
        <v>2.5000000000000001E-2</v>
      </c>
      <c r="E700">
        <v>36</v>
      </c>
      <c r="F700" t="s">
        <v>4</v>
      </c>
      <c r="G700" t="str">
        <f>IFERROR(VLOOKUP(Logs_reseau[[#This Row],[Cell_ID]],'[1]Registre_Maintenance_combine '!A:C,3,FALSE),"Non trouvé")</f>
        <v>Non trouvé</v>
      </c>
      <c r="H700" t="str">
        <f>IFERROR(VLOOKUP(Logs_reseau[[#This Row],[Cell_ID]],'[1]Registre_Maintenance_combine '!A:D,4,FALSE),"Non trouvé")</f>
        <v>Non trouvé</v>
      </c>
      <c r="I700" t="str">
        <f>IFERROR(VLOOKUP(Logs_reseau[[#This Row],[Cell_ID]],'[1]Registre_Maintenance_combine '!A:E,5,FALSE),"Non trouvé")</f>
        <v>Non trouvé</v>
      </c>
      <c r="J700" t="str">
        <f>IFERROR(VLOOKUP(Logs_reseau[[#This Row],[Cell_ID]],'[1]Registre_Maintenance_combine '!A:F,6,FALSE),"Non trouvé")</f>
        <v>Non trouvé</v>
      </c>
    </row>
    <row r="701" spans="1:10" x14ac:dyDescent="0.25">
      <c r="A701" t="str">
        <f>IFERROR(VLOOKUP(Logs_reseau[[#This Row],[Cell_ID]],'[1]Registre_Maintenance_combine '!A:B,2,FALSE),"Non trouvé")</f>
        <v>Non trouvé</v>
      </c>
      <c r="B701" t="s">
        <v>168</v>
      </c>
      <c r="C701" s="3">
        <v>45210.45</v>
      </c>
      <c r="D701" s="11">
        <f>Logs_reseau[[#This Row],[Duree_Panne_Min]]/1440</f>
        <v>7.4999999999999997E-2</v>
      </c>
      <c r="E701">
        <v>108</v>
      </c>
      <c r="F701" t="s">
        <v>1</v>
      </c>
      <c r="G701" t="str">
        <f>IFERROR(VLOOKUP(Logs_reseau[[#This Row],[Cell_ID]],'[1]Registre_Maintenance_combine '!A:C,3,FALSE),"Non trouvé")</f>
        <v>Non trouvé</v>
      </c>
      <c r="H701" t="str">
        <f>IFERROR(VLOOKUP(Logs_reseau[[#This Row],[Cell_ID]],'[1]Registre_Maintenance_combine '!A:D,4,FALSE),"Non trouvé")</f>
        <v>Non trouvé</v>
      </c>
      <c r="I701" t="str">
        <f>IFERROR(VLOOKUP(Logs_reseau[[#This Row],[Cell_ID]],'[1]Registre_Maintenance_combine '!A:E,5,FALSE),"Non trouvé")</f>
        <v>Non trouvé</v>
      </c>
      <c r="J701" t="str">
        <f>IFERROR(VLOOKUP(Logs_reseau[[#This Row],[Cell_ID]],'[1]Registre_Maintenance_combine '!A:F,6,FALSE),"Non trouvé")</f>
        <v>Non trouvé</v>
      </c>
    </row>
    <row r="702" spans="1:10" x14ac:dyDescent="0.25">
      <c r="A702" t="str">
        <f>IFERROR(VLOOKUP(Logs_reseau[[#This Row],[Cell_ID]],'[1]Registre_Maintenance_combine '!A:B,2,FALSE),"Non trouvé")</f>
        <v>Non trouvé</v>
      </c>
      <c r="B702" t="s">
        <v>168</v>
      </c>
      <c r="C702" s="3">
        <v>45227.629166666666</v>
      </c>
      <c r="D702" s="11">
        <f>Logs_reseau[[#This Row],[Duree_Panne_Min]]/1440</f>
        <v>5.6250000000000001E-2</v>
      </c>
      <c r="E702">
        <v>81</v>
      </c>
      <c r="F702" t="s">
        <v>2</v>
      </c>
      <c r="G702" t="str">
        <f>IFERROR(VLOOKUP(Logs_reseau[[#This Row],[Cell_ID]],'[1]Registre_Maintenance_combine '!A:C,3,FALSE),"Non trouvé")</f>
        <v>Non trouvé</v>
      </c>
      <c r="H702" t="str">
        <f>IFERROR(VLOOKUP(Logs_reseau[[#This Row],[Cell_ID]],'[1]Registre_Maintenance_combine '!A:D,4,FALSE),"Non trouvé")</f>
        <v>Non trouvé</v>
      </c>
      <c r="I702" t="str">
        <f>IFERROR(VLOOKUP(Logs_reseau[[#This Row],[Cell_ID]],'[1]Registre_Maintenance_combine '!A:E,5,FALSE),"Non trouvé")</f>
        <v>Non trouvé</v>
      </c>
      <c r="J702" t="str">
        <f>IFERROR(VLOOKUP(Logs_reseau[[#This Row],[Cell_ID]],'[1]Registre_Maintenance_combine '!A:F,6,FALSE),"Non trouvé")</f>
        <v>Non trouvé</v>
      </c>
    </row>
    <row r="703" spans="1:10" x14ac:dyDescent="0.25">
      <c r="A703" t="str">
        <f>IFERROR(VLOOKUP(Logs_reseau[[#This Row],[Cell_ID]],'[1]Registre_Maintenance_combine '!A:B,2,FALSE),"Non trouvé")</f>
        <v>Non trouvé</v>
      </c>
      <c r="B703" t="s">
        <v>168</v>
      </c>
      <c r="C703" s="3">
        <v>45228.848611111112</v>
      </c>
      <c r="D703" s="11">
        <f>Logs_reseau[[#This Row],[Duree_Panne_Min]]/1440</f>
        <v>6.3194444444444442E-2</v>
      </c>
      <c r="E703">
        <v>91</v>
      </c>
      <c r="F703" t="s">
        <v>4</v>
      </c>
      <c r="G703" t="str">
        <f>IFERROR(VLOOKUP(Logs_reseau[[#This Row],[Cell_ID]],'[1]Registre_Maintenance_combine '!A:C,3,FALSE),"Non trouvé")</f>
        <v>Non trouvé</v>
      </c>
      <c r="H703" t="str">
        <f>IFERROR(VLOOKUP(Logs_reseau[[#This Row],[Cell_ID]],'[1]Registre_Maintenance_combine '!A:D,4,FALSE),"Non trouvé")</f>
        <v>Non trouvé</v>
      </c>
      <c r="I703" t="str">
        <f>IFERROR(VLOOKUP(Logs_reseau[[#This Row],[Cell_ID]],'[1]Registre_Maintenance_combine '!A:E,5,FALSE),"Non trouvé")</f>
        <v>Non trouvé</v>
      </c>
      <c r="J703" t="str">
        <f>IFERROR(VLOOKUP(Logs_reseau[[#This Row],[Cell_ID]],'[1]Registre_Maintenance_combine '!A:F,6,FALSE),"Non trouvé")</f>
        <v>Non trouvé</v>
      </c>
    </row>
    <row r="704" spans="1:10" x14ac:dyDescent="0.25">
      <c r="A704" t="str">
        <f>IFERROR(VLOOKUP(Logs_reseau[[#This Row],[Cell_ID]],'[1]Registre_Maintenance_combine '!A:B,2,FALSE),"Non trouvé")</f>
        <v>Non trouvé</v>
      </c>
      <c r="B704" t="s">
        <v>168</v>
      </c>
      <c r="C704" s="3">
        <v>45207.793055555558</v>
      </c>
      <c r="D704" s="11">
        <f>Logs_reseau[[#This Row],[Duree_Panne_Min]]/1440</f>
        <v>5.2777777777777778E-2</v>
      </c>
      <c r="E704">
        <v>76</v>
      </c>
      <c r="F704" t="s">
        <v>4</v>
      </c>
      <c r="G704" t="str">
        <f>IFERROR(VLOOKUP(Logs_reseau[[#This Row],[Cell_ID]],'[1]Registre_Maintenance_combine '!A:C,3,FALSE),"Non trouvé")</f>
        <v>Non trouvé</v>
      </c>
      <c r="H704" t="str">
        <f>IFERROR(VLOOKUP(Logs_reseau[[#This Row],[Cell_ID]],'[1]Registre_Maintenance_combine '!A:D,4,FALSE),"Non trouvé")</f>
        <v>Non trouvé</v>
      </c>
      <c r="I704" t="str">
        <f>IFERROR(VLOOKUP(Logs_reseau[[#This Row],[Cell_ID]],'[1]Registre_Maintenance_combine '!A:E,5,FALSE),"Non trouvé")</f>
        <v>Non trouvé</v>
      </c>
      <c r="J704" t="str">
        <f>IFERROR(VLOOKUP(Logs_reseau[[#This Row],[Cell_ID]],'[1]Registre_Maintenance_combine '!A:F,6,FALSE),"Non trouvé")</f>
        <v>Non trouvé</v>
      </c>
    </row>
    <row r="705" spans="1:10" x14ac:dyDescent="0.25">
      <c r="A705" t="str">
        <f>IFERROR(VLOOKUP(Logs_reseau[[#This Row],[Cell_ID]],'[1]Registre_Maintenance_combine '!A:B,2,FALSE),"Non trouvé")</f>
        <v>Non trouvé</v>
      </c>
      <c r="B705" t="s">
        <v>168</v>
      </c>
      <c r="C705" s="3">
        <v>45211.102083333331</v>
      </c>
      <c r="D705" s="11">
        <f>Logs_reseau[[#This Row],[Duree_Panne_Min]]/1440</f>
        <v>1.3194444444444444E-2</v>
      </c>
      <c r="E705">
        <v>19</v>
      </c>
      <c r="F705" t="s">
        <v>2</v>
      </c>
      <c r="G705" t="str">
        <f>IFERROR(VLOOKUP(Logs_reseau[[#This Row],[Cell_ID]],'[1]Registre_Maintenance_combine '!A:C,3,FALSE),"Non trouvé")</f>
        <v>Non trouvé</v>
      </c>
      <c r="H705" t="str">
        <f>IFERROR(VLOOKUP(Logs_reseau[[#This Row],[Cell_ID]],'[1]Registre_Maintenance_combine '!A:D,4,FALSE),"Non trouvé")</f>
        <v>Non trouvé</v>
      </c>
      <c r="I705" t="str">
        <f>IFERROR(VLOOKUP(Logs_reseau[[#This Row],[Cell_ID]],'[1]Registre_Maintenance_combine '!A:E,5,FALSE),"Non trouvé")</f>
        <v>Non trouvé</v>
      </c>
      <c r="J705" t="str">
        <f>IFERROR(VLOOKUP(Logs_reseau[[#This Row],[Cell_ID]],'[1]Registre_Maintenance_combine '!A:F,6,FALSE),"Non trouvé")</f>
        <v>Non trouvé</v>
      </c>
    </row>
    <row r="706" spans="1:10" x14ac:dyDescent="0.25">
      <c r="A706" t="str">
        <f>IFERROR(VLOOKUP(Logs_reseau[[#This Row],[Cell_ID]],'[1]Registre_Maintenance_combine '!A:B,2,FALSE),"Non trouvé")</f>
        <v>Bas-Uele</v>
      </c>
      <c r="B706" t="s">
        <v>169</v>
      </c>
      <c r="C706" s="3">
        <v>45208.957638888889</v>
      </c>
      <c r="D706" s="11">
        <f>Logs_reseau[[#This Row],[Duree_Panne_Min]]/1440</f>
        <v>7.4305555555555555E-2</v>
      </c>
      <c r="E706">
        <v>107</v>
      </c>
      <c r="F706" t="s">
        <v>2</v>
      </c>
      <c r="G706">
        <f>IFERROR(VLOOKUP(Logs_reseau[[#This Row],[Cell_ID]],'[1]Registre_Maintenance_combine '!A:C,3,FALSE),"Non trouvé")</f>
        <v>-12.244119</v>
      </c>
      <c r="H706">
        <f>IFERROR(VLOOKUP(Logs_reseau[[#This Row],[Cell_ID]],'[1]Registre_Maintenance_combine '!A:D,4,FALSE),"Non trouvé")</f>
        <v>28.279755999999999</v>
      </c>
      <c r="I706" t="str">
        <f>IFERROR(VLOOKUP(Logs_reseau[[#This Row],[Cell_ID]],'[1]Registre_Maintenance_combine '!A:E,5,FALSE),"Non trouvé")</f>
        <v>5G</v>
      </c>
      <c r="J706" t="str">
        <f>IFERROR(VLOOKUP(Logs_reseau[[#This Row],[Cell_ID]],'[1]Registre_Maintenance_combine '!A:F,6,FALSE),"Non trouvé")</f>
        <v>ZTE</v>
      </c>
    </row>
    <row r="707" spans="1:10" x14ac:dyDescent="0.25">
      <c r="A707" t="str">
        <f>IFERROR(VLOOKUP(Logs_reseau[[#This Row],[Cell_ID]],'[1]Registre_Maintenance_combine '!A:B,2,FALSE),"Non trouvé")</f>
        <v>Bas-Uele</v>
      </c>
      <c r="B707" t="s">
        <v>169</v>
      </c>
      <c r="C707" s="3">
        <v>45223.355555555558</v>
      </c>
      <c r="D707" s="11">
        <f>Logs_reseau[[#This Row],[Duree_Panne_Min]]/1440</f>
        <v>4.1666666666666664E-2</v>
      </c>
      <c r="E707">
        <v>60</v>
      </c>
      <c r="F707" t="s">
        <v>4</v>
      </c>
      <c r="G707">
        <f>IFERROR(VLOOKUP(Logs_reseau[[#This Row],[Cell_ID]],'[1]Registre_Maintenance_combine '!A:C,3,FALSE),"Non trouvé")</f>
        <v>-12.244119</v>
      </c>
      <c r="H707">
        <f>IFERROR(VLOOKUP(Logs_reseau[[#This Row],[Cell_ID]],'[1]Registre_Maintenance_combine '!A:D,4,FALSE),"Non trouvé")</f>
        <v>28.279755999999999</v>
      </c>
      <c r="I707" t="str">
        <f>IFERROR(VLOOKUP(Logs_reseau[[#This Row],[Cell_ID]],'[1]Registre_Maintenance_combine '!A:E,5,FALSE),"Non trouvé")</f>
        <v>5G</v>
      </c>
      <c r="J707" t="str">
        <f>IFERROR(VLOOKUP(Logs_reseau[[#This Row],[Cell_ID]],'[1]Registre_Maintenance_combine '!A:F,6,FALSE),"Non trouvé")</f>
        <v>ZTE</v>
      </c>
    </row>
    <row r="708" spans="1:10" x14ac:dyDescent="0.25">
      <c r="A708" t="str">
        <f>IFERROR(VLOOKUP(Logs_reseau[[#This Row],[Cell_ID]],'[1]Registre_Maintenance_combine '!A:B,2,FALSE),"Non trouvé")</f>
        <v>Bas-Uele</v>
      </c>
      <c r="B708" t="s">
        <v>169</v>
      </c>
      <c r="C708" s="3">
        <v>45223.071527777778</v>
      </c>
      <c r="D708" s="11">
        <f>Logs_reseau[[#This Row],[Duree_Panne_Min]]/1440</f>
        <v>5.4166666666666669E-2</v>
      </c>
      <c r="E708">
        <v>78</v>
      </c>
      <c r="F708" t="s">
        <v>1</v>
      </c>
      <c r="G708">
        <f>IFERROR(VLOOKUP(Logs_reseau[[#This Row],[Cell_ID]],'[1]Registre_Maintenance_combine '!A:C,3,FALSE),"Non trouvé")</f>
        <v>-12.244119</v>
      </c>
      <c r="H708">
        <f>IFERROR(VLOOKUP(Logs_reseau[[#This Row],[Cell_ID]],'[1]Registre_Maintenance_combine '!A:D,4,FALSE),"Non trouvé")</f>
        <v>28.279755999999999</v>
      </c>
      <c r="I708" t="str">
        <f>IFERROR(VLOOKUP(Logs_reseau[[#This Row],[Cell_ID]],'[1]Registre_Maintenance_combine '!A:E,5,FALSE),"Non trouvé")</f>
        <v>5G</v>
      </c>
      <c r="J708" t="str">
        <f>IFERROR(VLOOKUP(Logs_reseau[[#This Row],[Cell_ID]],'[1]Registre_Maintenance_combine '!A:F,6,FALSE),"Non trouvé")</f>
        <v>ZTE</v>
      </c>
    </row>
    <row r="709" spans="1:10" x14ac:dyDescent="0.25">
      <c r="A709" t="str">
        <f>IFERROR(VLOOKUP(Logs_reseau[[#This Row],[Cell_ID]],'[1]Registre_Maintenance_combine '!A:B,2,FALSE),"Non trouvé")</f>
        <v>Bas-Uele</v>
      </c>
      <c r="B709" t="s">
        <v>169</v>
      </c>
      <c r="C709" s="3">
        <v>45203.222916666666</v>
      </c>
      <c r="D709" s="11">
        <f>Logs_reseau[[#This Row],[Duree_Panne_Min]]/1440</f>
        <v>6.9444444444444441E-3</v>
      </c>
      <c r="E709">
        <v>10</v>
      </c>
      <c r="F709" t="s">
        <v>4</v>
      </c>
      <c r="G709">
        <f>IFERROR(VLOOKUP(Logs_reseau[[#This Row],[Cell_ID]],'[1]Registre_Maintenance_combine '!A:C,3,FALSE),"Non trouvé")</f>
        <v>-12.244119</v>
      </c>
      <c r="H709">
        <f>IFERROR(VLOOKUP(Logs_reseau[[#This Row],[Cell_ID]],'[1]Registre_Maintenance_combine '!A:D,4,FALSE),"Non trouvé")</f>
        <v>28.279755999999999</v>
      </c>
      <c r="I709" t="str">
        <f>IFERROR(VLOOKUP(Logs_reseau[[#This Row],[Cell_ID]],'[1]Registre_Maintenance_combine '!A:E,5,FALSE),"Non trouvé")</f>
        <v>5G</v>
      </c>
      <c r="J709" t="str">
        <f>IFERROR(VLOOKUP(Logs_reseau[[#This Row],[Cell_ID]],'[1]Registre_Maintenance_combine '!A:F,6,FALSE),"Non trouvé")</f>
        <v>ZTE</v>
      </c>
    </row>
    <row r="710" spans="1:10" x14ac:dyDescent="0.25">
      <c r="A710" t="str">
        <f>IFERROR(VLOOKUP(Logs_reseau[[#This Row],[Cell_ID]],'[1]Registre_Maintenance_combine '!A:B,2,FALSE),"Non trouvé")</f>
        <v>Kwilu</v>
      </c>
      <c r="B710" t="s">
        <v>170</v>
      </c>
      <c r="C710" s="3">
        <v>45204.59097222222</v>
      </c>
      <c r="D710" s="11">
        <f>Logs_reseau[[#This Row],[Duree_Panne_Min]]/1440</f>
        <v>2.9861111111111113E-2</v>
      </c>
      <c r="E710">
        <v>43</v>
      </c>
      <c r="F710" t="s">
        <v>2</v>
      </c>
      <c r="G710">
        <f>IFERROR(VLOOKUP(Logs_reseau[[#This Row],[Cell_ID]],'[1]Registre_Maintenance_combine '!A:C,3,FALSE),"Non trouvé")</f>
        <v>-3.571288</v>
      </c>
      <c r="H710">
        <f>IFERROR(VLOOKUP(Logs_reseau[[#This Row],[Cell_ID]],'[1]Registre_Maintenance_combine '!A:D,4,FALSE),"Non trouvé")</f>
        <v>12.931596000000001</v>
      </c>
      <c r="I710" t="str">
        <f>IFERROR(VLOOKUP(Logs_reseau[[#This Row],[Cell_ID]],'[1]Registre_Maintenance_combine '!A:E,5,FALSE),"Non trouvé")</f>
        <v>4G</v>
      </c>
      <c r="J710" t="str">
        <f>IFERROR(VLOOKUP(Logs_reseau[[#This Row],[Cell_ID]],'[1]Registre_Maintenance_combine '!A:F,6,FALSE),"Non trouvé")</f>
        <v>Nokia</v>
      </c>
    </row>
    <row r="711" spans="1:10" x14ac:dyDescent="0.25">
      <c r="A711" t="str">
        <f>IFERROR(VLOOKUP(Logs_reseau[[#This Row],[Cell_ID]],'[1]Registre_Maintenance_combine '!A:B,2,FALSE),"Non trouvé")</f>
        <v>Kwilu</v>
      </c>
      <c r="B711" t="s">
        <v>170</v>
      </c>
      <c r="C711" s="3">
        <v>45223.897916666669</v>
      </c>
      <c r="D711" s="11">
        <f>Logs_reseau[[#This Row],[Duree_Panne_Min]]/1440</f>
        <v>6.5277777777777782E-2</v>
      </c>
      <c r="E711">
        <v>94</v>
      </c>
      <c r="F711" t="s">
        <v>2</v>
      </c>
      <c r="G711">
        <f>IFERROR(VLOOKUP(Logs_reseau[[#This Row],[Cell_ID]],'[1]Registre_Maintenance_combine '!A:C,3,FALSE),"Non trouvé")</f>
        <v>-3.571288</v>
      </c>
      <c r="H711">
        <f>IFERROR(VLOOKUP(Logs_reseau[[#This Row],[Cell_ID]],'[1]Registre_Maintenance_combine '!A:D,4,FALSE),"Non trouvé")</f>
        <v>12.931596000000001</v>
      </c>
      <c r="I711" t="str">
        <f>IFERROR(VLOOKUP(Logs_reseau[[#This Row],[Cell_ID]],'[1]Registre_Maintenance_combine '!A:E,5,FALSE),"Non trouvé")</f>
        <v>4G</v>
      </c>
      <c r="J711" t="str">
        <f>IFERROR(VLOOKUP(Logs_reseau[[#This Row],[Cell_ID]],'[1]Registre_Maintenance_combine '!A:F,6,FALSE),"Non trouvé")</f>
        <v>Nokia</v>
      </c>
    </row>
    <row r="712" spans="1:10" x14ac:dyDescent="0.25">
      <c r="A712" t="str">
        <f>IFERROR(VLOOKUP(Logs_reseau[[#This Row],[Cell_ID]],'[1]Registre_Maintenance_combine '!A:B,2,FALSE),"Non trouvé")</f>
        <v>Lualaba</v>
      </c>
      <c r="B712" t="s">
        <v>171</v>
      </c>
      <c r="C712" s="3">
        <v>45222.631249999999</v>
      </c>
      <c r="D712" s="11">
        <f>Logs_reseau[[#This Row],[Duree_Panne_Min]]/1440</f>
        <v>7.2222222222222215E-2</v>
      </c>
      <c r="E712">
        <v>104</v>
      </c>
      <c r="F712" t="s">
        <v>4</v>
      </c>
      <c r="G712">
        <f>IFERROR(VLOOKUP(Logs_reseau[[#This Row],[Cell_ID]],'[1]Registre_Maintenance_combine '!A:C,3,FALSE),"Non trouvé")</f>
        <v>2.266232</v>
      </c>
      <c r="H712">
        <f>IFERROR(VLOOKUP(Logs_reseau[[#This Row],[Cell_ID]],'[1]Registre_Maintenance_combine '!A:D,4,FALSE),"Non trouvé")</f>
        <v>29.532896000000001</v>
      </c>
      <c r="I712" t="str">
        <f>IFERROR(VLOOKUP(Logs_reseau[[#This Row],[Cell_ID]],'[1]Registre_Maintenance_combine '!A:E,5,FALSE),"Non trouvé")</f>
        <v>4G</v>
      </c>
      <c r="J712" t="str">
        <f>IFERROR(VLOOKUP(Logs_reseau[[#This Row],[Cell_ID]],'[1]Registre_Maintenance_combine '!A:F,6,FALSE),"Non trouvé")</f>
        <v>Ericsson</v>
      </c>
    </row>
    <row r="713" spans="1:10" x14ac:dyDescent="0.25">
      <c r="A713" t="str">
        <f>IFERROR(VLOOKUP(Logs_reseau[[#This Row],[Cell_ID]],'[1]Registre_Maintenance_combine '!A:B,2,FALSE),"Non trouvé")</f>
        <v>Lualaba</v>
      </c>
      <c r="B713" t="s">
        <v>171</v>
      </c>
      <c r="C713" s="3">
        <v>45211.081250000003</v>
      </c>
      <c r="D713" s="11">
        <f>Logs_reseau[[#This Row],[Duree_Panne_Min]]/1440</f>
        <v>3.5416666666666666E-2</v>
      </c>
      <c r="E713">
        <v>51</v>
      </c>
      <c r="F713" t="s">
        <v>1</v>
      </c>
      <c r="G713">
        <f>IFERROR(VLOOKUP(Logs_reseau[[#This Row],[Cell_ID]],'[1]Registre_Maintenance_combine '!A:C,3,FALSE),"Non trouvé")</f>
        <v>2.266232</v>
      </c>
      <c r="H713">
        <f>IFERROR(VLOOKUP(Logs_reseau[[#This Row],[Cell_ID]],'[1]Registre_Maintenance_combine '!A:D,4,FALSE),"Non trouvé")</f>
        <v>29.532896000000001</v>
      </c>
      <c r="I713" t="str">
        <f>IFERROR(VLOOKUP(Logs_reseau[[#This Row],[Cell_ID]],'[1]Registre_Maintenance_combine '!A:E,5,FALSE),"Non trouvé")</f>
        <v>4G</v>
      </c>
      <c r="J713" t="str">
        <f>IFERROR(VLOOKUP(Logs_reseau[[#This Row],[Cell_ID]],'[1]Registre_Maintenance_combine '!A:F,6,FALSE),"Non trouvé")</f>
        <v>Ericsson</v>
      </c>
    </row>
    <row r="714" spans="1:10" x14ac:dyDescent="0.25">
      <c r="A714" t="str">
        <f>IFERROR(VLOOKUP(Logs_reseau[[#This Row],[Cell_ID]],'[1]Registre_Maintenance_combine '!A:B,2,FALSE),"Non trouvé")</f>
        <v>Lualaba</v>
      </c>
      <c r="B714" t="s">
        <v>171</v>
      </c>
      <c r="C714" s="3">
        <v>45214.543749999997</v>
      </c>
      <c r="D714" s="11">
        <f>Logs_reseau[[#This Row],[Duree_Panne_Min]]/1440</f>
        <v>6.9444444444444441E-3</v>
      </c>
      <c r="E714">
        <v>10</v>
      </c>
      <c r="F714" t="s">
        <v>2</v>
      </c>
      <c r="G714">
        <f>IFERROR(VLOOKUP(Logs_reseau[[#This Row],[Cell_ID]],'[1]Registre_Maintenance_combine '!A:C,3,FALSE),"Non trouvé")</f>
        <v>2.266232</v>
      </c>
      <c r="H714">
        <f>IFERROR(VLOOKUP(Logs_reseau[[#This Row],[Cell_ID]],'[1]Registre_Maintenance_combine '!A:D,4,FALSE),"Non trouvé")</f>
        <v>29.532896000000001</v>
      </c>
      <c r="I714" t="str">
        <f>IFERROR(VLOOKUP(Logs_reseau[[#This Row],[Cell_ID]],'[1]Registre_Maintenance_combine '!A:E,5,FALSE),"Non trouvé")</f>
        <v>4G</v>
      </c>
      <c r="J714" t="str">
        <f>IFERROR(VLOOKUP(Logs_reseau[[#This Row],[Cell_ID]],'[1]Registre_Maintenance_combine '!A:F,6,FALSE),"Non trouvé")</f>
        <v>Ericsson</v>
      </c>
    </row>
    <row r="715" spans="1:10" x14ac:dyDescent="0.25">
      <c r="A715" t="str">
        <f>IFERROR(VLOOKUP(Logs_reseau[[#This Row],[Cell_ID]],'[1]Registre_Maintenance_combine '!A:B,2,FALSE),"Non trouvé")</f>
        <v>Lualaba</v>
      </c>
      <c r="B715" t="s">
        <v>171</v>
      </c>
      <c r="C715" s="3">
        <v>45219.683333333334</v>
      </c>
      <c r="D715" s="11">
        <f>Logs_reseau[[#This Row],[Duree_Panne_Min]]/1440</f>
        <v>3.888888888888889E-2</v>
      </c>
      <c r="E715">
        <v>56</v>
      </c>
      <c r="F715" t="s">
        <v>2</v>
      </c>
      <c r="G715">
        <f>IFERROR(VLOOKUP(Logs_reseau[[#This Row],[Cell_ID]],'[1]Registre_Maintenance_combine '!A:C,3,FALSE),"Non trouvé")</f>
        <v>2.266232</v>
      </c>
      <c r="H715">
        <f>IFERROR(VLOOKUP(Logs_reseau[[#This Row],[Cell_ID]],'[1]Registre_Maintenance_combine '!A:D,4,FALSE),"Non trouvé")</f>
        <v>29.532896000000001</v>
      </c>
      <c r="I715" t="str">
        <f>IFERROR(VLOOKUP(Logs_reseau[[#This Row],[Cell_ID]],'[1]Registre_Maintenance_combine '!A:E,5,FALSE),"Non trouvé")</f>
        <v>4G</v>
      </c>
      <c r="J715" t="str">
        <f>IFERROR(VLOOKUP(Logs_reseau[[#This Row],[Cell_ID]],'[1]Registre_Maintenance_combine '!A:F,6,FALSE),"Non trouvé")</f>
        <v>Ericsson</v>
      </c>
    </row>
    <row r="716" spans="1:10" x14ac:dyDescent="0.25">
      <c r="A716" t="str">
        <f>IFERROR(VLOOKUP(Logs_reseau[[#This Row],[Cell_ID]],'[1]Registre_Maintenance_combine '!A:B,2,FALSE),"Non trouvé")</f>
        <v>Non trouvé</v>
      </c>
      <c r="B716" t="s">
        <v>172</v>
      </c>
      <c r="C716" s="3">
        <v>45218.581250000003</v>
      </c>
      <c r="D716" s="11">
        <f>Logs_reseau[[#This Row],[Duree_Panne_Min]]/1440</f>
        <v>6.1805555555555558E-2</v>
      </c>
      <c r="E716">
        <v>89</v>
      </c>
      <c r="F716" t="s">
        <v>4</v>
      </c>
      <c r="G716" t="str">
        <f>IFERROR(VLOOKUP(Logs_reseau[[#This Row],[Cell_ID]],'[1]Registre_Maintenance_combine '!A:C,3,FALSE),"Non trouvé")</f>
        <v>Non trouvé</v>
      </c>
      <c r="H716" t="str">
        <f>IFERROR(VLOOKUP(Logs_reseau[[#This Row],[Cell_ID]],'[1]Registre_Maintenance_combine '!A:D,4,FALSE),"Non trouvé")</f>
        <v>Non trouvé</v>
      </c>
      <c r="I716" t="str">
        <f>IFERROR(VLOOKUP(Logs_reseau[[#This Row],[Cell_ID]],'[1]Registre_Maintenance_combine '!A:E,5,FALSE),"Non trouvé")</f>
        <v>Non trouvé</v>
      </c>
      <c r="J716" t="str">
        <f>IFERROR(VLOOKUP(Logs_reseau[[#This Row],[Cell_ID]],'[1]Registre_Maintenance_combine '!A:F,6,FALSE),"Non trouvé")</f>
        <v>Non trouvé</v>
      </c>
    </row>
    <row r="717" spans="1:10" x14ac:dyDescent="0.25">
      <c r="A717" t="str">
        <f>IFERROR(VLOOKUP(Logs_reseau[[#This Row],[Cell_ID]],'[1]Registre_Maintenance_combine '!A:B,2,FALSE),"Non trouvé")</f>
        <v>Non trouvé</v>
      </c>
      <c r="B717" t="s">
        <v>172</v>
      </c>
      <c r="C717" s="3">
        <v>45218.086805555555</v>
      </c>
      <c r="D717" s="11">
        <f>Logs_reseau[[#This Row],[Duree_Panne_Min]]/1440</f>
        <v>6.3194444444444442E-2</v>
      </c>
      <c r="E717">
        <v>91</v>
      </c>
      <c r="F717" t="s">
        <v>4</v>
      </c>
      <c r="G717" t="str">
        <f>IFERROR(VLOOKUP(Logs_reseau[[#This Row],[Cell_ID]],'[1]Registre_Maintenance_combine '!A:C,3,FALSE),"Non trouvé")</f>
        <v>Non trouvé</v>
      </c>
      <c r="H717" t="str">
        <f>IFERROR(VLOOKUP(Logs_reseau[[#This Row],[Cell_ID]],'[1]Registre_Maintenance_combine '!A:D,4,FALSE),"Non trouvé")</f>
        <v>Non trouvé</v>
      </c>
      <c r="I717" t="str">
        <f>IFERROR(VLOOKUP(Logs_reseau[[#This Row],[Cell_ID]],'[1]Registre_Maintenance_combine '!A:E,5,FALSE),"Non trouvé")</f>
        <v>Non trouvé</v>
      </c>
      <c r="J717" t="str">
        <f>IFERROR(VLOOKUP(Logs_reseau[[#This Row],[Cell_ID]],'[1]Registre_Maintenance_combine '!A:F,6,FALSE),"Non trouvé")</f>
        <v>Non trouvé</v>
      </c>
    </row>
    <row r="718" spans="1:10" x14ac:dyDescent="0.25">
      <c r="A718" t="str">
        <f>IFERROR(VLOOKUP(Logs_reseau[[#This Row],[Cell_ID]],'[1]Registre_Maintenance_combine '!A:B,2,FALSE),"Non trouvé")</f>
        <v>Non trouvé</v>
      </c>
      <c r="B718" t="s">
        <v>172</v>
      </c>
      <c r="C718" s="3">
        <v>45215.326388888891</v>
      </c>
      <c r="D718" s="11">
        <f>Logs_reseau[[#This Row],[Duree_Panne_Min]]/1440</f>
        <v>3.6111111111111108E-2</v>
      </c>
      <c r="E718">
        <v>52</v>
      </c>
      <c r="F718" t="s">
        <v>1</v>
      </c>
      <c r="G718" t="str">
        <f>IFERROR(VLOOKUP(Logs_reseau[[#This Row],[Cell_ID]],'[1]Registre_Maintenance_combine '!A:C,3,FALSE),"Non trouvé")</f>
        <v>Non trouvé</v>
      </c>
      <c r="H718" t="str">
        <f>IFERROR(VLOOKUP(Logs_reseau[[#This Row],[Cell_ID]],'[1]Registre_Maintenance_combine '!A:D,4,FALSE),"Non trouvé")</f>
        <v>Non trouvé</v>
      </c>
      <c r="I718" t="str">
        <f>IFERROR(VLOOKUP(Logs_reseau[[#This Row],[Cell_ID]],'[1]Registre_Maintenance_combine '!A:E,5,FALSE),"Non trouvé")</f>
        <v>Non trouvé</v>
      </c>
      <c r="J718" t="str">
        <f>IFERROR(VLOOKUP(Logs_reseau[[#This Row],[Cell_ID]],'[1]Registre_Maintenance_combine '!A:F,6,FALSE),"Non trouvé")</f>
        <v>Non trouvé</v>
      </c>
    </row>
    <row r="719" spans="1:10" x14ac:dyDescent="0.25">
      <c r="A719" t="str">
        <f>IFERROR(VLOOKUP(Logs_reseau[[#This Row],[Cell_ID]],'[1]Registre_Maintenance_combine '!A:B,2,FALSE),"Non trouvé")</f>
        <v>Non trouvé</v>
      </c>
      <c r="B719" t="s">
        <v>172</v>
      </c>
      <c r="C719" s="3">
        <v>45210.194444444445</v>
      </c>
      <c r="D719" s="11">
        <f>Logs_reseau[[#This Row],[Duree_Panne_Min]]/1440</f>
        <v>2.2916666666666665E-2</v>
      </c>
      <c r="E719">
        <v>33</v>
      </c>
      <c r="F719" t="s">
        <v>2</v>
      </c>
      <c r="G719" t="str">
        <f>IFERROR(VLOOKUP(Logs_reseau[[#This Row],[Cell_ID]],'[1]Registre_Maintenance_combine '!A:C,3,FALSE),"Non trouvé")</f>
        <v>Non trouvé</v>
      </c>
      <c r="H719" t="str">
        <f>IFERROR(VLOOKUP(Logs_reseau[[#This Row],[Cell_ID]],'[1]Registre_Maintenance_combine '!A:D,4,FALSE),"Non trouvé")</f>
        <v>Non trouvé</v>
      </c>
      <c r="I719" t="str">
        <f>IFERROR(VLOOKUP(Logs_reseau[[#This Row],[Cell_ID]],'[1]Registre_Maintenance_combine '!A:E,5,FALSE),"Non trouvé")</f>
        <v>Non trouvé</v>
      </c>
      <c r="J719" t="str">
        <f>IFERROR(VLOOKUP(Logs_reseau[[#This Row],[Cell_ID]],'[1]Registre_Maintenance_combine '!A:F,6,FALSE),"Non trouvé")</f>
        <v>Non trouvé</v>
      </c>
    </row>
    <row r="720" spans="1:10" x14ac:dyDescent="0.25">
      <c r="A720" t="str">
        <f>IFERROR(VLOOKUP(Logs_reseau[[#This Row],[Cell_ID]],'[1]Registre_Maintenance_combine '!A:B,2,FALSE),"Non trouvé")</f>
        <v>Non trouvé</v>
      </c>
      <c r="B720" t="s">
        <v>172</v>
      </c>
      <c r="C720" s="3">
        <v>45203.750694444447</v>
      </c>
      <c r="D720" s="11">
        <f>Logs_reseau[[#This Row],[Duree_Panne_Min]]/1440</f>
        <v>1.5972222222222221E-2</v>
      </c>
      <c r="E720">
        <v>23</v>
      </c>
      <c r="F720" t="s">
        <v>1</v>
      </c>
      <c r="G720" t="str">
        <f>IFERROR(VLOOKUP(Logs_reseau[[#This Row],[Cell_ID]],'[1]Registre_Maintenance_combine '!A:C,3,FALSE),"Non trouvé")</f>
        <v>Non trouvé</v>
      </c>
      <c r="H720" t="str">
        <f>IFERROR(VLOOKUP(Logs_reseau[[#This Row],[Cell_ID]],'[1]Registre_Maintenance_combine '!A:D,4,FALSE),"Non trouvé")</f>
        <v>Non trouvé</v>
      </c>
      <c r="I720" t="str">
        <f>IFERROR(VLOOKUP(Logs_reseau[[#This Row],[Cell_ID]],'[1]Registre_Maintenance_combine '!A:E,5,FALSE),"Non trouvé")</f>
        <v>Non trouvé</v>
      </c>
      <c r="J720" t="str">
        <f>IFERROR(VLOOKUP(Logs_reseau[[#This Row],[Cell_ID]],'[1]Registre_Maintenance_combine '!A:F,6,FALSE),"Non trouvé")</f>
        <v>Non trouvé</v>
      </c>
    </row>
    <row r="721" spans="1:10" x14ac:dyDescent="0.25">
      <c r="A721" t="str">
        <f>IFERROR(VLOOKUP(Logs_reseau[[#This Row],[Cell_ID]],'[1]Registre_Maintenance_combine '!A:B,2,FALSE),"Non trouvé")</f>
        <v>Non trouvé</v>
      </c>
      <c r="B721" t="s">
        <v>172</v>
      </c>
      <c r="C721" s="3">
        <v>45204.570138888892</v>
      </c>
      <c r="D721" s="11">
        <f>Logs_reseau[[#This Row],[Duree_Panne_Min]]/1440</f>
        <v>5.2777777777777778E-2</v>
      </c>
      <c r="E721">
        <v>76</v>
      </c>
      <c r="F721" t="s">
        <v>4</v>
      </c>
      <c r="G721" t="str">
        <f>IFERROR(VLOOKUP(Logs_reseau[[#This Row],[Cell_ID]],'[1]Registre_Maintenance_combine '!A:C,3,FALSE),"Non trouvé")</f>
        <v>Non trouvé</v>
      </c>
      <c r="H721" t="str">
        <f>IFERROR(VLOOKUP(Logs_reseau[[#This Row],[Cell_ID]],'[1]Registre_Maintenance_combine '!A:D,4,FALSE),"Non trouvé")</f>
        <v>Non trouvé</v>
      </c>
      <c r="I721" t="str">
        <f>IFERROR(VLOOKUP(Logs_reseau[[#This Row],[Cell_ID]],'[1]Registre_Maintenance_combine '!A:E,5,FALSE),"Non trouvé")</f>
        <v>Non trouvé</v>
      </c>
      <c r="J721" t="str">
        <f>IFERROR(VLOOKUP(Logs_reseau[[#This Row],[Cell_ID]],'[1]Registre_Maintenance_combine '!A:F,6,FALSE),"Non trouvé")</f>
        <v>Non trouvé</v>
      </c>
    </row>
    <row r="722" spans="1:10" x14ac:dyDescent="0.25">
      <c r="A722" t="str">
        <f>IFERROR(VLOOKUP(Logs_reseau[[#This Row],[Cell_ID]],'[1]Registre_Maintenance_combine '!A:B,2,FALSE),"Non trouvé")</f>
        <v>Non trouvé</v>
      </c>
      <c r="B722" t="s">
        <v>172</v>
      </c>
      <c r="C722" s="3">
        <v>45219.076388888891</v>
      </c>
      <c r="D722" s="11">
        <f>Logs_reseau[[#This Row],[Duree_Panne_Min]]/1440</f>
        <v>2.9861111111111113E-2</v>
      </c>
      <c r="E722">
        <v>43</v>
      </c>
      <c r="F722" t="s">
        <v>2</v>
      </c>
      <c r="G722" t="str">
        <f>IFERROR(VLOOKUP(Logs_reseau[[#This Row],[Cell_ID]],'[1]Registre_Maintenance_combine '!A:C,3,FALSE),"Non trouvé")</f>
        <v>Non trouvé</v>
      </c>
      <c r="H722" t="str">
        <f>IFERROR(VLOOKUP(Logs_reseau[[#This Row],[Cell_ID]],'[1]Registre_Maintenance_combine '!A:D,4,FALSE),"Non trouvé")</f>
        <v>Non trouvé</v>
      </c>
      <c r="I722" t="str">
        <f>IFERROR(VLOOKUP(Logs_reseau[[#This Row],[Cell_ID]],'[1]Registre_Maintenance_combine '!A:E,5,FALSE),"Non trouvé")</f>
        <v>Non trouvé</v>
      </c>
      <c r="J722" t="str">
        <f>IFERROR(VLOOKUP(Logs_reseau[[#This Row],[Cell_ID]],'[1]Registre_Maintenance_combine '!A:F,6,FALSE),"Non trouvé")</f>
        <v>Non trouvé</v>
      </c>
    </row>
    <row r="723" spans="1:10" x14ac:dyDescent="0.25">
      <c r="A723" t="str">
        <f>IFERROR(VLOOKUP(Logs_reseau[[#This Row],[Cell_ID]],'[1]Registre_Maintenance_combine '!A:B,2,FALSE),"Non trouvé")</f>
        <v>Non trouvé</v>
      </c>
      <c r="B723" t="s">
        <v>172</v>
      </c>
      <c r="C723" s="3">
        <v>45219.181250000001</v>
      </c>
      <c r="D723" s="11">
        <f>Logs_reseau[[#This Row],[Duree_Panne_Min]]/1440</f>
        <v>6.1111111111111109E-2</v>
      </c>
      <c r="E723">
        <v>88</v>
      </c>
      <c r="F723" t="s">
        <v>2</v>
      </c>
      <c r="G723" t="str">
        <f>IFERROR(VLOOKUP(Logs_reseau[[#This Row],[Cell_ID]],'[1]Registre_Maintenance_combine '!A:C,3,FALSE),"Non trouvé")</f>
        <v>Non trouvé</v>
      </c>
      <c r="H723" t="str">
        <f>IFERROR(VLOOKUP(Logs_reseau[[#This Row],[Cell_ID]],'[1]Registre_Maintenance_combine '!A:D,4,FALSE),"Non trouvé")</f>
        <v>Non trouvé</v>
      </c>
      <c r="I723" t="str">
        <f>IFERROR(VLOOKUP(Logs_reseau[[#This Row],[Cell_ID]],'[1]Registre_Maintenance_combine '!A:E,5,FALSE),"Non trouvé")</f>
        <v>Non trouvé</v>
      </c>
      <c r="J723" t="str">
        <f>IFERROR(VLOOKUP(Logs_reseau[[#This Row],[Cell_ID]],'[1]Registre_Maintenance_combine '!A:F,6,FALSE),"Non trouvé")</f>
        <v>Non trouvé</v>
      </c>
    </row>
    <row r="724" spans="1:10" x14ac:dyDescent="0.25">
      <c r="A724" t="str">
        <f>IFERROR(VLOOKUP(Logs_reseau[[#This Row],[Cell_ID]],'[1]Registre_Maintenance_combine '!A:B,2,FALSE),"Non trouvé")</f>
        <v>Maniema</v>
      </c>
      <c r="B724" t="s">
        <v>173</v>
      </c>
      <c r="C724" s="3">
        <v>45213.645833333336</v>
      </c>
      <c r="D724" s="11">
        <f>Logs_reseau[[#This Row],[Duree_Panne_Min]]/1440</f>
        <v>1.9444444444444445E-2</v>
      </c>
      <c r="E724">
        <v>28</v>
      </c>
      <c r="F724" t="s">
        <v>4</v>
      </c>
      <c r="G724">
        <f>IFERROR(VLOOKUP(Logs_reseau[[#This Row],[Cell_ID]],'[1]Registre_Maintenance_combine '!A:C,3,FALSE),"Non trouvé")</f>
        <v>3.08182</v>
      </c>
      <c r="H724">
        <f>IFERROR(VLOOKUP(Logs_reseau[[#This Row],[Cell_ID]],'[1]Registre_Maintenance_combine '!A:D,4,FALSE),"Non trouvé")</f>
        <v>29.961940999999999</v>
      </c>
      <c r="I724" t="str">
        <f>IFERROR(VLOOKUP(Logs_reseau[[#This Row],[Cell_ID]],'[1]Registre_Maintenance_combine '!A:E,5,FALSE),"Non trouvé")</f>
        <v>4G</v>
      </c>
      <c r="J724" t="str">
        <f>IFERROR(VLOOKUP(Logs_reseau[[#This Row],[Cell_ID]],'[1]Registre_Maintenance_combine '!A:F,6,FALSE),"Non trouvé")</f>
        <v>Huawei</v>
      </c>
    </row>
    <row r="725" spans="1:10" x14ac:dyDescent="0.25">
      <c r="A725" t="str">
        <f>IFERROR(VLOOKUP(Logs_reseau[[#This Row],[Cell_ID]],'[1]Registre_Maintenance_combine '!A:B,2,FALSE),"Non trouvé")</f>
        <v>Maniema</v>
      </c>
      <c r="B725" t="s">
        <v>173</v>
      </c>
      <c r="C725" s="3">
        <v>45201.824305555558</v>
      </c>
      <c r="D725" s="11">
        <f>Logs_reseau[[#This Row],[Duree_Panne_Min]]/1440</f>
        <v>3.888888888888889E-2</v>
      </c>
      <c r="E725">
        <v>56</v>
      </c>
      <c r="F725" t="s">
        <v>1</v>
      </c>
      <c r="G725">
        <f>IFERROR(VLOOKUP(Logs_reseau[[#This Row],[Cell_ID]],'[1]Registre_Maintenance_combine '!A:C,3,FALSE),"Non trouvé")</f>
        <v>3.08182</v>
      </c>
      <c r="H725">
        <f>IFERROR(VLOOKUP(Logs_reseau[[#This Row],[Cell_ID]],'[1]Registre_Maintenance_combine '!A:D,4,FALSE),"Non trouvé")</f>
        <v>29.961940999999999</v>
      </c>
      <c r="I725" t="str">
        <f>IFERROR(VLOOKUP(Logs_reseau[[#This Row],[Cell_ID]],'[1]Registre_Maintenance_combine '!A:E,5,FALSE),"Non trouvé")</f>
        <v>4G</v>
      </c>
      <c r="J725" t="str">
        <f>IFERROR(VLOOKUP(Logs_reseau[[#This Row],[Cell_ID]],'[1]Registre_Maintenance_combine '!A:F,6,FALSE),"Non trouvé")</f>
        <v>Huawei</v>
      </c>
    </row>
    <row r="726" spans="1:10" x14ac:dyDescent="0.25">
      <c r="A726" t="str">
        <f>IFERROR(VLOOKUP(Logs_reseau[[#This Row],[Cell_ID]],'[1]Registre_Maintenance_combine '!A:B,2,FALSE),"Non trouvé")</f>
        <v>Maniema</v>
      </c>
      <c r="B726" t="s">
        <v>173</v>
      </c>
      <c r="C726" s="3">
        <v>45204.36041666667</v>
      </c>
      <c r="D726" s="11">
        <f>Logs_reseau[[#This Row],[Duree_Panne_Min]]/1440</f>
        <v>2.5000000000000001E-2</v>
      </c>
      <c r="E726">
        <v>36</v>
      </c>
      <c r="F726" t="s">
        <v>4</v>
      </c>
      <c r="G726">
        <f>IFERROR(VLOOKUP(Logs_reseau[[#This Row],[Cell_ID]],'[1]Registre_Maintenance_combine '!A:C,3,FALSE),"Non trouvé")</f>
        <v>3.08182</v>
      </c>
      <c r="H726">
        <f>IFERROR(VLOOKUP(Logs_reseau[[#This Row],[Cell_ID]],'[1]Registre_Maintenance_combine '!A:D,4,FALSE),"Non trouvé")</f>
        <v>29.961940999999999</v>
      </c>
      <c r="I726" t="str">
        <f>IFERROR(VLOOKUP(Logs_reseau[[#This Row],[Cell_ID]],'[1]Registre_Maintenance_combine '!A:E,5,FALSE),"Non trouvé")</f>
        <v>4G</v>
      </c>
      <c r="J726" t="str">
        <f>IFERROR(VLOOKUP(Logs_reseau[[#This Row],[Cell_ID]],'[1]Registre_Maintenance_combine '!A:F,6,FALSE),"Non trouvé")</f>
        <v>Huawei</v>
      </c>
    </row>
    <row r="727" spans="1:10" x14ac:dyDescent="0.25">
      <c r="A727" t="str">
        <f>IFERROR(VLOOKUP(Logs_reseau[[#This Row],[Cell_ID]],'[1]Registre_Maintenance_combine '!A:B,2,FALSE),"Non trouvé")</f>
        <v>Maniema</v>
      </c>
      <c r="B727" t="s">
        <v>173</v>
      </c>
      <c r="C727" s="3">
        <v>45221.579861111109</v>
      </c>
      <c r="D727" s="11">
        <f>Logs_reseau[[#This Row],[Duree_Panne_Min]]/1440</f>
        <v>8.1250000000000003E-2</v>
      </c>
      <c r="E727">
        <v>117</v>
      </c>
      <c r="F727" t="s">
        <v>1</v>
      </c>
      <c r="G727">
        <f>IFERROR(VLOOKUP(Logs_reseau[[#This Row],[Cell_ID]],'[1]Registre_Maintenance_combine '!A:C,3,FALSE),"Non trouvé")</f>
        <v>3.08182</v>
      </c>
      <c r="H727">
        <f>IFERROR(VLOOKUP(Logs_reseau[[#This Row],[Cell_ID]],'[1]Registre_Maintenance_combine '!A:D,4,FALSE),"Non trouvé")</f>
        <v>29.961940999999999</v>
      </c>
      <c r="I727" t="str">
        <f>IFERROR(VLOOKUP(Logs_reseau[[#This Row],[Cell_ID]],'[1]Registre_Maintenance_combine '!A:E,5,FALSE),"Non trouvé")</f>
        <v>4G</v>
      </c>
      <c r="J727" t="str">
        <f>IFERROR(VLOOKUP(Logs_reseau[[#This Row],[Cell_ID]],'[1]Registre_Maintenance_combine '!A:F,6,FALSE),"Non trouvé")</f>
        <v>Huawei</v>
      </c>
    </row>
    <row r="728" spans="1:10" x14ac:dyDescent="0.25">
      <c r="A728" t="str">
        <f>IFERROR(VLOOKUP(Logs_reseau[[#This Row],[Cell_ID]],'[1]Registre_Maintenance_combine '!A:B,2,FALSE),"Non trouvé")</f>
        <v>Maniema</v>
      </c>
      <c r="B728" t="s">
        <v>173</v>
      </c>
      <c r="C728" s="3">
        <v>45209.28402777778</v>
      </c>
      <c r="D728" s="11">
        <f>Logs_reseau[[#This Row],[Duree_Panne_Min]]/1440</f>
        <v>5.347222222222222E-2</v>
      </c>
      <c r="E728">
        <v>77</v>
      </c>
      <c r="F728" t="s">
        <v>2</v>
      </c>
      <c r="G728">
        <f>IFERROR(VLOOKUP(Logs_reseau[[#This Row],[Cell_ID]],'[1]Registre_Maintenance_combine '!A:C,3,FALSE),"Non trouvé")</f>
        <v>3.08182</v>
      </c>
      <c r="H728">
        <f>IFERROR(VLOOKUP(Logs_reseau[[#This Row],[Cell_ID]],'[1]Registre_Maintenance_combine '!A:D,4,FALSE),"Non trouvé")</f>
        <v>29.961940999999999</v>
      </c>
      <c r="I728" t="str">
        <f>IFERROR(VLOOKUP(Logs_reseau[[#This Row],[Cell_ID]],'[1]Registre_Maintenance_combine '!A:E,5,FALSE),"Non trouvé")</f>
        <v>4G</v>
      </c>
      <c r="J728" t="str">
        <f>IFERROR(VLOOKUP(Logs_reseau[[#This Row],[Cell_ID]],'[1]Registre_Maintenance_combine '!A:F,6,FALSE),"Non trouvé")</f>
        <v>Huawei</v>
      </c>
    </row>
    <row r="729" spans="1:10" x14ac:dyDescent="0.25">
      <c r="A729" t="str">
        <f>IFERROR(VLOOKUP(Logs_reseau[[#This Row],[Cell_ID]],'[1]Registre_Maintenance_combine '!A:B,2,FALSE),"Non trouvé")</f>
        <v>Maniema</v>
      </c>
      <c r="B729" t="s">
        <v>174</v>
      </c>
      <c r="C729" s="3">
        <v>45211.279166666667</v>
      </c>
      <c r="D729" s="11">
        <f>Logs_reseau[[#This Row],[Duree_Panne_Min]]/1440</f>
        <v>3.6111111111111108E-2</v>
      </c>
      <c r="E729">
        <v>52</v>
      </c>
      <c r="F729" t="s">
        <v>4</v>
      </c>
      <c r="G729">
        <f>IFERROR(VLOOKUP(Logs_reseau[[#This Row],[Cell_ID]],'[1]Registre_Maintenance_combine '!A:C,3,FALSE),"Non trouvé")</f>
        <v>0.850665</v>
      </c>
      <c r="H729">
        <f>IFERROR(VLOOKUP(Logs_reseau[[#This Row],[Cell_ID]],'[1]Registre_Maintenance_combine '!A:D,4,FALSE),"Non trouvé")</f>
        <v>19.446418000000001</v>
      </c>
      <c r="I729" t="str">
        <f>IFERROR(VLOOKUP(Logs_reseau[[#This Row],[Cell_ID]],'[1]Registre_Maintenance_combine '!A:E,5,FALSE),"Non trouvé")</f>
        <v>4G</v>
      </c>
      <c r="J729" t="str">
        <f>IFERROR(VLOOKUP(Logs_reseau[[#This Row],[Cell_ID]],'[1]Registre_Maintenance_combine '!A:F,6,FALSE),"Non trouvé")</f>
        <v>Huawei</v>
      </c>
    </row>
    <row r="730" spans="1:10" x14ac:dyDescent="0.25">
      <c r="A730" t="str">
        <f>IFERROR(VLOOKUP(Logs_reseau[[#This Row],[Cell_ID]],'[1]Registre_Maintenance_combine '!A:B,2,FALSE),"Non trouvé")</f>
        <v>Maniema</v>
      </c>
      <c r="B730" t="s">
        <v>174</v>
      </c>
      <c r="C730" s="3">
        <v>45215.476388888892</v>
      </c>
      <c r="D730" s="11">
        <f>Logs_reseau[[#This Row],[Duree_Panne_Min]]/1440</f>
        <v>4.791666666666667E-2</v>
      </c>
      <c r="E730">
        <v>69</v>
      </c>
      <c r="F730" t="s">
        <v>2</v>
      </c>
      <c r="G730">
        <f>IFERROR(VLOOKUP(Logs_reseau[[#This Row],[Cell_ID]],'[1]Registre_Maintenance_combine '!A:C,3,FALSE),"Non trouvé")</f>
        <v>0.850665</v>
      </c>
      <c r="H730">
        <f>IFERROR(VLOOKUP(Logs_reseau[[#This Row],[Cell_ID]],'[1]Registre_Maintenance_combine '!A:D,4,FALSE),"Non trouvé")</f>
        <v>19.446418000000001</v>
      </c>
      <c r="I730" t="str">
        <f>IFERROR(VLOOKUP(Logs_reseau[[#This Row],[Cell_ID]],'[1]Registre_Maintenance_combine '!A:E,5,FALSE),"Non trouvé")</f>
        <v>4G</v>
      </c>
      <c r="J730" t="str">
        <f>IFERROR(VLOOKUP(Logs_reseau[[#This Row],[Cell_ID]],'[1]Registre_Maintenance_combine '!A:F,6,FALSE),"Non trouvé")</f>
        <v>Huawei</v>
      </c>
    </row>
    <row r="731" spans="1:10" x14ac:dyDescent="0.25">
      <c r="A731" t="str">
        <f>IFERROR(VLOOKUP(Logs_reseau[[#This Row],[Cell_ID]],'[1]Registre_Maintenance_combine '!A:B,2,FALSE),"Non trouvé")</f>
        <v>Maniema</v>
      </c>
      <c r="B731" t="s">
        <v>174</v>
      </c>
      <c r="C731" s="3">
        <v>45230.722222222219</v>
      </c>
      <c r="D731" s="11">
        <f>Logs_reseau[[#This Row],[Duree_Panne_Min]]/1440</f>
        <v>2.9861111111111113E-2</v>
      </c>
      <c r="E731">
        <v>43</v>
      </c>
      <c r="F731" t="s">
        <v>1</v>
      </c>
      <c r="G731">
        <f>IFERROR(VLOOKUP(Logs_reseau[[#This Row],[Cell_ID]],'[1]Registre_Maintenance_combine '!A:C,3,FALSE),"Non trouvé")</f>
        <v>0.850665</v>
      </c>
      <c r="H731">
        <f>IFERROR(VLOOKUP(Logs_reseau[[#This Row],[Cell_ID]],'[1]Registre_Maintenance_combine '!A:D,4,FALSE),"Non trouvé")</f>
        <v>19.446418000000001</v>
      </c>
      <c r="I731" t="str">
        <f>IFERROR(VLOOKUP(Logs_reseau[[#This Row],[Cell_ID]],'[1]Registre_Maintenance_combine '!A:E,5,FALSE),"Non trouvé")</f>
        <v>4G</v>
      </c>
      <c r="J731" t="str">
        <f>IFERROR(VLOOKUP(Logs_reseau[[#This Row],[Cell_ID]],'[1]Registre_Maintenance_combine '!A:F,6,FALSE),"Non trouvé")</f>
        <v>Huawei</v>
      </c>
    </row>
    <row r="732" spans="1:10" x14ac:dyDescent="0.25">
      <c r="A732" t="str">
        <f>IFERROR(VLOOKUP(Logs_reseau[[#This Row],[Cell_ID]],'[1]Registre_Maintenance_combine '!A:B,2,FALSE),"Non trouvé")</f>
        <v>Non trouvé</v>
      </c>
      <c r="B732" t="s">
        <v>175</v>
      </c>
      <c r="C732" s="3">
        <v>45224.15902777778</v>
      </c>
      <c r="D732" s="11">
        <f>Logs_reseau[[#This Row],[Duree_Panne_Min]]/1440</f>
        <v>5.9027777777777776E-2</v>
      </c>
      <c r="E732">
        <v>85</v>
      </c>
      <c r="F732" t="s">
        <v>1</v>
      </c>
      <c r="G732" t="str">
        <f>IFERROR(VLOOKUP(Logs_reseau[[#This Row],[Cell_ID]],'[1]Registre_Maintenance_combine '!A:C,3,FALSE),"Non trouvé")</f>
        <v>Non trouvé</v>
      </c>
      <c r="H732" t="str">
        <f>IFERROR(VLOOKUP(Logs_reseau[[#This Row],[Cell_ID]],'[1]Registre_Maintenance_combine '!A:D,4,FALSE),"Non trouvé")</f>
        <v>Non trouvé</v>
      </c>
      <c r="I732" t="str">
        <f>IFERROR(VLOOKUP(Logs_reseau[[#This Row],[Cell_ID]],'[1]Registre_Maintenance_combine '!A:E,5,FALSE),"Non trouvé")</f>
        <v>Non trouvé</v>
      </c>
      <c r="J732" t="str">
        <f>IFERROR(VLOOKUP(Logs_reseau[[#This Row],[Cell_ID]],'[1]Registre_Maintenance_combine '!A:F,6,FALSE),"Non trouvé")</f>
        <v>Non trouvé</v>
      </c>
    </row>
    <row r="733" spans="1:10" x14ac:dyDescent="0.25">
      <c r="A733" t="str">
        <f>IFERROR(VLOOKUP(Logs_reseau[[#This Row],[Cell_ID]],'[1]Registre_Maintenance_combine '!A:B,2,FALSE),"Non trouvé")</f>
        <v>Non trouvé</v>
      </c>
      <c r="B733" t="s">
        <v>175</v>
      </c>
      <c r="C733" s="3">
        <v>45207.095138888886</v>
      </c>
      <c r="D733" s="11">
        <f>Logs_reseau[[#This Row],[Duree_Panne_Min]]/1440</f>
        <v>7.6388888888888886E-3</v>
      </c>
      <c r="E733">
        <v>11</v>
      </c>
      <c r="F733" t="s">
        <v>1</v>
      </c>
      <c r="G733" t="str">
        <f>IFERROR(VLOOKUP(Logs_reseau[[#This Row],[Cell_ID]],'[1]Registre_Maintenance_combine '!A:C,3,FALSE),"Non trouvé")</f>
        <v>Non trouvé</v>
      </c>
      <c r="H733" t="str">
        <f>IFERROR(VLOOKUP(Logs_reseau[[#This Row],[Cell_ID]],'[1]Registre_Maintenance_combine '!A:D,4,FALSE),"Non trouvé")</f>
        <v>Non trouvé</v>
      </c>
      <c r="I733" t="str">
        <f>IFERROR(VLOOKUP(Logs_reseau[[#This Row],[Cell_ID]],'[1]Registre_Maintenance_combine '!A:E,5,FALSE),"Non trouvé")</f>
        <v>Non trouvé</v>
      </c>
      <c r="J733" t="str">
        <f>IFERROR(VLOOKUP(Logs_reseau[[#This Row],[Cell_ID]],'[1]Registre_Maintenance_combine '!A:F,6,FALSE),"Non trouvé")</f>
        <v>Non trouvé</v>
      </c>
    </row>
    <row r="734" spans="1:10" x14ac:dyDescent="0.25">
      <c r="A734" t="str">
        <f>IFERROR(VLOOKUP(Logs_reseau[[#This Row],[Cell_ID]],'[1]Registre_Maintenance_combine '!A:B,2,FALSE),"Non trouvé")</f>
        <v>Non trouvé</v>
      </c>
      <c r="B734" t="s">
        <v>175</v>
      </c>
      <c r="C734" s="3">
        <v>45200.94027777778</v>
      </c>
      <c r="D734" s="11">
        <f>Logs_reseau[[#This Row],[Duree_Panne_Min]]/1440</f>
        <v>7.6388888888888886E-3</v>
      </c>
      <c r="E734">
        <v>11</v>
      </c>
      <c r="F734" t="s">
        <v>1</v>
      </c>
      <c r="G734" t="str">
        <f>IFERROR(VLOOKUP(Logs_reseau[[#This Row],[Cell_ID]],'[1]Registre_Maintenance_combine '!A:C,3,FALSE),"Non trouvé")</f>
        <v>Non trouvé</v>
      </c>
      <c r="H734" t="str">
        <f>IFERROR(VLOOKUP(Logs_reseau[[#This Row],[Cell_ID]],'[1]Registre_Maintenance_combine '!A:D,4,FALSE),"Non trouvé")</f>
        <v>Non trouvé</v>
      </c>
      <c r="I734" t="str">
        <f>IFERROR(VLOOKUP(Logs_reseau[[#This Row],[Cell_ID]],'[1]Registre_Maintenance_combine '!A:E,5,FALSE),"Non trouvé")</f>
        <v>Non trouvé</v>
      </c>
      <c r="J734" t="str">
        <f>IFERROR(VLOOKUP(Logs_reseau[[#This Row],[Cell_ID]],'[1]Registre_Maintenance_combine '!A:F,6,FALSE),"Non trouvé")</f>
        <v>Non trouvé</v>
      </c>
    </row>
    <row r="735" spans="1:10" x14ac:dyDescent="0.25">
      <c r="A735" t="str">
        <f>IFERROR(VLOOKUP(Logs_reseau[[#This Row],[Cell_ID]],'[1]Registre_Maintenance_combine '!A:B,2,FALSE),"Non trouvé")</f>
        <v>Non trouvé</v>
      </c>
      <c r="B735" t="s">
        <v>175</v>
      </c>
      <c r="C735" s="3">
        <v>45230.444444444445</v>
      </c>
      <c r="D735" s="11">
        <f>Logs_reseau[[#This Row],[Duree_Panne_Min]]/1440</f>
        <v>7.6388888888888886E-3</v>
      </c>
      <c r="E735">
        <v>11</v>
      </c>
      <c r="F735" t="s">
        <v>4</v>
      </c>
      <c r="G735" t="str">
        <f>IFERROR(VLOOKUP(Logs_reseau[[#This Row],[Cell_ID]],'[1]Registre_Maintenance_combine '!A:C,3,FALSE),"Non trouvé")</f>
        <v>Non trouvé</v>
      </c>
      <c r="H735" t="str">
        <f>IFERROR(VLOOKUP(Logs_reseau[[#This Row],[Cell_ID]],'[1]Registre_Maintenance_combine '!A:D,4,FALSE),"Non trouvé")</f>
        <v>Non trouvé</v>
      </c>
      <c r="I735" t="str">
        <f>IFERROR(VLOOKUP(Logs_reseau[[#This Row],[Cell_ID]],'[1]Registre_Maintenance_combine '!A:E,5,FALSE),"Non trouvé")</f>
        <v>Non trouvé</v>
      </c>
      <c r="J735" t="str">
        <f>IFERROR(VLOOKUP(Logs_reseau[[#This Row],[Cell_ID]],'[1]Registre_Maintenance_combine '!A:F,6,FALSE),"Non trouvé")</f>
        <v>Non trouvé</v>
      </c>
    </row>
    <row r="736" spans="1:10" x14ac:dyDescent="0.25">
      <c r="A736" t="str">
        <f>IFERROR(VLOOKUP(Logs_reseau[[#This Row],[Cell_ID]],'[1]Registre_Maintenance_combine '!A:B,2,FALSE),"Non trouvé")</f>
        <v>Non trouvé</v>
      </c>
      <c r="B736" t="s">
        <v>175</v>
      </c>
      <c r="C736" s="3">
        <v>45226.545138888891</v>
      </c>
      <c r="D736" s="11">
        <f>Logs_reseau[[#This Row],[Duree_Panne_Min]]/1440</f>
        <v>5.6250000000000001E-2</v>
      </c>
      <c r="E736">
        <v>81</v>
      </c>
      <c r="F736" t="s">
        <v>4</v>
      </c>
      <c r="G736" t="str">
        <f>IFERROR(VLOOKUP(Logs_reseau[[#This Row],[Cell_ID]],'[1]Registre_Maintenance_combine '!A:C,3,FALSE),"Non trouvé")</f>
        <v>Non trouvé</v>
      </c>
      <c r="H736" t="str">
        <f>IFERROR(VLOOKUP(Logs_reseau[[#This Row],[Cell_ID]],'[1]Registre_Maintenance_combine '!A:D,4,FALSE),"Non trouvé")</f>
        <v>Non trouvé</v>
      </c>
      <c r="I736" t="str">
        <f>IFERROR(VLOOKUP(Logs_reseau[[#This Row],[Cell_ID]],'[1]Registre_Maintenance_combine '!A:E,5,FALSE),"Non trouvé")</f>
        <v>Non trouvé</v>
      </c>
      <c r="J736" t="str">
        <f>IFERROR(VLOOKUP(Logs_reseau[[#This Row],[Cell_ID]],'[1]Registre_Maintenance_combine '!A:F,6,FALSE),"Non trouvé")</f>
        <v>Non trouvé</v>
      </c>
    </row>
    <row r="737" spans="1:10" x14ac:dyDescent="0.25">
      <c r="A737" t="str">
        <f>IFERROR(VLOOKUP(Logs_reseau[[#This Row],[Cell_ID]],'[1]Registre_Maintenance_combine '!A:B,2,FALSE),"Non trouvé")</f>
        <v>Non trouvé</v>
      </c>
      <c r="B737" t="s">
        <v>176</v>
      </c>
      <c r="C737" s="3">
        <v>45215.376388888886</v>
      </c>
      <c r="D737" s="11">
        <f>Logs_reseau[[#This Row],[Duree_Panne_Min]]/1440</f>
        <v>2.013888888888889E-2</v>
      </c>
      <c r="E737">
        <v>29</v>
      </c>
      <c r="F737" t="s">
        <v>4</v>
      </c>
      <c r="G737" t="str">
        <f>IFERROR(VLOOKUP(Logs_reseau[[#This Row],[Cell_ID]],'[1]Registre_Maintenance_combine '!A:C,3,FALSE),"Non trouvé")</f>
        <v>Non trouvé</v>
      </c>
      <c r="H737" t="str">
        <f>IFERROR(VLOOKUP(Logs_reseau[[#This Row],[Cell_ID]],'[1]Registre_Maintenance_combine '!A:D,4,FALSE),"Non trouvé")</f>
        <v>Non trouvé</v>
      </c>
      <c r="I737" t="str">
        <f>IFERROR(VLOOKUP(Logs_reseau[[#This Row],[Cell_ID]],'[1]Registre_Maintenance_combine '!A:E,5,FALSE),"Non trouvé")</f>
        <v>Non trouvé</v>
      </c>
      <c r="J737" t="str">
        <f>IFERROR(VLOOKUP(Logs_reseau[[#This Row],[Cell_ID]],'[1]Registre_Maintenance_combine '!A:F,6,FALSE),"Non trouvé")</f>
        <v>Non trouvé</v>
      </c>
    </row>
    <row r="738" spans="1:10" x14ac:dyDescent="0.25">
      <c r="A738" t="str">
        <f>IFERROR(VLOOKUP(Logs_reseau[[#This Row],[Cell_ID]],'[1]Registre_Maintenance_combine '!A:B,2,FALSE),"Non trouvé")</f>
        <v>Non trouvé</v>
      </c>
      <c r="B738" t="s">
        <v>176</v>
      </c>
      <c r="C738" s="3">
        <v>45229.62777777778</v>
      </c>
      <c r="D738" s="11">
        <f>Logs_reseau[[#This Row],[Duree_Panne_Min]]/1440</f>
        <v>7.1527777777777773E-2</v>
      </c>
      <c r="E738">
        <v>103</v>
      </c>
      <c r="F738" t="s">
        <v>1</v>
      </c>
      <c r="G738" t="str">
        <f>IFERROR(VLOOKUP(Logs_reseau[[#This Row],[Cell_ID]],'[1]Registre_Maintenance_combine '!A:C,3,FALSE),"Non trouvé")</f>
        <v>Non trouvé</v>
      </c>
      <c r="H738" t="str">
        <f>IFERROR(VLOOKUP(Logs_reseau[[#This Row],[Cell_ID]],'[1]Registre_Maintenance_combine '!A:D,4,FALSE),"Non trouvé")</f>
        <v>Non trouvé</v>
      </c>
      <c r="I738" t="str">
        <f>IFERROR(VLOOKUP(Logs_reseau[[#This Row],[Cell_ID]],'[1]Registre_Maintenance_combine '!A:E,5,FALSE),"Non trouvé")</f>
        <v>Non trouvé</v>
      </c>
      <c r="J738" t="str">
        <f>IFERROR(VLOOKUP(Logs_reseau[[#This Row],[Cell_ID]],'[1]Registre_Maintenance_combine '!A:F,6,FALSE),"Non trouvé")</f>
        <v>Non trouvé</v>
      </c>
    </row>
    <row r="739" spans="1:10" x14ac:dyDescent="0.25">
      <c r="A739" t="str">
        <f>IFERROR(VLOOKUP(Logs_reseau[[#This Row],[Cell_ID]],'[1]Registre_Maintenance_combine '!A:B,2,FALSE),"Non trouvé")</f>
        <v>Non trouvé</v>
      </c>
      <c r="B739" t="s">
        <v>176</v>
      </c>
      <c r="C739" s="3">
        <v>45230.401388888888</v>
      </c>
      <c r="D739" s="11">
        <f>Logs_reseau[[#This Row],[Duree_Panne_Min]]/1440</f>
        <v>4.583333333333333E-2</v>
      </c>
      <c r="E739">
        <v>66</v>
      </c>
      <c r="F739" t="s">
        <v>2</v>
      </c>
      <c r="G739" t="str">
        <f>IFERROR(VLOOKUP(Logs_reseau[[#This Row],[Cell_ID]],'[1]Registre_Maintenance_combine '!A:C,3,FALSE),"Non trouvé")</f>
        <v>Non trouvé</v>
      </c>
      <c r="H739" t="str">
        <f>IFERROR(VLOOKUP(Logs_reseau[[#This Row],[Cell_ID]],'[1]Registre_Maintenance_combine '!A:D,4,FALSE),"Non trouvé")</f>
        <v>Non trouvé</v>
      </c>
      <c r="I739" t="str">
        <f>IFERROR(VLOOKUP(Logs_reseau[[#This Row],[Cell_ID]],'[1]Registre_Maintenance_combine '!A:E,5,FALSE),"Non trouvé")</f>
        <v>Non trouvé</v>
      </c>
      <c r="J739" t="str">
        <f>IFERROR(VLOOKUP(Logs_reseau[[#This Row],[Cell_ID]],'[1]Registre_Maintenance_combine '!A:F,6,FALSE),"Non trouvé")</f>
        <v>Non trouvé</v>
      </c>
    </row>
    <row r="740" spans="1:10" x14ac:dyDescent="0.25">
      <c r="A740" t="str">
        <f>IFERROR(VLOOKUP(Logs_reseau[[#This Row],[Cell_ID]],'[1]Registre_Maintenance_combine '!A:B,2,FALSE),"Non trouvé")</f>
        <v>Kasai</v>
      </c>
      <c r="B740" t="s">
        <v>177</v>
      </c>
      <c r="C740" s="3">
        <v>45206.282638888886</v>
      </c>
      <c r="D740" s="11">
        <f>Logs_reseau[[#This Row],[Duree_Panne_Min]]/1440</f>
        <v>4.791666666666667E-2</v>
      </c>
      <c r="E740">
        <v>69</v>
      </c>
      <c r="F740" t="s">
        <v>1</v>
      </c>
      <c r="G740">
        <f>IFERROR(VLOOKUP(Logs_reseau[[#This Row],[Cell_ID]],'[1]Registre_Maintenance_combine '!A:C,3,FALSE),"Non trouvé")</f>
        <v>4.1464489999999996</v>
      </c>
      <c r="H740">
        <f>IFERROR(VLOOKUP(Logs_reseau[[#This Row],[Cell_ID]],'[1]Registre_Maintenance_combine '!A:D,4,FALSE),"Non trouvé")</f>
        <v>17.793337000000001</v>
      </c>
      <c r="I740" t="str">
        <f>IFERROR(VLOOKUP(Logs_reseau[[#This Row],[Cell_ID]],'[1]Registre_Maintenance_combine '!A:E,5,FALSE),"Non trouvé")</f>
        <v>5G</v>
      </c>
      <c r="J740" t="str">
        <f>IFERROR(VLOOKUP(Logs_reseau[[#This Row],[Cell_ID]],'[1]Registre_Maintenance_combine '!A:F,6,FALSE),"Non trouvé")</f>
        <v>ZTE</v>
      </c>
    </row>
    <row r="741" spans="1:10" x14ac:dyDescent="0.25">
      <c r="A741" t="str">
        <f>IFERROR(VLOOKUP(Logs_reseau[[#This Row],[Cell_ID]],'[1]Registre_Maintenance_combine '!A:B,2,FALSE),"Non trouvé")</f>
        <v>Kasai</v>
      </c>
      <c r="B741" t="s">
        <v>177</v>
      </c>
      <c r="C741" s="3">
        <v>45203.861805555556</v>
      </c>
      <c r="D741" s="11">
        <f>Logs_reseau[[#This Row],[Duree_Panne_Min]]/1440</f>
        <v>4.583333333333333E-2</v>
      </c>
      <c r="E741">
        <v>66</v>
      </c>
      <c r="F741" t="s">
        <v>1</v>
      </c>
      <c r="G741">
        <f>IFERROR(VLOOKUP(Logs_reseau[[#This Row],[Cell_ID]],'[1]Registre_Maintenance_combine '!A:C,3,FALSE),"Non trouvé")</f>
        <v>4.1464489999999996</v>
      </c>
      <c r="H741">
        <f>IFERROR(VLOOKUP(Logs_reseau[[#This Row],[Cell_ID]],'[1]Registre_Maintenance_combine '!A:D,4,FALSE),"Non trouvé")</f>
        <v>17.793337000000001</v>
      </c>
      <c r="I741" t="str">
        <f>IFERROR(VLOOKUP(Logs_reseau[[#This Row],[Cell_ID]],'[1]Registre_Maintenance_combine '!A:E,5,FALSE),"Non trouvé")</f>
        <v>5G</v>
      </c>
      <c r="J741" t="str">
        <f>IFERROR(VLOOKUP(Logs_reseau[[#This Row],[Cell_ID]],'[1]Registre_Maintenance_combine '!A:F,6,FALSE),"Non trouvé")</f>
        <v>ZTE</v>
      </c>
    </row>
    <row r="742" spans="1:10" x14ac:dyDescent="0.25">
      <c r="A742" t="str">
        <f>IFERROR(VLOOKUP(Logs_reseau[[#This Row],[Cell_ID]],'[1]Registre_Maintenance_combine '!A:B,2,FALSE),"Non trouvé")</f>
        <v>Kasai</v>
      </c>
      <c r="B742" t="s">
        <v>177</v>
      </c>
      <c r="C742" s="3">
        <v>45205.373611111114</v>
      </c>
      <c r="D742" s="11">
        <f>Logs_reseau[[#This Row],[Duree_Panne_Min]]/1440</f>
        <v>3.4722222222222224E-2</v>
      </c>
      <c r="E742">
        <v>50</v>
      </c>
      <c r="F742" t="s">
        <v>2</v>
      </c>
      <c r="G742">
        <f>IFERROR(VLOOKUP(Logs_reseau[[#This Row],[Cell_ID]],'[1]Registre_Maintenance_combine '!A:C,3,FALSE),"Non trouvé")</f>
        <v>4.1464489999999996</v>
      </c>
      <c r="H742">
        <f>IFERROR(VLOOKUP(Logs_reseau[[#This Row],[Cell_ID]],'[1]Registre_Maintenance_combine '!A:D,4,FALSE),"Non trouvé")</f>
        <v>17.793337000000001</v>
      </c>
      <c r="I742" t="str">
        <f>IFERROR(VLOOKUP(Logs_reseau[[#This Row],[Cell_ID]],'[1]Registre_Maintenance_combine '!A:E,5,FALSE),"Non trouvé")</f>
        <v>5G</v>
      </c>
      <c r="J742" t="str">
        <f>IFERROR(VLOOKUP(Logs_reseau[[#This Row],[Cell_ID]],'[1]Registre_Maintenance_combine '!A:F,6,FALSE),"Non trouvé")</f>
        <v>ZTE</v>
      </c>
    </row>
    <row r="743" spans="1:10" x14ac:dyDescent="0.25">
      <c r="A743" t="str">
        <f>IFERROR(VLOOKUP(Logs_reseau[[#This Row],[Cell_ID]],'[1]Registre_Maintenance_combine '!A:B,2,FALSE),"Non trouvé")</f>
        <v>Kasai</v>
      </c>
      <c r="B743" t="s">
        <v>177</v>
      </c>
      <c r="C743" s="3">
        <v>45221.988888888889</v>
      </c>
      <c r="D743" s="11">
        <f>Logs_reseau[[#This Row],[Duree_Panne_Min]]/1440</f>
        <v>3.125E-2</v>
      </c>
      <c r="E743">
        <v>45</v>
      </c>
      <c r="F743" t="s">
        <v>1</v>
      </c>
      <c r="G743">
        <f>IFERROR(VLOOKUP(Logs_reseau[[#This Row],[Cell_ID]],'[1]Registre_Maintenance_combine '!A:C,3,FALSE),"Non trouvé")</f>
        <v>4.1464489999999996</v>
      </c>
      <c r="H743">
        <f>IFERROR(VLOOKUP(Logs_reseau[[#This Row],[Cell_ID]],'[1]Registre_Maintenance_combine '!A:D,4,FALSE),"Non trouvé")</f>
        <v>17.793337000000001</v>
      </c>
      <c r="I743" t="str">
        <f>IFERROR(VLOOKUP(Logs_reseau[[#This Row],[Cell_ID]],'[1]Registre_Maintenance_combine '!A:E,5,FALSE),"Non trouvé")</f>
        <v>5G</v>
      </c>
      <c r="J743" t="str">
        <f>IFERROR(VLOOKUP(Logs_reseau[[#This Row],[Cell_ID]],'[1]Registre_Maintenance_combine '!A:F,6,FALSE),"Non trouvé")</f>
        <v>ZTE</v>
      </c>
    </row>
    <row r="744" spans="1:10" x14ac:dyDescent="0.25">
      <c r="A744" t="str">
        <f>IFERROR(VLOOKUP(Logs_reseau[[#This Row],[Cell_ID]],'[1]Registre_Maintenance_combine '!A:B,2,FALSE),"Non trouvé")</f>
        <v>Kasai</v>
      </c>
      <c r="B744" t="s">
        <v>177</v>
      </c>
      <c r="C744" s="3">
        <v>45208.172222222223</v>
      </c>
      <c r="D744" s="11">
        <f>Logs_reseau[[#This Row],[Duree_Panne_Min]]/1440</f>
        <v>6.6666666666666666E-2</v>
      </c>
      <c r="E744">
        <v>96</v>
      </c>
      <c r="F744" t="s">
        <v>1</v>
      </c>
      <c r="G744">
        <f>IFERROR(VLOOKUP(Logs_reseau[[#This Row],[Cell_ID]],'[1]Registre_Maintenance_combine '!A:C,3,FALSE),"Non trouvé")</f>
        <v>4.1464489999999996</v>
      </c>
      <c r="H744">
        <f>IFERROR(VLOOKUP(Logs_reseau[[#This Row],[Cell_ID]],'[1]Registre_Maintenance_combine '!A:D,4,FALSE),"Non trouvé")</f>
        <v>17.793337000000001</v>
      </c>
      <c r="I744" t="str">
        <f>IFERROR(VLOOKUP(Logs_reseau[[#This Row],[Cell_ID]],'[1]Registre_Maintenance_combine '!A:E,5,FALSE),"Non trouvé")</f>
        <v>5G</v>
      </c>
      <c r="J744" t="str">
        <f>IFERROR(VLOOKUP(Logs_reseau[[#This Row],[Cell_ID]],'[1]Registre_Maintenance_combine '!A:F,6,FALSE),"Non trouvé")</f>
        <v>ZTE</v>
      </c>
    </row>
    <row r="745" spans="1:10" x14ac:dyDescent="0.25">
      <c r="A745" t="str">
        <f>IFERROR(VLOOKUP(Logs_reseau[[#This Row],[Cell_ID]],'[1]Registre_Maintenance_combine '!A:B,2,FALSE),"Non trouvé")</f>
        <v>Kasai</v>
      </c>
      <c r="B745" t="s">
        <v>177</v>
      </c>
      <c r="C745" s="3">
        <v>45226.988194444442</v>
      </c>
      <c r="D745" s="11">
        <f>Logs_reseau[[#This Row],[Duree_Panne_Min]]/1440</f>
        <v>1.7361111111111112E-2</v>
      </c>
      <c r="E745">
        <v>25</v>
      </c>
      <c r="F745" t="s">
        <v>2</v>
      </c>
      <c r="G745">
        <f>IFERROR(VLOOKUP(Logs_reseau[[#This Row],[Cell_ID]],'[1]Registre_Maintenance_combine '!A:C,3,FALSE),"Non trouvé")</f>
        <v>4.1464489999999996</v>
      </c>
      <c r="H745">
        <f>IFERROR(VLOOKUP(Logs_reseau[[#This Row],[Cell_ID]],'[1]Registre_Maintenance_combine '!A:D,4,FALSE),"Non trouvé")</f>
        <v>17.793337000000001</v>
      </c>
      <c r="I745" t="str">
        <f>IFERROR(VLOOKUP(Logs_reseau[[#This Row],[Cell_ID]],'[1]Registre_Maintenance_combine '!A:E,5,FALSE),"Non trouvé")</f>
        <v>5G</v>
      </c>
      <c r="J745" t="str">
        <f>IFERROR(VLOOKUP(Logs_reseau[[#This Row],[Cell_ID]],'[1]Registre_Maintenance_combine '!A:F,6,FALSE),"Non trouvé")</f>
        <v>ZTE</v>
      </c>
    </row>
    <row r="746" spans="1:10" x14ac:dyDescent="0.25">
      <c r="A746" t="str">
        <f>IFERROR(VLOOKUP(Logs_reseau[[#This Row],[Cell_ID]],'[1]Registre_Maintenance_combine '!A:B,2,FALSE),"Non trouvé")</f>
        <v>Kasai</v>
      </c>
      <c r="B746" t="s">
        <v>177</v>
      </c>
      <c r="C746" s="3">
        <v>45219.506249999999</v>
      </c>
      <c r="D746" s="11">
        <f>Logs_reseau[[#This Row],[Duree_Panne_Min]]/1440</f>
        <v>5.7638888888888892E-2</v>
      </c>
      <c r="E746">
        <v>83</v>
      </c>
      <c r="F746" t="s">
        <v>2</v>
      </c>
      <c r="G746">
        <f>IFERROR(VLOOKUP(Logs_reseau[[#This Row],[Cell_ID]],'[1]Registre_Maintenance_combine '!A:C,3,FALSE),"Non trouvé")</f>
        <v>4.1464489999999996</v>
      </c>
      <c r="H746">
        <f>IFERROR(VLOOKUP(Logs_reseau[[#This Row],[Cell_ID]],'[1]Registre_Maintenance_combine '!A:D,4,FALSE),"Non trouvé")</f>
        <v>17.793337000000001</v>
      </c>
      <c r="I746" t="str">
        <f>IFERROR(VLOOKUP(Logs_reseau[[#This Row],[Cell_ID]],'[1]Registre_Maintenance_combine '!A:E,5,FALSE),"Non trouvé")</f>
        <v>5G</v>
      </c>
      <c r="J746" t="str">
        <f>IFERROR(VLOOKUP(Logs_reseau[[#This Row],[Cell_ID]],'[1]Registre_Maintenance_combine '!A:F,6,FALSE),"Non trouvé")</f>
        <v>ZTE</v>
      </c>
    </row>
    <row r="747" spans="1:10" x14ac:dyDescent="0.25">
      <c r="A747" t="str">
        <f>IFERROR(VLOOKUP(Logs_reseau[[#This Row],[Cell_ID]],'[1]Registre_Maintenance_combine '!A:B,2,FALSE),"Non trouvé")</f>
        <v>Nord-Kivu</v>
      </c>
      <c r="B747" t="s">
        <v>178</v>
      </c>
      <c r="C747" s="3">
        <v>45223.418749999997</v>
      </c>
      <c r="D747" s="11">
        <f>Logs_reseau[[#This Row],[Duree_Panne_Min]]/1440</f>
        <v>2.2222222222222223E-2</v>
      </c>
      <c r="E747">
        <v>32</v>
      </c>
      <c r="F747" t="s">
        <v>2</v>
      </c>
      <c r="G747">
        <f>IFERROR(VLOOKUP(Logs_reseau[[#This Row],[Cell_ID]],'[1]Registre_Maintenance_combine '!A:C,3,FALSE),"Non trouvé")</f>
        <v>0.92885200000000001</v>
      </c>
      <c r="H747">
        <f>IFERROR(VLOOKUP(Logs_reseau[[#This Row],[Cell_ID]],'[1]Registre_Maintenance_combine '!A:D,4,FALSE),"Non trouvé")</f>
        <v>25.868548000000001</v>
      </c>
      <c r="I747" t="str">
        <f>IFERROR(VLOOKUP(Logs_reseau[[#This Row],[Cell_ID]],'[1]Registre_Maintenance_combine '!A:E,5,FALSE),"Non trouvé")</f>
        <v>5G</v>
      </c>
      <c r="J747" t="str">
        <f>IFERROR(VLOOKUP(Logs_reseau[[#This Row],[Cell_ID]],'[1]Registre_Maintenance_combine '!A:F,6,FALSE),"Non trouvé")</f>
        <v>Nokia</v>
      </c>
    </row>
    <row r="748" spans="1:10" x14ac:dyDescent="0.25">
      <c r="A748" t="str">
        <f>IFERROR(VLOOKUP(Logs_reseau[[#This Row],[Cell_ID]],'[1]Registre_Maintenance_combine '!A:B,2,FALSE),"Non trouvé")</f>
        <v>Nord-Kivu</v>
      </c>
      <c r="B748" t="s">
        <v>178</v>
      </c>
      <c r="C748" s="3">
        <v>45226.598611111112</v>
      </c>
      <c r="D748" s="11">
        <f>Logs_reseau[[#This Row],[Duree_Panne_Min]]/1440</f>
        <v>4.583333333333333E-2</v>
      </c>
      <c r="E748">
        <v>66</v>
      </c>
      <c r="F748" t="s">
        <v>1</v>
      </c>
      <c r="G748">
        <f>IFERROR(VLOOKUP(Logs_reseau[[#This Row],[Cell_ID]],'[1]Registre_Maintenance_combine '!A:C,3,FALSE),"Non trouvé")</f>
        <v>0.92885200000000001</v>
      </c>
      <c r="H748">
        <f>IFERROR(VLOOKUP(Logs_reseau[[#This Row],[Cell_ID]],'[1]Registre_Maintenance_combine '!A:D,4,FALSE),"Non trouvé")</f>
        <v>25.868548000000001</v>
      </c>
      <c r="I748" t="str">
        <f>IFERROR(VLOOKUP(Logs_reseau[[#This Row],[Cell_ID]],'[1]Registre_Maintenance_combine '!A:E,5,FALSE),"Non trouvé")</f>
        <v>5G</v>
      </c>
      <c r="J748" t="str">
        <f>IFERROR(VLOOKUP(Logs_reseau[[#This Row],[Cell_ID]],'[1]Registre_Maintenance_combine '!A:F,6,FALSE),"Non trouvé")</f>
        <v>Nokia</v>
      </c>
    </row>
    <row r="749" spans="1:10" x14ac:dyDescent="0.25">
      <c r="A749" t="str">
        <f>IFERROR(VLOOKUP(Logs_reseau[[#This Row],[Cell_ID]],'[1]Registre_Maintenance_combine '!A:B,2,FALSE),"Non trouvé")</f>
        <v>Nord-Kivu</v>
      </c>
      <c r="B749" t="s">
        <v>178</v>
      </c>
      <c r="C749" s="3">
        <v>45203.22152777778</v>
      </c>
      <c r="D749" s="11">
        <f>Logs_reseau[[#This Row],[Duree_Panne_Min]]/1440</f>
        <v>5.6944444444444443E-2</v>
      </c>
      <c r="E749">
        <v>82</v>
      </c>
      <c r="F749" t="s">
        <v>1</v>
      </c>
      <c r="G749">
        <f>IFERROR(VLOOKUP(Logs_reseau[[#This Row],[Cell_ID]],'[1]Registre_Maintenance_combine '!A:C,3,FALSE),"Non trouvé")</f>
        <v>0.92885200000000001</v>
      </c>
      <c r="H749">
        <f>IFERROR(VLOOKUP(Logs_reseau[[#This Row],[Cell_ID]],'[1]Registre_Maintenance_combine '!A:D,4,FALSE),"Non trouvé")</f>
        <v>25.868548000000001</v>
      </c>
      <c r="I749" t="str">
        <f>IFERROR(VLOOKUP(Logs_reseau[[#This Row],[Cell_ID]],'[1]Registre_Maintenance_combine '!A:E,5,FALSE),"Non trouvé")</f>
        <v>5G</v>
      </c>
      <c r="J749" t="str">
        <f>IFERROR(VLOOKUP(Logs_reseau[[#This Row],[Cell_ID]],'[1]Registre_Maintenance_combine '!A:F,6,FALSE),"Non trouvé")</f>
        <v>Nokia</v>
      </c>
    </row>
    <row r="750" spans="1:10" x14ac:dyDescent="0.25">
      <c r="A750" t="str">
        <f>IFERROR(VLOOKUP(Logs_reseau[[#This Row],[Cell_ID]],'[1]Registre_Maintenance_combine '!A:B,2,FALSE),"Non trouvé")</f>
        <v>Nord-Kivu</v>
      </c>
      <c r="B750" t="s">
        <v>178</v>
      </c>
      <c r="C750" s="3">
        <v>45215.602083333331</v>
      </c>
      <c r="D750" s="11">
        <f>Logs_reseau[[#This Row],[Duree_Panne_Min]]/1440</f>
        <v>2.5000000000000001E-2</v>
      </c>
      <c r="E750">
        <v>36</v>
      </c>
      <c r="F750" t="s">
        <v>4</v>
      </c>
      <c r="G750">
        <f>IFERROR(VLOOKUP(Logs_reseau[[#This Row],[Cell_ID]],'[1]Registre_Maintenance_combine '!A:C,3,FALSE),"Non trouvé")</f>
        <v>0.92885200000000001</v>
      </c>
      <c r="H750">
        <f>IFERROR(VLOOKUP(Logs_reseau[[#This Row],[Cell_ID]],'[1]Registre_Maintenance_combine '!A:D,4,FALSE),"Non trouvé")</f>
        <v>25.868548000000001</v>
      </c>
      <c r="I750" t="str">
        <f>IFERROR(VLOOKUP(Logs_reseau[[#This Row],[Cell_ID]],'[1]Registre_Maintenance_combine '!A:E,5,FALSE),"Non trouvé")</f>
        <v>5G</v>
      </c>
      <c r="J750" t="str">
        <f>IFERROR(VLOOKUP(Logs_reseau[[#This Row],[Cell_ID]],'[1]Registre_Maintenance_combine '!A:F,6,FALSE),"Non trouvé")</f>
        <v>Nokia</v>
      </c>
    </row>
    <row r="751" spans="1:10" x14ac:dyDescent="0.25">
      <c r="A751" t="str">
        <f>IFERROR(VLOOKUP(Logs_reseau[[#This Row],[Cell_ID]],'[1]Registre_Maintenance_combine '!A:B,2,FALSE),"Non trouvé")</f>
        <v>Nord-Kivu</v>
      </c>
      <c r="B751" t="s">
        <v>178</v>
      </c>
      <c r="C751" s="3">
        <v>45205.793749999997</v>
      </c>
      <c r="D751" s="11">
        <f>Logs_reseau[[#This Row],[Duree_Panne_Min]]/1440</f>
        <v>7.7777777777777779E-2</v>
      </c>
      <c r="E751">
        <v>112</v>
      </c>
      <c r="F751" t="s">
        <v>4</v>
      </c>
      <c r="G751">
        <f>IFERROR(VLOOKUP(Logs_reseau[[#This Row],[Cell_ID]],'[1]Registre_Maintenance_combine '!A:C,3,FALSE),"Non trouvé")</f>
        <v>0.92885200000000001</v>
      </c>
      <c r="H751">
        <f>IFERROR(VLOOKUP(Logs_reseau[[#This Row],[Cell_ID]],'[1]Registre_Maintenance_combine '!A:D,4,FALSE),"Non trouvé")</f>
        <v>25.868548000000001</v>
      </c>
      <c r="I751" t="str">
        <f>IFERROR(VLOOKUP(Logs_reseau[[#This Row],[Cell_ID]],'[1]Registre_Maintenance_combine '!A:E,5,FALSE),"Non trouvé")</f>
        <v>5G</v>
      </c>
      <c r="J751" t="str">
        <f>IFERROR(VLOOKUP(Logs_reseau[[#This Row],[Cell_ID]],'[1]Registre_Maintenance_combine '!A:F,6,FALSE),"Non trouvé")</f>
        <v>Nokia</v>
      </c>
    </row>
    <row r="752" spans="1:10" x14ac:dyDescent="0.25">
      <c r="A752" t="str">
        <f>IFERROR(VLOOKUP(Logs_reseau[[#This Row],[Cell_ID]],'[1]Registre_Maintenance_combine '!A:B,2,FALSE),"Non trouvé")</f>
        <v>Tshopo</v>
      </c>
      <c r="B752" t="s">
        <v>179</v>
      </c>
      <c r="C752" s="3">
        <v>45222.863888888889</v>
      </c>
      <c r="D752" s="11">
        <f>Logs_reseau[[#This Row],[Duree_Panne_Min]]/1440</f>
        <v>3.4722222222222224E-2</v>
      </c>
      <c r="E752">
        <v>50</v>
      </c>
      <c r="F752" t="s">
        <v>4</v>
      </c>
      <c r="G752">
        <f>IFERROR(VLOOKUP(Logs_reseau[[#This Row],[Cell_ID]],'[1]Registre_Maintenance_combine '!A:C,3,FALSE),"Non trouvé")</f>
        <v>2.4425979999999998</v>
      </c>
      <c r="H752">
        <f>IFERROR(VLOOKUP(Logs_reseau[[#This Row],[Cell_ID]],'[1]Registre_Maintenance_combine '!A:D,4,FALSE),"Non trouvé")</f>
        <v>24.924308</v>
      </c>
      <c r="I752" t="str">
        <f>IFERROR(VLOOKUP(Logs_reseau[[#This Row],[Cell_ID]],'[1]Registre_Maintenance_combine '!A:E,5,FALSE),"Non trouvé")</f>
        <v>5G</v>
      </c>
      <c r="J752" t="str">
        <f>IFERROR(VLOOKUP(Logs_reseau[[#This Row],[Cell_ID]],'[1]Registre_Maintenance_combine '!A:F,6,FALSE),"Non trouvé")</f>
        <v>Ericsson</v>
      </c>
    </row>
    <row r="753" spans="1:10" x14ac:dyDescent="0.25">
      <c r="A753" t="str">
        <f>IFERROR(VLOOKUP(Logs_reseau[[#This Row],[Cell_ID]],'[1]Registre_Maintenance_combine '!A:B,2,FALSE),"Non trouvé")</f>
        <v>Tshopo</v>
      </c>
      <c r="B753" t="s">
        <v>179</v>
      </c>
      <c r="C753" s="3">
        <v>45215.618055555555</v>
      </c>
      <c r="D753" s="11">
        <f>Logs_reseau[[#This Row],[Duree_Panne_Min]]/1440</f>
        <v>2.013888888888889E-2</v>
      </c>
      <c r="E753">
        <v>29</v>
      </c>
      <c r="F753" t="s">
        <v>1</v>
      </c>
      <c r="G753">
        <f>IFERROR(VLOOKUP(Logs_reseau[[#This Row],[Cell_ID]],'[1]Registre_Maintenance_combine '!A:C,3,FALSE),"Non trouvé")</f>
        <v>2.4425979999999998</v>
      </c>
      <c r="H753">
        <f>IFERROR(VLOOKUP(Logs_reseau[[#This Row],[Cell_ID]],'[1]Registre_Maintenance_combine '!A:D,4,FALSE),"Non trouvé")</f>
        <v>24.924308</v>
      </c>
      <c r="I753" t="str">
        <f>IFERROR(VLOOKUP(Logs_reseau[[#This Row],[Cell_ID]],'[1]Registre_Maintenance_combine '!A:E,5,FALSE),"Non trouvé")</f>
        <v>5G</v>
      </c>
      <c r="J753" t="str">
        <f>IFERROR(VLOOKUP(Logs_reseau[[#This Row],[Cell_ID]],'[1]Registre_Maintenance_combine '!A:F,6,FALSE),"Non trouvé")</f>
        <v>Ericsson</v>
      </c>
    </row>
    <row r="754" spans="1:10" x14ac:dyDescent="0.25">
      <c r="A754" t="str">
        <f>IFERROR(VLOOKUP(Logs_reseau[[#This Row],[Cell_ID]],'[1]Registre_Maintenance_combine '!A:B,2,FALSE),"Non trouvé")</f>
        <v>Tshopo</v>
      </c>
      <c r="B754" t="s">
        <v>179</v>
      </c>
      <c r="C754" s="3">
        <v>45225.317361111112</v>
      </c>
      <c r="D754" s="11">
        <f>Logs_reseau[[#This Row],[Duree_Panne_Min]]/1440</f>
        <v>2.5694444444444443E-2</v>
      </c>
      <c r="E754">
        <v>37</v>
      </c>
      <c r="F754" t="s">
        <v>4</v>
      </c>
      <c r="G754">
        <f>IFERROR(VLOOKUP(Logs_reseau[[#This Row],[Cell_ID]],'[1]Registre_Maintenance_combine '!A:C,3,FALSE),"Non trouvé")</f>
        <v>2.4425979999999998</v>
      </c>
      <c r="H754">
        <f>IFERROR(VLOOKUP(Logs_reseau[[#This Row],[Cell_ID]],'[1]Registre_Maintenance_combine '!A:D,4,FALSE),"Non trouvé")</f>
        <v>24.924308</v>
      </c>
      <c r="I754" t="str">
        <f>IFERROR(VLOOKUP(Logs_reseau[[#This Row],[Cell_ID]],'[1]Registre_Maintenance_combine '!A:E,5,FALSE),"Non trouvé")</f>
        <v>5G</v>
      </c>
      <c r="J754" t="str">
        <f>IFERROR(VLOOKUP(Logs_reseau[[#This Row],[Cell_ID]],'[1]Registre_Maintenance_combine '!A:F,6,FALSE),"Non trouvé")</f>
        <v>Ericsson</v>
      </c>
    </row>
    <row r="755" spans="1:10" x14ac:dyDescent="0.25">
      <c r="A755" t="str">
        <f>IFERROR(VLOOKUP(Logs_reseau[[#This Row],[Cell_ID]],'[1]Registre_Maintenance_combine '!A:B,2,FALSE),"Non trouvé")</f>
        <v>Non trouvé</v>
      </c>
      <c r="B755" t="s">
        <v>180</v>
      </c>
      <c r="C755" s="3">
        <v>45223.661111111112</v>
      </c>
      <c r="D755" s="11">
        <f>Logs_reseau[[#This Row],[Duree_Panne_Min]]/1440</f>
        <v>1.7361111111111112E-2</v>
      </c>
      <c r="E755">
        <v>25</v>
      </c>
      <c r="F755" t="s">
        <v>1</v>
      </c>
      <c r="G755" t="str">
        <f>IFERROR(VLOOKUP(Logs_reseau[[#This Row],[Cell_ID]],'[1]Registre_Maintenance_combine '!A:C,3,FALSE),"Non trouvé")</f>
        <v>Non trouvé</v>
      </c>
      <c r="H755" t="str">
        <f>IFERROR(VLOOKUP(Logs_reseau[[#This Row],[Cell_ID]],'[1]Registre_Maintenance_combine '!A:D,4,FALSE),"Non trouvé")</f>
        <v>Non trouvé</v>
      </c>
      <c r="I755" t="str">
        <f>IFERROR(VLOOKUP(Logs_reseau[[#This Row],[Cell_ID]],'[1]Registre_Maintenance_combine '!A:E,5,FALSE),"Non trouvé")</f>
        <v>Non trouvé</v>
      </c>
      <c r="J755" t="str">
        <f>IFERROR(VLOOKUP(Logs_reseau[[#This Row],[Cell_ID]],'[1]Registre_Maintenance_combine '!A:F,6,FALSE),"Non trouvé")</f>
        <v>Non trouvé</v>
      </c>
    </row>
    <row r="756" spans="1:10" x14ac:dyDescent="0.25">
      <c r="A756" t="str">
        <f>IFERROR(VLOOKUP(Logs_reseau[[#This Row],[Cell_ID]],'[1]Registre_Maintenance_combine '!A:B,2,FALSE),"Non trouvé")</f>
        <v>Non trouvé</v>
      </c>
      <c r="B756" t="s">
        <v>180</v>
      </c>
      <c r="C756" s="3">
        <v>45200.883333333331</v>
      </c>
      <c r="D756" s="11">
        <f>Logs_reseau[[#This Row],[Duree_Panne_Min]]/1440</f>
        <v>3.9583333333333331E-2</v>
      </c>
      <c r="E756">
        <v>57</v>
      </c>
      <c r="F756" t="s">
        <v>2</v>
      </c>
      <c r="G756" t="str">
        <f>IFERROR(VLOOKUP(Logs_reseau[[#This Row],[Cell_ID]],'[1]Registre_Maintenance_combine '!A:C,3,FALSE),"Non trouvé")</f>
        <v>Non trouvé</v>
      </c>
      <c r="H756" t="str">
        <f>IFERROR(VLOOKUP(Logs_reseau[[#This Row],[Cell_ID]],'[1]Registre_Maintenance_combine '!A:D,4,FALSE),"Non trouvé")</f>
        <v>Non trouvé</v>
      </c>
      <c r="I756" t="str">
        <f>IFERROR(VLOOKUP(Logs_reseau[[#This Row],[Cell_ID]],'[1]Registre_Maintenance_combine '!A:E,5,FALSE),"Non trouvé")</f>
        <v>Non trouvé</v>
      </c>
      <c r="J756" t="str">
        <f>IFERROR(VLOOKUP(Logs_reseau[[#This Row],[Cell_ID]],'[1]Registre_Maintenance_combine '!A:F,6,FALSE),"Non trouvé")</f>
        <v>Non trouvé</v>
      </c>
    </row>
    <row r="757" spans="1:10" x14ac:dyDescent="0.25">
      <c r="A757" t="str">
        <f>IFERROR(VLOOKUP(Logs_reseau[[#This Row],[Cell_ID]],'[1]Registre_Maintenance_combine '!A:B,2,FALSE),"Non trouvé")</f>
        <v>Non trouvé</v>
      </c>
      <c r="B757" t="s">
        <v>180</v>
      </c>
      <c r="C757" s="3">
        <v>45204.341666666667</v>
      </c>
      <c r="D757" s="11">
        <f>Logs_reseau[[#This Row],[Duree_Panne_Min]]/1440</f>
        <v>7.3611111111111113E-2</v>
      </c>
      <c r="E757">
        <v>106</v>
      </c>
      <c r="F757" t="s">
        <v>2</v>
      </c>
      <c r="G757" t="str">
        <f>IFERROR(VLOOKUP(Logs_reseau[[#This Row],[Cell_ID]],'[1]Registre_Maintenance_combine '!A:C,3,FALSE),"Non trouvé")</f>
        <v>Non trouvé</v>
      </c>
      <c r="H757" t="str">
        <f>IFERROR(VLOOKUP(Logs_reseau[[#This Row],[Cell_ID]],'[1]Registre_Maintenance_combine '!A:D,4,FALSE),"Non trouvé")</f>
        <v>Non trouvé</v>
      </c>
      <c r="I757" t="str">
        <f>IFERROR(VLOOKUP(Logs_reseau[[#This Row],[Cell_ID]],'[1]Registre_Maintenance_combine '!A:E,5,FALSE),"Non trouvé")</f>
        <v>Non trouvé</v>
      </c>
      <c r="J757" t="str">
        <f>IFERROR(VLOOKUP(Logs_reseau[[#This Row],[Cell_ID]],'[1]Registre_Maintenance_combine '!A:F,6,FALSE),"Non trouvé")</f>
        <v>Non trouvé</v>
      </c>
    </row>
    <row r="758" spans="1:10" x14ac:dyDescent="0.25">
      <c r="A758" t="str">
        <f>IFERROR(VLOOKUP(Logs_reseau[[#This Row],[Cell_ID]],'[1]Registre_Maintenance_combine '!A:B,2,FALSE),"Non trouvé")</f>
        <v>Non trouvé</v>
      </c>
      <c r="B758" t="s">
        <v>180</v>
      </c>
      <c r="C758" s="3">
        <v>45218.613194444442</v>
      </c>
      <c r="D758" s="11">
        <f>Logs_reseau[[#This Row],[Duree_Panne_Min]]/1440</f>
        <v>2.013888888888889E-2</v>
      </c>
      <c r="E758">
        <v>29</v>
      </c>
      <c r="F758" t="s">
        <v>2</v>
      </c>
      <c r="G758" t="str">
        <f>IFERROR(VLOOKUP(Logs_reseau[[#This Row],[Cell_ID]],'[1]Registre_Maintenance_combine '!A:C,3,FALSE),"Non trouvé")</f>
        <v>Non trouvé</v>
      </c>
      <c r="H758" t="str">
        <f>IFERROR(VLOOKUP(Logs_reseau[[#This Row],[Cell_ID]],'[1]Registre_Maintenance_combine '!A:D,4,FALSE),"Non trouvé")</f>
        <v>Non trouvé</v>
      </c>
      <c r="I758" t="str">
        <f>IFERROR(VLOOKUP(Logs_reseau[[#This Row],[Cell_ID]],'[1]Registre_Maintenance_combine '!A:E,5,FALSE),"Non trouvé")</f>
        <v>Non trouvé</v>
      </c>
      <c r="J758" t="str">
        <f>IFERROR(VLOOKUP(Logs_reseau[[#This Row],[Cell_ID]],'[1]Registre_Maintenance_combine '!A:F,6,FALSE),"Non trouvé")</f>
        <v>Non trouvé</v>
      </c>
    </row>
    <row r="759" spans="1:10" x14ac:dyDescent="0.25">
      <c r="A759" t="str">
        <f>IFERROR(VLOOKUP(Logs_reseau[[#This Row],[Cell_ID]],'[1]Registre_Maintenance_combine '!A:B,2,FALSE),"Non trouvé")</f>
        <v>Non trouvé</v>
      </c>
      <c r="B759" t="s">
        <v>180</v>
      </c>
      <c r="C759" s="3">
        <v>45220.847916666666</v>
      </c>
      <c r="D759" s="11">
        <f>Logs_reseau[[#This Row],[Duree_Panne_Min]]/1440</f>
        <v>5.486111111111111E-2</v>
      </c>
      <c r="E759">
        <v>79</v>
      </c>
      <c r="F759" t="s">
        <v>2</v>
      </c>
      <c r="G759" t="str">
        <f>IFERROR(VLOOKUP(Logs_reseau[[#This Row],[Cell_ID]],'[1]Registre_Maintenance_combine '!A:C,3,FALSE),"Non trouvé")</f>
        <v>Non trouvé</v>
      </c>
      <c r="H759" t="str">
        <f>IFERROR(VLOOKUP(Logs_reseau[[#This Row],[Cell_ID]],'[1]Registre_Maintenance_combine '!A:D,4,FALSE),"Non trouvé")</f>
        <v>Non trouvé</v>
      </c>
      <c r="I759" t="str">
        <f>IFERROR(VLOOKUP(Logs_reseau[[#This Row],[Cell_ID]],'[1]Registre_Maintenance_combine '!A:E,5,FALSE),"Non trouvé")</f>
        <v>Non trouvé</v>
      </c>
      <c r="J759" t="str">
        <f>IFERROR(VLOOKUP(Logs_reseau[[#This Row],[Cell_ID]],'[1]Registre_Maintenance_combine '!A:F,6,FALSE),"Non trouvé")</f>
        <v>Non trouvé</v>
      </c>
    </row>
    <row r="760" spans="1:10" x14ac:dyDescent="0.25">
      <c r="A760" t="str">
        <f>IFERROR(VLOOKUP(Logs_reseau[[#This Row],[Cell_ID]],'[1]Registre_Maintenance_combine '!A:B,2,FALSE),"Non trouvé")</f>
        <v>Lualaba</v>
      </c>
      <c r="B760" t="s">
        <v>181</v>
      </c>
      <c r="C760" s="3">
        <v>45222.427083333336</v>
      </c>
      <c r="D760" s="11">
        <f>Logs_reseau[[#This Row],[Duree_Panne_Min]]/1440</f>
        <v>6.6666666666666666E-2</v>
      </c>
      <c r="E760">
        <v>96</v>
      </c>
      <c r="F760" t="s">
        <v>1</v>
      </c>
      <c r="G760">
        <f>IFERROR(VLOOKUP(Logs_reseau[[#This Row],[Cell_ID]],'[1]Registre_Maintenance_combine '!A:C,3,FALSE),"Non trouvé")</f>
        <v>-3.234483</v>
      </c>
      <c r="H760">
        <f>IFERROR(VLOOKUP(Logs_reseau[[#This Row],[Cell_ID]],'[1]Registre_Maintenance_combine '!A:D,4,FALSE),"Non trouvé")</f>
        <v>13.241939</v>
      </c>
      <c r="I760" t="str">
        <f>IFERROR(VLOOKUP(Logs_reseau[[#This Row],[Cell_ID]],'[1]Registre_Maintenance_combine '!A:E,5,FALSE),"Non trouvé")</f>
        <v>4G</v>
      </c>
      <c r="J760" t="str">
        <f>IFERROR(VLOOKUP(Logs_reseau[[#This Row],[Cell_ID]],'[1]Registre_Maintenance_combine '!A:F,6,FALSE),"Non trouvé")</f>
        <v>ZTE</v>
      </c>
    </row>
    <row r="761" spans="1:10" x14ac:dyDescent="0.25">
      <c r="A761" t="str">
        <f>IFERROR(VLOOKUP(Logs_reseau[[#This Row],[Cell_ID]],'[1]Registre_Maintenance_combine '!A:B,2,FALSE),"Non trouvé")</f>
        <v>Lualaba</v>
      </c>
      <c r="B761" t="s">
        <v>181</v>
      </c>
      <c r="C761" s="3">
        <v>45207.634722222225</v>
      </c>
      <c r="D761" s="11">
        <f>Logs_reseau[[#This Row],[Duree_Panne_Min]]/1440</f>
        <v>4.027777777777778E-2</v>
      </c>
      <c r="E761">
        <v>58</v>
      </c>
      <c r="F761" t="s">
        <v>2</v>
      </c>
      <c r="G761">
        <f>IFERROR(VLOOKUP(Logs_reseau[[#This Row],[Cell_ID]],'[1]Registre_Maintenance_combine '!A:C,3,FALSE),"Non trouvé")</f>
        <v>-3.234483</v>
      </c>
      <c r="H761">
        <f>IFERROR(VLOOKUP(Logs_reseau[[#This Row],[Cell_ID]],'[1]Registre_Maintenance_combine '!A:D,4,FALSE),"Non trouvé")</f>
        <v>13.241939</v>
      </c>
      <c r="I761" t="str">
        <f>IFERROR(VLOOKUP(Logs_reseau[[#This Row],[Cell_ID]],'[1]Registre_Maintenance_combine '!A:E,5,FALSE),"Non trouvé")</f>
        <v>4G</v>
      </c>
      <c r="J761" t="str">
        <f>IFERROR(VLOOKUP(Logs_reseau[[#This Row],[Cell_ID]],'[1]Registre_Maintenance_combine '!A:F,6,FALSE),"Non trouvé")</f>
        <v>ZTE</v>
      </c>
    </row>
    <row r="762" spans="1:10" x14ac:dyDescent="0.25">
      <c r="A762" t="str">
        <f>IFERROR(VLOOKUP(Logs_reseau[[#This Row],[Cell_ID]],'[1]Registre_Maintenance_combine '!A:B,2,FALSE),"Non trouvé")</f>
        <v>Lualaba</v>
      </c>
      <c r="B762" t="s">
        <v>181</v>
      </c>
      <c r="C762" s="3">
        <v>45201.054861111108</v>
      </c>
      <c r="D762" s="11">
        <f>Logs_reseau[[#This Row],[Duree_Panne_Min]]/1440</f>
        <v>2.1527777777777778E-2</v>
      </c>
      <c r="E762">
        <v>31</v>
      </c>
      <c r="F762" t="s">
        <v>4</v>
      </c>
      <c r="G762">
        <f>IFERROR(VLOOKUP(Logs_reseau[[#This Row],[Cell_ID]],'[1]Registre_Maintenance_combine '!A:C,3,FALSE),"Non trouvé")</f>
        <v>-3.234483</v>
      </c>
      <c r="H762">
        <f>IFERROR(VLOOKUP(Logs_reseau[[#This Row],[Cell_ID]],'[1]Registre_Maintenance_combine '!A:D,4,FALSE),"Non trouvé")</f>
        <v>13.241939</v>
      </c>
      <c r="I762" t="str">
        <f>IFERROR(VLOOKUP(Logs_reseau[[#This Row],[Cell_ID]],'[1]Registre_Maintenance_combine '!A:E,5,FALSE),"Non trouvé")</f>
        <v>4G</v>
      </c>
      <c r="J762" t="str">
        <f>IFERROR(VLOOKUP(Logs_reseau[[#This Row],[Cell_ID]],'[1]Registre_Maintenance_combine '!A:F,6,FALSE),"Non trouvé")</f>
        <v>ZTE</v>
      </c>
    </row>
    <row r="763" spans="1:10" x14ac:dyDescent="0.25">
      <c r="A763" t="str">
        <f>IFERROR(VLOOKUP(Logs_reseau[[#This Row],[Cell_ID]],'[1]Registre_Maintenance_combine '!A:B,2,FALSE),"Non trouvé")</f>
        <v>Lualaba</v>
      </c>
      <c r="B763" t="s">
        <v>181</v>
      </c>
      <c r="C763" s="3">
        <v>45211.546527777777</v>
      </c>
      <c r="D763" s="11">
        <f>Logs_reseau[[#This Row],[Duree_Panne_Min]]/1440</f>
        <v>8.0555555555555561E-2</v>
      </c>
      <c r="E763">
        <v>116</v>
      </c>
      <c r="F763" t="s">
        <v>1</v>
      </c>
      <c r="G763">
        <f>IFERROR(VLOOKUP(Logs_reseau[[#This Row],[Cell_ID]],'[1]Registre_Maintenance_combine '!A:C,3,FALSE),"Non trouvé")</f>
        <v>-3.234483</v>
      </c>
      <c r="H763">
        <f>IFERROR(VLOOKUP(Logs_reseau[[#This Row],[Cell_ID]],'[1]Registre_Maintenance_combine '!A:D,4,FALSE),"Non trouvé")</f>
        <v>13.241939</v>
      </c>
      <c r="I763" t="str">
        <f>IFERROR(VLOOKUP(Logs_reseau[[#This Row],[Cell_ID]],'[1]Registre_Maintenance_combine '!A:E,5,FALSE),"Non trouvé")</f>
        <v>4G</v>
      </c>
      <c r="J763" t="str">
        <f>IFERROR(VLOOKUP(Logs_reseau[[#This Row],[Cell_ID]],'[1]Registre_Maintenance_combine '!A:F,6,FALSE),"Non trouvé")</f>
        <v>ZTE</v>
      </c>
    </row>
    <row r="764" spans="1:10" x14ac:dyDescent="0.25">
      <c r="A764" t="str">
        <f>IFERROR(VLOOKUP(Logs_reseau[[#This Row],[Cell_ID]],'[1]Registre_Maintenance_combine '!A:B,2,FALSE),"Non trouvé")</f>
        <v>Lualaba</v>
      </c>
      <c r="B764" t="s">
        <v>181</v>
      </c>
      <c r="C764" s="3">
        <v>45200.543749999997</v>
      </c>
      <c r="D764" s="11">
        <f>Logs_reseau[[#This Row],[Duree_Panne_Min]]/1440</f>
        <v>1.0416666666666666E-2</v>
      </c>
      <c r="E764">
        <v>15</v>
      </c>
      <c r="F764" t="s">
        <v>4</v>
      </c>
      <c r="G764">
        <f>IFERROR(VLOOKUP(Logs_reseau[[#This Row],[Cell_ID]],'[1]Registre_Maintenance_combine '!A:C,3,FALSE),"Non trouvé")</f>
        <v>-3.234483</v>
      </c>
      <c r="H764">
        <f>IFERROR(VLOOKUP(Logs_reseau[[#This Row],[Cell_ID]],'[1]Registre_Maintenance_combine '!A:D,4,FALSE),"Non trouvé")</f>
        <v>13.241939</v>
      </c>
      <c r="I764" t="str">
        <f>IFERROR(VLOOKUP(Logs_reseau[[#This Row],[Cell_ID]],'[1]Registre_Maintenance_combine '!A:E,5,FALSE),"Non trouvé")</f>
        <v>4G</v>
      </c>
      <c r="J764" t="str">
        <f>IFERROR(VLOOKUP(Logs_reseau[[#This Row],[Cell_ID]],'[1]Registre_Maintenance_combine '!A:F,6,FALSE),"Non trouvé")</f>
        <v>ZTE</v>
      </c>
    </row>
    <row r="765" spans="1:10" x14ac:dyDescent="0.25">
      <c r="A765" t="str">
        <f>IFERROR(VLOOKUP(Logs_reseau[[#This Row],[Cell_ID]],'[1]Registre_Maintenance_combine '!A:B,2,FALSE),"Non trouvé")</f>
        <v>Kwango</v>
      </c>
      <c r="B765" t="s">
        <v>182</v>
      </c>
      <c r="C765" s="3">
        <v>45204.20208333333</v>
      </c>
      <c r="D765" s="11">
        <f>Logs_reseau[[#This Row],[Duree_Panne_Min]]/1440</f>
        <v>7.8472222222222221E-2</v>
      </c>
      <c r="E765">
        <v>113</v>
      </c>
      <c r="F765" t="s">
        <v>4</v>
      </c>
      <c r="G765">
        <f>IFERROR(VLOOKUP(Logs_reseau[[#This Row],[Cell_ID]],'[1]Registre_Maintenance_combine '!A:C,3,FALSE),"Non trouvé")</f>
        <v>4.8319039999999998</v>
      </c>
      <c r="H765">
        <f>IFERROR(VLOOKUP(Logs_reseau[[#This Row],[Cell_ID]],'[1]Registre_Maintenance_combine '!A:D,4,FALSE),"Non trouvé")</f>
        <v>20.733468999999999</v>
      </c>
      <c r="I765" t="str">
        <f>IFERROR(VLOOKUP(Logs_reseau[[#This Row],[Cell_ID]],'[1]Registre_Maintenance_combine '!A:E,5,FALSE),"Non trouvé")</f>
        <v>5G</v>
      </c>
      <c r="J765" t="str">
        <f>IFERROR(VLOOKUP(Logs_reseau[[#This Row],[Cell_ID]],'[1]Registre_Maintenance_combine '!A:F,6,FALSE),"Non trouvé")</f>
        <v>Ericsson</v>
      </c>
    </row>
    <row r="766" spans="1:10" x14ac:dyDescent="0.25">
      <c r="A766" t="str">
        <f>IFERROR(VLOOKUP(Logs_reseau[[#This Row],[Cell_ID]],'[1]Registre_Maintenance_combine '!A:B,2,FALSE),"Non trouvé")</f>
        <v>Kwango</v>
      </c>
      <c r="B766" t="s">
        <v>182</v>
      </c>
      <c r="C766" s="3">
        <v>45216.029166666667</v>
      </c>
      <c r="D766" s="11">
        <f>Logs_reseau[[#This Row],[Duree_Panne_Min]]/1440</f>
        <v>4.9305555555555554E-2</v>
      </c>
      <c r="E766">
        <v>71</v>
      </c>
      <c r="F766" t="s">
        <v>1</v>
      </c>
      <c r="G766">
        <f>IFERROR(VLOOKUP(Logs_reseau[[#This Row],[Cell_ID]],'[1]Registre_Maintenance_combine '!A:C,3,FALSE),"Non trouvé")</f>
        <v>4.8319039999999998</v>
      </c>
      <c r="H766">
        <f>IFERROR(VLOOKUP(Logs_reseau[[#This Row],[Cell_ID]],'[1]Registre_Maintenance_combine '!A:D,4,FALSE),"Non trouvé")</f>
        <v>20.733468999999999</v>
      </c>
      <c r="I766" t="str">
        <f>IFERROR(VLOOKUP(Logs_reseau[[#This Row],[Cell_ID]],'[1]Registre_Maintenance_combine '!A:E,5,FALSE),"Non trouvé")</f>
        <v>5G</v>
      </c>
      <c r="J766" t="str">
        <f>IFERROR(VLOOKUP(Logs_reseau[[#This Row],[Cell_ID]],'[1]Registre_Maintenance_combine '!A:F,6,FALSE),"Non trouvé")</f>
        <v>Ericsson</v>
      </c>
    </row>
    <row r="767" spans="1:10" x14ac:dyDescent="0.25">
      <c r="A767" t="str">
        <f>IFERROR(VLOOKUP(Logs_reseau[[#This Row],[Cell_ID]],'[1]Registre_Maintenance_combine '!A:B,2,FALSE),"Non trouvé")</f>
        <v>Kwango</v>
      </c>
      <c r="B767" t="s">
        <v>182</v>
      </c>
      <c r="C767" s="3">
        <v>45208.713888888888</v>
      </c>
      <c r="D767" s="11">
        <f>Logs_reseau[[#This Row],[Duree_Panne_Min]]/1440</f>
        <v>1.5277777777777777E-2</v>
      </c>
      <c r="E767">
        <v>22</v>
      </c>
      <c r="F767" t="s">
        <v>1</v>
      </c>
      <c r="G767">
        <f>IFERROR(VLOOKUP(Logs_reseau[[#This Row],[Cell_ID]],'[1]Registre_Maintenance_combine '!A:C,3,FALSE),"Non trouvé")</f>
        <v>4.8319039999999998</v>
      </c>
      <c r="H767">
        <f>IFERROR(VLOOKUP(Logs_reseau[[#This Row],[Cell_ID]],'[1]Registre_Maintenance_combine '!A:D,4,FALSE),"Non trouvé")</f>
        <v>20.733468999999999</v>
      </c>
      <c r="I767" t="str">
        <f>IFERROR(VLOOKUP(Logs_reseau[[#This Row],[Cell_ID]],'[1]Registre_Maintenance_combine '!A:E,5,FALSE),"Non trouvé")</f>
        <v>5G</v>
      </c>
      <c r="J767" t="str">
        <f>IFERROR(VLOOKUP(Logs_reseau[[#This Row],[Cell_ID]],'[1]Registre_Maintenance_combine '!A:F,6,FALSE),"Non trouvé")</f>
        <v>Ericsson</v>
      </c>
    </row>
    <row r="768" spans="1:10" x14ac:dyDescent="0.25">
      <c r="A768" t="str">
        <f>IFERROR(VLOOKUP(Logs_reseau[[#This Row],[Cell_ID]],'[1]Registre_Maintenance_combine '!A:B,2,FALSE),"Non trouvé")</f>
        <v>Kwilu</v>
      </c>
      <c r="B768" t="s">
        <v>183</v>
      </c>
      <c r="C768" s="3">
        <v>45206.162499999999</v>
      </c>
      <c r="D768" s="11">
        <f>Logs_reseau[[#This Row],[Duree_Panne_Min]]/1440</f>
        <v>3.6805555555555557E-2</v>
      </c>
      <c r="E768">
        <v>53</v>
      </c>
      <c r="F768" t="s">
        <v>1</v>
      </c>
      <c r="G768">
        <f>IFERROR(VLOOKUP(Logs_reseau[[#This Row],[Cell_ID]],'[1]Registre_Maintenance_combine '!A:C,3,FALSE),"Non trouvé")</f>
        <v>-10.161428000000001</v>
      </c>
      <c r="H768">
        <f>IFERROR(VLOOKUP(Logs_reseau[[#This Row],[Cell_ID]],'[1]Registre_Maintenance_combine '!A:D,4,FALSE),"Non trouvé")</f>
        <v>19.362325999999999</v>
      </c>
      <c r="I768" t="str">
        <f>IFERROR(VLOOKUP(Logs_reseau[[#This Row],[Cell_ID]],'[1]Registre_Maintenance_combine '!A:E,5,FALSE),"Non trouvé")</f>
        <v>3G</v>
      </c>
      <c r="J768" t="str">
        <f>IFERROR(VLOOKUP(Logs_reseau[[#This Row],[Cell_ID]],'[1]Registre_Maintenance_combine '!A:F,6,FALSE),"Non trouvé")</f>
        <v>Nokia</v>
      </c>
    </row>
    <row r="769" spans="1:10" x14ac:dyDescent="0.25">
      <c r="A769" t="str">
        <f>IFERROR(VLOOKUP(Logs_reseau[[#This Row],[Cell_ID]],'[1]Registre_Maintenance_combine '!A:B,2,FALSE),"Non trouvé")</f>
        <v>Haut-Uele</v>
      </c>
      <c r="B769" t="s">
        <v>184</v>
      </c>
      <c r="C769" s="3">
        <v>45218.515972222223</v>
      </c>
      <c r="D769" s="11">
        <f>Logs_reseau[[#This Row],[Duree_Panne_Min]]/1440</f>
        <v>2.9166666666666667E-2</v>
      </c>
      <c r="E769">
        <v>42</v>
      </c>
      <c r="F769" t="s">
        <v>1</v>
      </c>
      <c r="G769">
        <f>IFERROR(VLOOKUP(Logs_reseau[[#This Row],[Cell_ID]],'[1]Registre_Maintenance_combine '!A:C,3,FALSE),"Non trouvé")</f>
        <v>1.2391989999999999</v>
      </c>
      <c r="H769">
        <f>IFERROR(VLOOKUP(Logs_reseau[[#This Row],[Cell_ID]],'[1]Registre_Maintenance_combine '!A:D,4,FALSE),"Non trouvé")</f>
        <v>15.386718999999999</v>
      </c>
      <c r="I769" t="str">
        <f>IFERROR(VLOOKUP(Logs_reseau[[#This Row],[Cell_ID]],'[1]Registre_Maintenance_combine '!A:E,5,FALSE),"Non trouvé")</f>
        <v>5G</v>
      </c>
      <c r="J769" t="str">
        <f>IFERROR(VLOOKUP(Logs_reseau[[#This Row],[Cell_ID]],'[1]Registre_Maintenance_combine '!A:F,6,FALSE),"Non trouvé")</f>
        <v>ZTE</v>
      </c>
    </row>
    <row r="770" spans="1:10" x14ac:dyDescent="0.25">
      <c r="A770" t="str">
        <f>IFERROR(VLOOKUP(Logs_reseau[[#This Row],[Cell_ID]],'[1]Registre_Maintenance_combine '!A:B,2,FALSE),"Non trouvé")</f>
        <v>Haut-Uele</v>
      </c>
      <c r="B770" t="s">
        <v>184</v>
      </c>
      <c r="C770" s="3">
        <v>45229.443749999999</v>
      </c>
      <c r="D770" s="11">
        <f>Logs_reseau[[#This Row],[Duree_Panne_Min]]/1440</f>
        <v>5.9722222222222225E-2</v>
      </c>
      <c r="E770">
        <v>86</v>
      </c>
      <c r="F770" t="s">
        <v>4</v>
      </c>
      <c r="G770">
        <f>IFERROR(VLOOKUP(Logs_reseau[[#This Row],[Cell_ID]],'[1]Registre_Maintenance_combine '!A:C,3,FALSE),"Non trouvé")</f>
        <v>1.2391989999999999</v>
      </c>
      <c r="H770">
        <f>IFERROR(VLOOKUP(Logs_reseau[[#This Row],[Cell_ID]],'[1]Registre_Maintenance_combine '!A:D,4,FALSE),"Non trouvé")</f>
        <v>15.386718999999999</v>
      </c>
      <c r="I770" t="str">
        <f>IFERROR(VLOOKUP(Logs_reseau[[#This Row],[Cell_ID]],'[1]Registre_Maintenance_combine '!A:E,5,FALSE),"Non trouvé")</f>
        <v>5G</v>
      </c>
      <c r="J770" t="str">
        <f>IFERROR(VLOOKUP(Logs_reseau[[#This Row],[Cell_ID]],'[1]Registre_Maintenance_combine '!A:F,6,FALSE),"Non trouvé")</f>
        <v>ZTE</v>
      </c>
    </row>
    <row r="771" spans="1:10" x14ac:dyDescent="0.25">
      <c r="A771" t="str">
        <f>IFERROR(VLOOKUP(Logs_reseau[[#This Row],[Cell_ID]],'[1]Registre_Maintenance_combine '!A:B,2,FALSE),"Non trouvé")</f>
        <v>Haut-Uele</v>
      </c>
      <c r="B771" t="s">
        <v>184</v>
      </c>
      <c r="C771" s="3">
        <v>45221.095833333333</v>
      </c>
      <c r="D771" s="11">
        <f>Logs_reseau[[#This Row],[Duree_Panne_Min]]/1440</f>
        <v>2.2916666666666665E-2</v>
      </c>
      <c r="E771">
        <v>33</v>
      </c>
      <c r="F771" t="s">
        <v>2</v>
      </c>
      <c r="G771">
        <f>IFERROR(VLOOKUP(Logs_reseau[[#This Row],[Cell_ID]],'[1]Registre_Maintenance_combine '!A:C,3,FALSE),"Non trouvé")</f>
        <v>1.2391989999999999</v>
      </c>
      <c r="H771">
        <f>IFERROR(VLOOKUP(Logs_reseau[[#This Row],[Cell_ID]],'[1]Registre_Maintenance_combine '!A:D,4,FALSE),"Non trouvé")</f>
        <v>15.386718999999999</v>
      </c>
      <c r="I771" t="str">
        <f>IFERROR(VLOOKUP(Logs_reseau[[#This Row],[Cell_ID]],'[1]Registre_Maintenance_combine '!A:E,5,FALSE),"Non trouvé")</f>
        <v>5G</v>
      </c>
      <c r="J771" t="str">
        <f>IFERROR(VLOOKUP(Logs_reseau[[#This Row],[Cell_ID]],'[1]Registre_Maintenance_combine '!A:F,6,FALSE),"Non trouvé")</f>
        <v>ZTE</v>
      </c>
    </row>
    <row r="772" spans="1:10" x14ac:dyDescent="0.25">
      <c r="A772" t="str">
        <f>IFERROR(VLOOKUP(Logs_reseau[[#This Row],[Cell_ID]],'[1]Registre_Maintenance_combine '!A:B,2,FALSE),"Non trouvé")</f>
        <v>Haut-Uele</v>
      </c>
      <c r="B772" t="s">
        <v>184</v>
      </c>
      <c r="C772" s="3">
        <v>45224.688194444447</v>
      </c>
      <c r="D772" s="11">
        <f>Logs_reseau[[#This Row],[Duree_Panne_Min]]/1440</f>
        <v>8.3333333333333329E-2</v>
      </c>
      <c r="E772">
        <v>120</v>
      </c>
      <c r="F772" t="s">
        <v>2</v>
      </c>
      <c r="G772">
        <f>IFERROR(VLOOKUP(Logs_reseau[[#This Row],[Cell_ID]],'[1]Registre_Maintenance_combine '!A:C,3,FALSE),"Non trouvé")</f>
        <v>1.2391989999999999</v>
      </c>
      <c r="H772">
        <f>IFERROR(VLOOKUP(Logs_reseau[[#This Row],[Cell_ID]],'[1]Registre_Maintenance_combine '!A:D,4,FALSE),"Non trouvé")</f>
        <v>15.386718999999999</v>
      </c>
      <c r="I772" t="str">
        <f>IFERROR(VLOOKUP(Logs_reseau[[#This Row],[Cell_ID]],'[1]Registre_Maintenance_combine '!A:E,5,FALSE),"Non trouvé")</f>
        <v>5G</v>
      </c>
      <c r="J772" t="str">
        <f>IFERROR(VLOOKUP(Logs_reseau[[#This Row],[Cell_ID]],'[1]Registre_Maintenance_combine '!A:F,6,FALSE),"Non trouvé")</f>
        <v>ZTE</v>
      </c>
    </row>
    <row r="773" spans="1:10" x14ac:dyDescent="0.25">
      <c r="A773" t="str">
        <f>IFERROR(VLOOKUP(Logs_reseau[[#This Row],[Cell_ID]],'[1]Registre_Maintenance_combine '!A:B,2,FALSE),"Non trouvé")</f>
        <v>Haut-Uele</v>
      </c>
      <c r="B773" t="s">
        <v>184</v>
      </c>
      <c r="C773" s="3">
        <v>45204.297222222223</v>
      </c>
      <c r="D773" s="11">
        <f>Logs_reseau[[#This Row],[Duree_Panne_Min]]/1440</f>
        <v>4.2361111111111113E-2</v>
      </c>
      <c r="E773">
        <v>61</v>
      </c>
      <c r="F773" t="s">
        <v>4</v>
      </c>
      <c r="G773">
        <f>IFERROR(VLOOKUP(Logs_reseau[[#This Row],[Cell_ID]],'[1]Registre_Maintenance_combine '!A:C,3,FALSE),"Non trouvé")</f>
        <v>1.2391989999999999</v>
      </c>
      <c r="H773">
        <f>IFERROR(VLOOKUP(Logs_reseau[[#This Row],[Cell_ID]],'[1]Registre_Maintenance_combine '!A:D,4,FALSE),"Non trouvé")</f>
        <v>15.386718999999999</v>
      </c>
      <c r="I773" t="str">
        <f>IFERROR(VLOOKUP(Logs_reseau[[#This Row],[Cell_ID]],'[1]Registre_Maintenance_combine '!A:E,5,FALSE),"Non trouvé")</f>
        <v>5G</v>
      </c>
      <c r="J773" t="str">
        <f>IFERROR(VLOOKUP(Logs_reseau[[#This Row],[Cell_ID]],'[1]Registre_Maintenance_combine '!A:F,6,FALSE),"Non trouvé")</f>
        <v>ZTE</v>
      </c>
    </row>
    <row r="774" spans="1:10" x14ac:dyDescent="0.25">
      <c r="A774" t="str">
        <f>IFERROR(VLOOKUP(Logs_reseau[[#This Row],[Cell_ID]],'[1]Registre_Maintenance_combine '!A:B,2,FALSE),"Non trouvé")</f>
        <v>Haut-Uele</v>
      </c>
      <c r="B774" t="s">
        <v>184</v>
      </c>
      <c r="C774" s="3">
        <v>45208.594444444447</v>
      </c>
      <c r="D774" s="11">
        <f>Logs_reseau[[#This Row],[Duree_Panne_Min]]/1440</f>
        <v>4.8611111111111112E-3</v>
      </c>
      <c r="E774">
        <v>7</v>
      </c>
      <c r="F774" t="s">
        <v>1</v>
      </c>
      <c r="G774">
        <f>IFERROR(VLOOKUP(Logs_reseau[[#This Row],[Cell_ID]],'[1]Registre_Maintenance_combine '!A:C,3,FALSE),"Non trouvé")</f>
        <v>1.2391989999999999</v>
      </c>
      <c r="H774">
        <f>IFERROR(VLOOKUP(Logs_reseau[[#This Row],[Cell_ID]],'[1]Registre_Maintenance_combine '!A:D,4,FALSE),"Non trouvé")</f>
        <v>15.386718999999999</v>
      </c>
      <c r="I774" t="str">
        <f>IFERROR(VLOOKUP(Logs_reseau[[#This Row],[Cell_ID]],'[1]Registre_Maintenance_combine '!A:E,5,FALSE),"Non trouvé")</f>
        <v>5G</v>
      </c>
      <c r="J774" t="str">
        <f>IFERROR(VLOOKUP(Logs_reseau[[#This Row],[Cell_ID]],'[1]Registre_Maintenance_combine '!A:F,6,FALSE),"Non trouvé")</f>
        <v>ZTE</v>
      </c>
    </row>
    <row r="775" spans="1:10" x14ac:dyDescent="0.25">
      <c r="A775" t="str">
        <f>IFERROR(VLOOKUP(Logs_reseau[[#This Row],[Cell_ID]],'[1]Registre_Maintenance_combine '!A:B,2,FALSE),"Non trouvé")</f>
        <v>Haut-Uele</v>
      </c>
      <c r="B775" t="s">
        <v>184</v>
      </c>
      <c r="C775" s="3">
        <v>45202.04791666667</v>
      </c>
      <c r="D775" s="11">
        <f>Logs_reseau[[#This Row],[Duree_Panne_Min]]/1440</f>
        <v>6.2500000000000003E-3</v>
      </c>
      <c r="E775">
        <v>9</v>
      </c>
      <c r="F775" t="s">
        <v>1</v>
      </c>
      <c r="G775">
        <f>IFERROR(VLOOKUP(Logs_reseau[[#This Row],[Cell_ID]],'[1]Registre_Maintenance_combine '!A:C,3,FALSE),"Non trouvé")</f>
        <v>1.2391989999999999</v>
      </c>
      <c r="H775">
        <f>IFERROR(VLOOKUP(Logs_reseau[[#This Row],[Cell_ID]],'[1]Registre_Maintenance_combine '!A:D,4,FALSE),"Non trouvé")</f>
        <v>15.386718999999999</v>
      </c>
      <c r="I775" t="str">
        <f>IFERROR(VLOOKUP(Logs_reseau[[#This Row],[Cell_ID]],'[1]Registre_Maintenance_combine '!A:E,5,FALSE),"Non trouvé")</f>
        <v>5G</v>
      </c>
      <c r="J775" t="str">
        <f>IFERROR(VLOOKUP(Logs_reseau[[#This Row],[Cell_ID]],'[1]Registre_Maintenance_combine '!A:F,6,FALSE),"Non trouvé")</f>
        <v>ZTE</v>
      </c>
    </row>
    <row r="776" spans="1:10" x14ac:dyDescent="0.25">
      <c r="A776" t="str">
        <f>IFERROR(VLOOKUP(Logs_reseau[[#This Row],[Cell_ID]],'[1]Registre_Maintenance_combine '!A:B,2,FALSE),"Non trouvé")</f>
        <v>Haut-Uele</v>
      </c>
      <c r="B776" t="s">
        <v>184</v>
      </c>
      <c r="C776" s="3">
        <v>45207.987500000003</v>
      </c>
      <c r="D776" s="11">
        <f>Logs_reseau[[#This Row],[Duree_Panne_Min]]/1440</f>
        <v>1.4583333333333334E-2</v>
      </c>
      <c r="E776">
        <v>21</v>
      </c>
      <c r="F776" t="s">
        <v>4</v>
      </c>
      <c r="G776">
        <f>IFERROR(VLOOKUP(Logs_reseau[[#This Row],[Cell_ID]],'[1]Registre_Maintenance_combine '!A:C,3,FALSE),"Non trouvé")</f>
        <v>1.2391989999999999</v>
      </c>
      <c r="H776">
        <f>IFERROR(VLOOKUP(Logs_reseau[[#This Row],[Cell_ID]],'[1]Registre_Maintenance_combine '!A:D,4,FALSE),"Non trouvé")</f>
        <v>15.386718999999999</v>
      </c>
      <c r="I776" t="str">
        <f>IFERROR(VLOOKUP(Logs_reseau[[#This Row],[Cell_ID]],'[1]Registre_Maintenance_combine '!A:E,5,FALSE),"Non trouvé")</f>
        <v>5G</v>
      </c>
      <c r="J776" t="str">
        <f>IFERROR(VLOOKUP(Logs_reseau[[#This Row],[Cell_ID]],'[1]Registre_Maintenance_combine '!A:F,6,FALSE),"Non trouvé")</f>
        <v>ZTE</v>
      </c>
    </row>
    <row r="777" spans="1:10" x14ac:dyDescent="0.25">
      <c r="A777" t="str">
        <f>IFERROR(VLOOKUP(Logs_reseau[[#This Row],[Cell_ID]],'[1]Registre_Maintenance_combine '!A:B,2,FALSE),"Non trouvé")</f>
        <v>Non trouvé</v>
      </c>
      <c r="B777" t="s">
        <v>185</v>
      </c>
      <c r="C777" s="3">
        <v>45208.847916666666</v>
      </c>
      <c r="D777" s="11">
        <f>Logs_reseau[[#This Row],[Duree_Panne_Min]]/1440</f>
        <v>6.805555555555555E-2</v>
      </c>
      <c r="E777">
        <v>98</v>
      </c>
      <c r="F777" t="s">
        <v>2</v>
      </c>
      <c r="G777" t="str">
        <f>IFERROR(VLOOKUP(Logs_reseau[[#This Row],[Cell_ID]],'[1]Registre_Maintenance_combine '!A:C,3,FALSE),"Non trouvé")</f>
        <v>Non trouvé</v>
      </c>
      <c r="H777" t="str">
        <f>IFERROR(VLOOKUP(Logs_reseau[[#This Row],[Cell_ID]],'[1]Registre_Maintenance_combine '!A:D,4,FALSE),"Non trouvé")</f>
        <v>Non trouvé</v>
      </c>
      <c r="I777" t="str">
        <f>IFERROR(VLOOKUP(Logs_reseau[[#This Row],[Cell_ID]],'[1]Registre_Maintenance_combine '!A:E,5,FALSE),"Non trouvé")</f>
        <v>Non trouvé</v>
      </c>
      <c r="J777" t="str">
        <f>IFERROR(VLOOKUP(Logs_reseau[[#This Row],[Cell_ID]],'[1]Registre_Maintenance_combine '!A:F,6,FALSE),"Non trouvé")</f>
        <v>Non trouvé</v>
      </c>
    </row>
    <row r="778" spans="1:10" x14ac:dyDescent="0.25">
      <c r="A778" t="str">
        <f>IFERROR(VLOOKUP(Logs_reseau[[#This Row],[Cell_ID]],'[1]Registre_Maintenance_combine '!A:B,2,FALSE),"Non trouvé")</f>
        <v>Non trouvé</v>
      </c>
      <c r="B778" t="s">
        <v>185</v>
      </c>
      <c r="C778" s="3">
        <v>45221.870833333334</v>
      </c>
      <c r="D778" s="11">
        <f>Logs_reseau[[#This Row],[Duree_Panne_Min]]/1440</f>
        <v>5.9722222222222225E-2</v>
      </c>
      <c r="E778">
        <v>86</v>
      </c>
      <c r="F778" t="s">
        <v>4</v>
      </c>
      <c r="G778" t="str">
        <f>IFERROR(VLOOKUP(Logs_reseau[[#This Row],[Cell_ID]],'[1]Registre_Maintenance_combine '!A:C,3,FALSE),"Non trouvé")</f>
        <v>Non trouvé</v>
      </c>
      <c r="H778" t="str">
        <f>IFERROR(VLOOKUP(Logs_reseau[[#This Row],[Cell_ID]],'[1]Registre_Maintenance_combine '!A:D,4,FALSE),"Non trouvé")</f>
        <v>Non trouvé</v>
      </c>
      <c r="I778" t="str">
        <f>IFERROR(VLOOKUP(Logs_reseau[[#This Row],[Cell_ID]],'[1]Registre_Maintenance_combine '!A:E,5,FALSE),"Non trouvé")</f>
        <v>Non trouvé</v>
      </c>
      <c r="J778" t="str">
        <f>IFERROR(VLOOKUP(Logs_reseau[[#This Row],[Cell_ID]],'[1]Registre_Maintenance_combine '!A:F,6,FALSE),"Non trouvé")</f>
        <v>Non trouvé</v>
      </c>
    </row>
    <row r="779" spans="1:10" x14ac:dyDescent="0.25">
      <c r="A779" t="str">
        <f>IFERROR(VLOOKUP(Logs_reseau[[#This Row],[Cell_ID]],'[1]Registre_Maintenance_combine '!A:B,2,FALSE),"Non trouvé")</f>
        <v>Non trouvé</v>
      </c>
      <c r="B779" t="s">
        <v>185</v>
      </c>
      <c r="C779" s="3">
        <v>45204.054861111108</v>
      </c>
      <c r="D779" s="11">
        <f>Logs_reseau[[#This Row],[Duree_Panne_Min]]/1440</f>
        <v>5.5555555555555558E-3</v>
      </c>
      <c r="E779">
        <v>8</v>
      </c>
      <c r="F779" t="s">
        <v>2</v>
      </c>
      <c r="G779" t="str">
        <f>IFERROR(VLOOKUP(Logs_reseau[[#This Row],[Cell_ID]],'[1]Registre_Maintenance_combine '!A:C,3,FALSE),"Non trouvé")</f>
        <v>Non trouvé</v>
      </c>
      <c r="H779" t="str">
        <f>IFERROR(VLOOKUP(Logs_reseau[[#This Row],[Cell_ID]],'[1]Registre_Maintenance_combine '!A:D,4,FALSE),"Non trouvé")</f>
        <v>Non trouvé</v>
      </c>
      <c r="I779" t="str">
        <f>IFERROR(VLOOKUP(Logs_reseau[[#This Row],[Cell_ID]],'[1]Registre_Maintenance_combine '!A:E,5,FALSE),"Non trouvé")</f>
        <v>Non trouvé</v>
      </c>
      <c r="J779" t="str">
        <f>IFERROR(VLOOKUP(Logs_reseau[[#This Row],[Cell_ID]],'[1]Registre_Maintenance_combine '!A:F,6,FALSE),"Non trouvé")</f>
        <v>Non trouvé</v>
      </c>
    </row>
    <row r="780" spans="1:10" x14ac:dyDescent="0.25">
      <c r="A780" t="str">
        <f>IFERROR(VLOOKUP(Logs_reseau[[#This Row],[Cell_ID]],'[1]Registre_Maintenance_combine '!A:B,2,FALSE),"Non trouvé")</f>
        <v>Non trouvé</v>
      </c>
      <c r="B780" t="s">
        <v>185</v>
      </c>
      <c r="C780" s="3">
        <v>45204.612500000003</v>
      </c>
      <c r="D780" s="11">
        <f>Logs_reseau[[#This Row],[Duree_Panne_Min]]/1440</f>
        <v>4.791666666666667E-2</v>
      </c>
      <c r="E780">
        <v>69</v>
      </c>
      <c r="F780" t="s">
        <v>1</v>
      </c>
      <c r="G780" t="str">
        <f>IFERROR(VLOOKUP(Logs_reseau[[#This Row],[Cell_ID]],'[1]Registre_Maintenance_combine '!A:C,3,FALSE),"Non trouvé")</f>
        <v>Non trouvé</v>
      </c>
      <c r="H780" t="str">
        <f>IFERROR(VLOOKUP(Logs_reseau[[#This Row],[Cell_ID]],'[1]Registre_Maintenance_combine '!A:D,4,FALSE),"Non trouvé")</f>
        <v>Non trouvé</v>
      </c>
      <c r="I780" t="str">
        <f>IFERROR(VLOOKUP(Logs_reseau[[#This Row],[Cell_ID]],'[1]Registre_Maintenance_combine '!A:E,5,FALSE),"Non trouvé")</f>
        <v>Non trouvé</v>
      </c>
      <c r="J780" t="str">
        <f>IFERROR(VLOOKUP(Logs_reseau[[#This Row],[Cell_ID]],'[1]Registre_Maintenance_combine '!A:F,6,FALSE),"Non trouvé")</f>
        <v>Non trouvé</v>
      </c>
    </row>
    <row r="781" spans="1:10" x14ac:dyDescent="0.25">
      <c r="A781" t="str">
        <f>IFERROR(VLOOKUP(Logs_reseau[[#This Row],[Cell_ID]],'[1]Registre_Maintenance_combine '!A:B,2,FALSE),"Non trouvé")</f>
        <v>Non trouvé</v>
      </c>
      <c r="B781" t="s">
        <v>185</v>
      </c>
      <c r="C781" s="3">
        <v>45207.40625</v>
      </c>
      <c r="D781" s="11">
        <f>Logs_reseau[[#This Row],[Duree_Panne_Min]]/1440</f>
        <v>3.5416666666666666E-2</v>
      </c>
      <c r="E781">
        <v>51</v>
      </c>
      <c r="F781" t="s">
        <v>4</v>
      </c>
      <c r="G781" t="str">
        <f>IFERROR(VLOOKUP(Logs_reseau[[#This Row],[Cell_ID]],'[1]Registre_Maintenance_combine '!A:C,3,FALSE),"Non trouvé")</f>
        <v>Non trouvé</v>
      </c>
      <c r="H781" t="str">
        <f>IFERROR(VLOOKUP(Logs_reseau[[#This Row],[Cell_ID]],'[1]Registre_Maintenance_combine '!A:D,4,FALSE),"Non trouvé")</f>
        <v>Non trouvé</v>
      </c>
      <c r="I781" t="str">
        <f>IFERROR(VLOOKUP(Logs_reseau[[#This Row],[Cell_ID]],'[1]Registre_Maintenance_combine '!A:E,5,FALSE),"Non trouvé")</f>
        <v>Non trouvé</v>
      </c>
      <c r="J781" t="str">
        <f>IFERROR(VLOOKUP(Logs_reseau[[#This Row],[Cell_ID]],'[1]Registre_Maintenance_combine '!A:F,6,FALSE),"Non trouvé")</f>
        <v>Non trouvé</v>
      </c>
    </row>
    <row r="782" spans="1:10" x14ac:dyDescent="0.25">
      <c r="A782" t="str">
        <f>IFERROR(VLOOKUP(Logs_reseau[[#This Row],[Cell_ID]],'[1]Registre_Maintenance_combine '!A:B,2,FALSE),"Non trouvé")</f>
        <v>Non trouvé</v>
      </c>
      <c r="B782" t="s">
        <v>185</v>
      </c>
      <c r="C782" s="3">
        <v>45227.839583333334</v>
      </c>
      <c r="D782" s="11">
        <f>Logs_reseau[[#This Row],[Duree_Panne_Min]]/1440</f>
        <v>7.2916666666666671E-2</v>
      </c>
      <c r="E782">
        <v>105</v>
      </c>
      <c r="F782" t="s">
        <v>1</v>
      </c>
      <c r="G782" t="str">
        <f>IFERROR(VLOOKUP(Logs_reseau[[#This Row],[Cell_ID]],'[1]Registre_Maintenance_combine '!A:C,3,FALSE),"Non trouvé")</f>
        <v>Non trouvé</v>
      </c>
      <c r="H782" t="str">
        <f>IFERROR(VLOOKUP(Logs_reseau[[#This Row],[Cell_ID]],'[1]Registre_Maintenance_combine '!A:D,4,FALSE),"Non trouvé")</f>
        <v>Non trouvé</v>
      </c>
      <c r="I782" t="str">
        <f>IFERROR(VLOOKUP(Logs_reseau[[#This Row],[Cell_ID]],'[1]Registre_Maintenance_combine '!A:E,5,FALSE),"Non trouvé")</f>
        <v>Non trouvé</v>
      </c>
      <c r="J782" t="str">
        <f>IFERROR(VLOOKUP(Logs_reseau[[#This Row],[Cell_ID]],'[1]Registre_Maintenance_combine '!A:F,6,FALSE),"Non trouvé")</f>
        <v>Non trouvé</v>
      </c>
    </row>
    <row r="783" spans="1:10" x14ac:dyDescent="0.25">
      <c r="A783" t="str">
        <f>IFERROR(VLOOKUP(Logs_reseau[[#This Row],[Cell_ID]],'[1]Registre_Maintenance_combine '!A:B,2,FALSE),"Non trouvé")</f>
        <v>Nord-Kivu</v>
      </c>
      <c r="B783" t="s">
        <v>186</v>
      </c>
      <c r="C783" s="3">
        <v>45220.830555555556</v>
      </c>
      <c r="D783" s="11">
        <f>Logs_reseau[[#This Row],[Duree_Panne_Min]]/1440</f>
        <v>6.9444444444444448E-2</v>
      </c>
      <c r="E783">
        <v>100</v>
      </c>
      <c r="F783" t="s">
        <v>4</v>
      </c>
      <c r="G783">
        <f>IFERROR(VLOOKUP(Logs_reseau[[#This Row],[Cell_ID]],'[1]Registre_Maintenance_combine '!A:C,3,FALSE),"Non trouvé")</f>
        <v>-6.0234120000000004</v>
      </c>
      <c r="H783">
        <f>IFERROR(VLOOKUP(Logs_reseau[[#This Row],[Cell_ID]],'[1]Registre_Maintenance_combine '!A:D,4,FALSE),"Non trouvé")</f>
        <v>18.314309999999999</v>
      </c>
      <c r="I783" t="str">
        <f>IFERROR(VLOOKUP(Logs_reseau[[#This Row],[Cell_ID]],'[1]Registre_Maintenance_combine '!A:E,5,FALSE),"Non trouvé")</f>
        <v>5G</v>
      </c>
      <c r="J783" t="str">
        <f>IFERROR(VLOOKUP(Logs_reseau[[#This Row],[Cell_ID]],'[1]Registre_Maintenance_combine '!A:F,6,FALSE),"Non trouvé")</f>
        <v>ZTE</v>
      </c>
    </row>
    <row r="784" spans="1:10" x14ac:dyDescent="0.25">
      <c r="A784" t="str">
        <f>IFERROR(VLOOKUP(Logs_reseau[[#This Row],[Cell_ID]],'[1]Registre_Maintenance_combine '!A:B,2,FALSE),"Non trouvé")</f>
        <v>Nord-Kivu</v>
      </c>
      <c r="B784" t="s">
        <v>186</v>
      </c>
      <c r="C784" s="3">
        <v>45230.788888888892</v>
      </c>
      <c r="D784" s="11">
        <f>Logs_reseau[[#This Row],[Duree_Panne_Min]]/1440</f>
        <v>1.9444444444444445E-2</v>
      </c>
      <c r="E784">
        <v>28</v>
      </c>
      <c r="F784" t="s">
        <v>1</v>
      </c>
      <c r="G784">
        <f>IFERROR(VLOOKUP(Logs_reseau[[#This Row],[Cell_ID]],'[1]Registre_Maintenance_combine '!A:C,3,FALSE),"Non trouvé")</f>
        <v>-6.0234120000000004</v>
      </c>
      <c r="H784">
        <f>IFERROR(VLOOKUP(Logs_reseau[[#This Row],[Cell_ID]],'[1]Registre_Maintenance_combine '!A:D,4,FALSE),"Non trouvé")</f>
        <v>18.314309999999999</v>
      </c>
      <c r="I784" t="str">
        <f>IFERROR(VLOOKUP(Logs_reseau[[#This Row],[Cell_ID]],'[1]Registre_Maintenance_combine '!A:E,5,FALSE),"Non trouvé")</f>
        <v>5G</v>
      </c>
      <c r="J784" t="str">
        <f>IFERROR(VLOOKUP(Logs_reseau[[#This Row],[Cell_ID]],'[1]Registre_Maintenance_combine '!A:F,6,FALSE),"Non trouvé")</f>
        <v>ZTE</v>
      </c>
    </row>
    <row r="785" spans="1:10" x14ac:dyDescent="0.25">
      <c r="A785" t="str">
        <f>IFERROR(VLOOKUP(Logs_reseau[[#This Row],[Cell_ID]],'[1]Registre_Maintenance_combine '!A:B,2,FALSE),"Non trouvé")</f>
        <v>Nord-Kivu</v>
      </c>
      <c r="B785" t="s">
        <v>186</v>
      </c>
      <c r="C785" s="3">
        <v>45222.40347222222</v>
      </c>
      <c r="D785" s="11">
        <f>Logs_reseau[[#This Row],[Duree_Panne_Min]]/1440</f>
        <v>2.8472222222222222E-2</v>
      </c>
      <c r="E785">
        <v>41</v>
      </c>
      <c r="F785" t="s">
        <v>1</v>
      </c>
      <c r="G785">
        <f>IFERROR(VLOOKUP(Logs_reseau[[#This Row],[Cell_ID]],'[1]Registre_Maintenance_combine '!A:C,3,FALSE),"Non trouvé")</f>
        <v>-6.0234120000000004</v>
      </c>
      <c r="H785">
        <f>IFERROR(VLOOKUP(Logs_reseau[[#This Row],[Cell_ID]],'[1]Registre_Maintenance_combine '!A:D,4,FALSE),"Non trouvé")</f>
        <v>18.314309999999999</v>
      </c>
      <c r="I785" t="str">
        <f>IFERROR(VLOOKUP(Logs_reseau[[#This Row],[Cell_ID]],'[1]Registre_Maintenance_combine '!A:E,5,FALSE),"Non trouvé")</f>
        <v>5G</v>
      </c>
      <c r="J785" t="str">
        <f>IFERROR(VLOOKUP(Logs_reseau[[#This Row],[Cell_ID]],'[1]Registre_Maintenance_combine '!A:F,6,FALSE),"Non trouvé")</f>
        <v>ZTE</v>
      </c>
    </row>
    <row r="786" spans="1:10" x14ac:dyDescent="0.25">
      <c r="A786" t="str">
        <f>IFERROR(VLOOKUP(Logs_reseau[[#This Row],[Cell_ID]],'[1]Registre_Maintenance_combine '!A:B,2,FALSE),"Non trouvé")</f>
        <v>Nord-Kivu</v>
      </c>
      <c r="B786" t="s">
        <v>186</v>
      </c>
      <c r="C786" s="3">
        <v>45221.928472222222</v>
      </c>
      <c r="D786" s="11">
        <f>Logs_reseau[[#This Row],[Duree_Panne_Min]]/1440</f>
        <v>6.1111111111111109E-2</v>
      </c>
      <c r="E786">
        <v>88</v>
      </c>
      <c r="F786" t="s">
        <v>2</v>
      </c>
      <c r="G786">
        <f>IFERROR(VLOOKUP(Logs_reseau[[#This Row],[Cell_ID]],'[1]Registre_Maintenance_combine '!A:C,3,FALSE),"Non trouvé")</f>
        <v>-6.0234120000000004</v>
      </c>
      <c r="H786">
        <f>IFERROR(VLOOKUP(Logs_reseau[[#This Row],[Cell_ID]],'[1]Registre_Maintenance_combine '!A:D,4,FALSE),"Non trouvé")</f>
        <v>18.314309999999999</v>
      </c>
      <c r="I786" t="str">
        <f>IFERROR(VLOOKUP(Logs_reseau[[#This Row],[Cell_ID]],'[1]Registre_Maintenance_combine '!A:E,5,FALSE),"Non trouvé")</f>
        <v>5G</v>
      </c>
      <c r="J786" t="str">
        <f>IFERROR(VLOOKUP(Logs_reseau[[#This Row],[Cell_ID]],'[1]Registre_Maintenance_combine '!A:F,6,FALSE),"Non trouvé")</f>
        <v>ZTE</v>
      </c>
    </row>
    <row r="787" spans="1:10" x14ac:dyDescent="0.25">
      <c r="A787" t="str">
        <f>IFERROR(VLOOKUP(Logs_reseau[[#This Row],[Cell_ID]],'[1]Registre_Maintenance_combine '!A:B,2,FALSE),"Non trouvé")</f>
        <v>Haut-Uele</v>
      </c>
      <c r="B787" t="s">
        <v>187</v>
      </c>
      <c r="C787" s="3">
        <v>45228.240972222222</v>
      </c>
      <c r="D787" s="11">
        <f>Logs_reseau[[#This Row],[Duree_Panne_Min]]/1440</f>
        <v>1.8055555555555554E-2</v>
      </c>
      <c r="E787">
        <v>26</v>
      </c>
      <c r="F787" t="s">
        <v>4</v>
      </c>
      <c r="G787">
        <f>IFERROR(VLOOKUP(Logs_reseau[[#This Row],[Cell_ID]],'[1]Registre_Maintenance_combine '!A:C,3,FALSE),"Non trouvé")</f>
        <v>-2.5254650000000001</v>
      </c>
      <c r="H787">
        <f>IFERROR(VLOOKUP(Logs_reseau[[#This Row],[Cell_ID]],'[1]Registre_Maintenance_combine '!A:D,4,FALSE),"Non trouvé")</f>
        <v>21.338113</v>
      </c>
      <c r="I787" t="str">
        <f>IFERROR(VLOOKUP(Logs_reseau[[#This Row],[Cell_ID]],'[1]Registre_Maintenance_combine '!A:E,5,FALSE),"Non trouvé")</f>
        <v>5G</v>
      </c>
      <c r="J787" t="str">
        <f>IFERROR(VLOOKUP(Logs_reseau[[#This Row],[Cell_ID]],'[1]Registre_Maintenance_combine '!A:F,6,FALSE),"Non trouvé")</f>
        <v>Nokia</v>
      </c>
    </row>
    <row r="788" spans="1:10" x14ac:dyDescent="0.25">
      <c r="A788" t="str">
        <f>IFERROR(VLOOKUP(Logs_reseau[[#This Row],[Cell_ID]],'[1]Registre_Maintenance_combine '!A:B,2,FALSE),"Non trouvé")</f>
        <v>Non trouvé</v>
      </c>
      <c r="B788" t="s">
        <v>188</v>
      </c>
      <c r="C788" s="3">
        <v>45201.856944444444</v>
      </c>
      <c r="D788" s="11">
        <f>Logs_reseau[[#This Row],[Duree_Panne_Min]]/1440</f>
        <v>1.3194444444444444E-2</v>
      </c>
      <c r="E788">
        <v>19</v>
      </c>
      <c r="F788" t="s">
        <v>1</v>
      </c>
      <c r="G788" t="str">
        <f>IFERROR(VLOOKUP(Logs_reseau[[#This Row],[Cell_ID]],'[1]Registre_Maintenance_combine '!A:C,3,FALSE),"Non trouvé")</f>
        <v>Non trouvé</v>
      </c>
      <c r="H788" t="str">
        <f>IFERROR(VLOOKUP(Logs_reseau[[#This Row],[Cell_ID]],'[1]Registre_Maintenance_combine '!A:D,4,FALSE),"Non trouvé")</f>
        <v>Non trouvé</v>
      </c>
      <c r="I788" t="str">
        <f>IFERROR(VLOOKUP(Logs_reseau[[#This Row],[Cell_ID]],'[1]Registre_Maintenance_combine '!A:E,5,FALSE),"Non trouvé")</f>
        <v>Non trouvé</v>
      </c>
      <c r="J788" t="str">
        <f>IFERROR(VLOOKUP(Logs_reseau[[#This Row],[Cell_ID]],'[1]Registre_Maintenance_combine '!A:F,6,FALSE),"Non trouvé")</f>
        <v>Non trouvé</v>
      </c>
    </row>
    <row r="789" spans="1:10" x14ac:dyDescent="0.25">
      <c r="A789" t="str">
        <f>IFERROR(VLOOKUP(Logs_reseau[[#This Row],[Cell_ID]],'[1]Registre_Maintenance_combine '!A:B,2,FALSE),"Non trouvé")</f>
        <v>Non trouvé</v>
      </c>
      <c r="B789" t="s">
        <v>188</v>
      </c>
      <c r="C789" s="3">
        <v>45216.370138888888</v>
      </c>
      <c r="D789" s="11">
        <f>Logs_reseau[[#This Row],[Duree_Panne_Min]]/1440</f>
        <v>5.1388888888888887E-2</v>
      </c>
      <c r="E789">
        <v>74</v>
      </c>
      <c r="F789" t="s">
        <v>4</v>
      </c>
      <c r="G789" t="str">
        <f>IFERROR(VLOOKUP(Logs_reseau[[#This Row],[Cell_ID]],'[1]Registre_Maintenance_combine '!A:C,3,FALSE),"Non trouvé")</f>
        <v>Non trouvé</v>
      </c>
      <c r="H789" t="str">
        <f>IFERROR(VLOOKUP(Logs_reseau[[#This Row],[Cell_ID]],'[1]Registre_Maintenance_combine '!A:D,4,FALSE),"Non trouvé")</f>
        <v>Non trouvé</v>
      </c>
      <c r="I789" t="str">
        <f>IFERROR(VLOOKUP(Logs_reseau[[#This Row],[Cell_ID]],'[1]Registre_Maintenance_combine '!A:E,5,FALSE),"Non trouvé")</f>
        <v>Non trouvé</v>
      </c>
      <c r="J789" t="str">
        <f>IFERROR(VLOOKUP(Logs_reseau[[#This Row],[Cell_ID]],'[1]Registre_Maintenance_combine '!A:F,6,FALSE),"Non trouvé")</f>
        <v>Non trouvé</v>
      </c>
    </row>
    <row r="790" spans="1:10" x14ac:dyDescent="0.25">
      <c r="A790" t="str">
        <f>IFERROR(VLOOKUP(Logs_reseau[[#This Row],[Cell_ID]],'[1]Registre_Maintenance_combine '!A:B,2,FALSE),"Non trouvé")</f>
        <v>Non trouvé</v>
      </c>
      <c r="B790" t="s">
        <v>188</v>
      </c>
      <c r="C790" s="3">
        <v>45227.407638888886</v>
      </c>
      <c r="D790" s="11">
        <f>Logs_reseau[[#This Row],[Duree_Panne_Min]]/1440</f>
        <v>4.3749999999999997E-2</v>
      </c>
      <c r="E790">
        <v>63</v>
      </c>
      <c r="F790" t="s">
        <v>1</v>
      </c>
      <c r="G790" t="str">
        <f>IFERROR(VLOOKUP(Logs_reseau[[#This Row],[Cell_ID]],'[1]Registre_Maintenance_combine '!A:C,3,FALSE),"Non trouvé")</f>
        <v>Non trouvé</v>
      </c>
      <c r="H790" t="str">
        <f>IFERROR(VLOOKUP(Logs_reseau[[#This Row],[Cell_ID]],'[1]Registre_Maintenance_combine '!A:D,4,FALSE),"Non trouvé")</f>
        <v>Non trouvé</v>
      </c>
      <c r="I790" t="str">
        <f>IFERROR(VLOOKUP(Logs_reseau[[#This Row],[Cell_ID]],'[1]Registre_Maintenance_combine '!A:E,5,FALSE),"Non trouvé")</f>
        <v>Non trouvé</v>
      </c>
      <c r="J790" t="str">
        <f>IFERROR(VLOOKUP(Logs_reseau[[#This Row],[Cell_ID]],'[1]Registre_Maintenance_combine '!A:F,6,FALSE),"Non trouvé")</f>
        <v>Non trouvé</v>
      </c>
    </row>
    <row r="791" spans="1:10" x14ac:dyDescent="0.25">
      <c r="A791" t="str">
        <f>IFERROR(VLOOKUP(Logs_reseau[[#This Row],[Cell_ID]],'[1]Registre_Maintenance_combine '!A:B,2,FALSE),"Non trouvé")</f>
        <v>Non trouvé</v>
      </c>
      <c r="B791" t="s">
        <v>188</v>
      </c>
      <c r="C791" s="3">
        <v>45226.895138888889</v>
      </c>
      <c r="D791" s="11">
        <f>Logs_reseau[[#This Row],[Duree_Panne_Min]]/1440</f>
        <v>5.2777777777777778E-2</v>
      </c>
      <c r="E791">
        <v>76</v>
      </c>
      <c r="F791" t="s">
        <v>2</v>
      </c>
      <c r="G791" t="str">
        <f>IFERROR(VLOOKUP(Logs_reseau[[#This Row],[Cell_ID]],'[1]Registre_Maintenance_combine '!A:C,3,FALSE),"Non trouvé")</f>
        <v>Non trouvé</v>
      </c>
      <c r="H791" t="str">
        <f>IFERROR(VLOOKUP(Logs_reseau[[#This Row],[Cell_ID]],'[1]Registre_Maintenance_combine '!A:D,4,FALSE),"Non trouvé")</f>
        <v>Non trouvé</v>
      </c>
      <c r="I791" t="str">
        <f>IFERROR(VLOOKUP(Logs_reseau[[#This Row],[Cell_ID]],'[1]Registre_Maintenance_combine '!A:E,5,FALSE),"Non trouvé")</f>
        <v>Non trouvé</v>
      </c>
      <c r="J791" t="str">
        <f>IFERROR(VLOOKUP(Logs_reseau[[#This Row],[Cell_ID]],'[1]Registre_Maintenance_combine '!A:F,6,FALSE),"Non trouvé")</f>
        <v>Non trouvé</v>
      </c>
    </row>
    <row r="792" spans="1:10" x14ac:dyDescent="0.25">
      <c r="A792" t="str">
        <f>IFERROR(VLOOKUP(Logs_reseau[[#This Row],[Cell_ID]],'[1]Registre_Maintenance_combine '!A:B,2,FALSE),"Non trouvé")</f>
        <v>Non trouvé</v>
      </c>
      <c r="B792" t="s">
        <v>189</v>
      </c>
      <c r="C792" s="3">
        <v>45215.715277777781</v>
      </c>
      <c r="D792" s="11">
        <f>Logs_reseau[[#This Row],[Duree_Panne_Min]]/1440</f>
        <v>7.8472222222222221E-2</v>
      </c>
      <c r="E792">
        <v>113</v>
      </c>
      <c r="F792" t="s">
        <v>1</v>
      </c>
      <c r="G792" t="str">
        <f>IFERROR(VLOOKUP(Logs_reseau[[#This Row],[Cell_ID]],'[1]Registre_Maintenance_combine '!A:C,3,FALSE),"Non trouvé")</f>
        <v>Non trouvé</v>
      </c>
      <c r="H792" t="str">
        <f>IFERROR(VLOOKUP(Logs_reseau[[#This Row],[Cell_ID]],'[1]Registre_Maintenance_combine '!A:D,4,FALSE),"Non trouvé")</f>
        <v>Non trouvé</v>
      </c>
      <c r="I792" t="str">
        <f>IFERROR(VLOOKUP(Logs_reseau[[#This Row],[Cell_ID]],'[1]Registre_Maintenance_combine '!A:E,5,FALSE),"Non trouvé")</f>
        <v>Non trouvé</v>
      </c>
      <c r="J792" t="str">
        <f>IFERROR(VLOOKUP(Logs_reseau[[#This Row],[Cell_ID]],'[1]Registre_Maintenance_combine '!A:F,6,FALSE),"Non trouvé")</f>
        <v>Non trouvé</v>
      </c>
    </row>
    <row r="793" spans="1:10" x14ac:dyDescent="0.25">
      <c r="A793" t="str">
        <f>IFERROR(VLOOKUP(Logs_reseau[[#This Row],[Cell_ID]],'[1]Registre_Maintenance_combine '!A:B,2,FALSE),"Non trouvé")</f>
        <v>Non trouvé</v>
      </c>
      <c r="B793" t="s">
        <v>189</v>
      </c>
      <c r="C793" s="3">
        <v>45226.013194444444</v>
      </c>
      <c r="D793" s="11">
        <f>Logs_reseau[[#This Row],[Duree_Panne_Min]]/1440</f>
        <v>4.9305555555555554E-2</v>
      </c>
      <c r="E793">
        <v>71</v>
      </c>
      <c r="F793" t="s">
        <v>1</v>
      </c>
      <c r="G793" t="str">
        <f>IFERROR(VLOOKUP(Logs_reseau[[#This Row],[Cell_ID]],'[1]Registre_Maintenance_combine '!A:C,3,FALSE),"Non trouvé")</f>
        <v>Non trouvé</v>
      </c>
      <c r="H793" t="str">
        <f>IFERROR(VLOOKUP(Logs_reseau[[#This Row],[Cell_ID]],'[1]Registre_Maintenance_combine '!A:D,4,FALSE),"Non trouvé")</f>
        <v>Non trouvé</v>
      </c>
      <c r="I793" t="str">
        <f>IFERROR(VLOOKUP(Logs_reseau[[#This Row],[Cell_ID]],'[1]Registre_Maintenance_combine '!A:E,5,FALSE),"Non trouvé")</f>
        <v>Non trouvé</v>
      </c>
      <c r="J793" t="str">
        <f>IFERROR(VLOOKUP(Logs_reseau[[#This Row],[Cell_ID]],'[1]Registre_Maintenance_combine '!A:F,6,FALSE),"Non trouvé")</f>
        <v>Non trouvé</v>
      </c>
    </row>
    <row r="794" spans="1:10" x14ac:dyDescent="0.25">
      <c r="A794" t="str">
        <f>IFERROR(VLOOKUP(Logs_reseau[[#This Row],[Cell_ID]],'[1]Registre_Maintenance_combine '!A:B,2,FALSE),"Non trouvé")</f>
        <v>Non trouvé</v>
      </c>
      <c r="B794" t="s">
        <v>189</v>
      </c>
      <c r="C794" s="3">
        <v>45210.61041666667</v>
      </c>
      <c r="D794" s="11">
        <f>Logs_reseau[[#This Row],[Duree_Panne_Min]]/1440</f>
        <v>1.8055555555555554E-2</v>
      </c>
      <c r="E794">
        <v>26</v>
      </c>
      <c r="F794" t="s">
        <v>4</v>
      </c>
      <c r="G794" t="str">
        <f>IFERROR(VLOOKUP(Logs_reseau[[#This Row],[Cell_ID]],'[1]Registre_Maintenance_combine '!A:C,3,FALSE),"Non trouvé")</f>
        <v>Non trouvé</v>
      </c>
      <c r="H794" t="str">
        <f>IFERROR(VLOOKUP(Logs_reseau[[#This Row],[Cell_ID]],'[1]Registre_Maintenance_combine '!A:D,4,FALSE),"Non trouvé")</f>
        <v>Non trouvé</v>
      </c>
      <c r="I794" t="str">
        <f>IFERROR(VLOOKUP(Logs_reseau[[#This Row],[Cell_ID]],'[1]Registre_Maintenance_combine '!A:E,5,FALSE),"Non trouvé")</f>
        <v>Non trouvé</v>
      </c>
      <c r="J794" t="str">
        <f>IFERROR(VLOOKUP(Logs_reseau[[#This Row],[Cell_ID]],'[1]Registre_Maintenance_combine '!A:F,6,FALSE),"Non trouvé")</f>
        <v>Non trouvé</v>
      </c>
    </row>
    <row r="795" spans="1:10" x14ac:dyDescent="0.25">
      <c r="A795" t="str">
        <f>IFERROR(VLOOKUP(Logs_reseau[[#This Row],[Cell_ID]],'[1]Registre_Maintenance_combine '!A:B,2,FALSE),"Non trouvé")</f>
        <v>Non trouvé</v>
      </c>
      <c r="B795" t="s">
        <v>189</v>
      </c>
      <c r="C795" s="3">
        <v>45205.018055555556</v>
      </c>
      <c r="D795" s="11">
        <f>Logs_reseau[[#This Row],[Duree_Panne_Min]]/1440</f>
        <v>5.347222222222222E-2</v>
      </c>
      <c r="E795">
        <v>77</v>
      </c>
      <c r="F795" t="s">
        <v>4</v>
      </c>
      <c r="G795" t="str">
        <f>IFERROR(VLOOKUP(Logs_reseau[[#This Row],[Cell_ID]],'[1]Registre_Maintenance_combine '!A:C,3,FALSE),"Non trouvé")</f>
        <v>Non trouvé</v>
      </c>
      <c r="H795" t="str">
        <f>IFERROR(VLOOKUP(Logs_reseau[[#This Row],[Cell_ID]],'[1]Registre_Maintenance_combine '!A:D,4,FALSE),"Non trouvé")</f>
        <v>Non trouvé</v>
      </c>
      <c r="I795" t="str">
        <f>IFERROR(VLOOKUP(Logs_reseau[[#This Row],[Cell_ID]],'[1]Registre_Maintenance_combine '!A:E,5,FALSE),"Non trouvé")</f>
        <v>Non trouvé</v>
      </c>
      <c r="J795" t="str">
        <f>IFERROR(VLOOKUP(Logs_reseau[[#This Row],[Cell_ID]],'[1]Registre_Maintenance_combine '!A:F,6,FALSE),"Non trouvé")</f>
        <v>Non trouvé</v>
      </c>
    </row>
    <row r="796" spans="1:10" x14ac:dyDescent="0.25">
      <c r="A796" t="str">
        <f>IFERROR(VLOOKUP(Logs_reseau[[#This Row],[Cell_ID]],'[1]Registre_Maintenance_combine '!A:B,2,FALSE),"Non trouvé")</f>
        <v>Non trouvé</v>
      </c>
      <c r="B796" t="s">
        <v>189</v>
      </c>
      <c r="C796" s="3">
        <v>45203.027777777781</v>
      </c>
      <c r="D796" s="11">
        <f>Logs_reseau[[#This Row],[Duree_Panne_Min]]/1440</f>
        <v>3.125E-2</v>
      </c>
      <c r="E796">
        <v>45</v>
      </c>
      <c r="F796" t="s">
        <v>4</v>
      </c>
      <c r="G796" t="str">
        <f>IFERROR(VLOOKUP(Logs_reseau[[#This Row],[Cell_ID]],'[1]Registre_Maintenance_combine '!A:C,3,FALSE),"Non trouvé")</f>
        <v>Non trouvé</v>
      </c>
      <c r="H796" t="str">
        <f>IFERROR(VLOOKUP(Logs_reseau[[#This Row],[Cell_ID]],'[1]Registre_Maintenance_combine '!A:D,4,FALSE),"Non trouvé")</f>
        <v>Non trouvé</v>
      </c>
      <c r="I796" t="str">
        <f>IFERROR(VLOOKUP(Logs_reseau[[#This Row],[Cell_ID]],'[1]Registre_Maintenance_combine '!A:E,5,FALSE),"Non trouvé")</f>
        <v>Non trouvé</v>
      </c>
      <c r="J796" t="str">
        <f>IFERROR(VLOOKUP(Logs_reseau[[#This Row],[Cell_ID]],'[1]Registre_Maintenance_combine '!A:F,6,FALSE),"Non trouvé")</f>
        <v>Non trouvé</v>
      </c>
    </row>
    <row r="797" spans="1:10" x14ac:dyDescent="0.25">
      <c r="A797" t="str">
        <f>IFERROR(VLOOKUP(Logs_reseau[[#This Row],[Cell_ID]],'[1]Registre_Maintenance_combine '!A:B,2,FALSE),"Non trouvé")</f>
        <v>Non trouvé</v>
      </c>
      <c r="B797" t="s">
        <v>189</v>
      </c>
      <c r="C797" s="3">
        <v>45210.125</v>
      </c>
      <c r="D797" s="11">
        <f>Logs_reseau[[#This Row],[Duree_Panne_Min]]/1440</f>
        <v>1.2500000000000001E-2</v>
      </c>
      <c r="E797">
        <v>18</v>
      </c>
      <c r="F797" t="s">
        <v>1</v>
      </c>
      <c r="G797" t="str">
        <f>IFERROR(VLOOKUP(Logs_reseau[[#This Row],[Cell_ID]],'[1]Registre_Maintenance_combine '!A:C,3,FALSE),"Non trouvé")</f>
        <v>Non trouvé</v>
      </c>
      <c r="H797" t="str">
        <f>IFERROR(VLOOKUP(Logs_reseau[[#This Row],[Cell_ID]],'[1]Registre_Maintenance_combine '!A:D,4,FALSE),"Non trouvé")</f>
        <v>Non trouvé</v>
      </c>
      <c r="I797" t="str">
        <f>IFERROR(VLOOKUP(Logs_reseau[[#This Row],[Cell_ID]],'[1]Registre_Maintenance_combine '!A:E,5,FALSE),"Non trouvé")</f>
        <v>Non trouvé</v>
      </c>
      <c r="J797" t="str">
        <f>IFERROR(VLOOKUP(Logs_reseau[[#This Row],[Cell_ID]],'[1]Registre_Maintenance_combine '!A:F,6,FALSE),"Non trouvé")</f>
        <v>Non trouvé</v>
      </c>
    </row>
    <row r="798" spans="1:10" x14ac:dyDescent="0.25">
      <c r="A798" t="str">
        <f>IFERROR(VLOOKUP(Logs_reseau[[#This Row],[Cell_ID]],'[1]Registre_Maintenance_combine '!A:B,2,FALSE),"Non trouvé")</f>
        <v>Non trouvé</v>
      </c>
      <c r="B798" t="s">
        <v>190</v>
      </c>
      <c r="C798" s="3">
        <v>45207.199305555558</v>
      </c>
      <c r="D798" s="11">
        <f>Logs_reseau[[#This Row],[Duree_Panne_Min]]/1440</f>
        <v>4.5138888888888888E-2</v>
      </c>
      <c r="E798">
        <v>65</v>
      </c>
      <c r="F798" t="s">
        <v>4</v>
      </c>
      <c r="G798" t="str">
        <f>IFERROR(VLOOKUP(Logs_reseau[[#This Row],[Cell_ID]],'[1]Registre_Maintenance_combine '!A:C,3,FALSE),"Non trouvé")</f>
        <v>Non trouvé</v>
      </c>
      <c r="H798" t="str">
        <f>IFERROR(VLOOKUP(Logs_reseau[[#This Row],[Cell_ID]],'[1]Registre_Maintenance_combine '!A:D,4,FALSE),"Non trouvé")</f>
        <v>Non trouvé</v>
      </c>
      <c r="I798" t="str">
        <f>IFERROR(VLOOKUP(Logs_reseau[[#This Row],[Cell_ID]],'[1]Registre_Maintenance_combine '!A:E,5,FALSE),"Non trouvé")</f>
        <v>Non trouvé</v>
      </c>
      <c r="J798" t="str">
        <f>IFERROR(VLOOKUP(Logs_reseau[[#This Row],[Cell_ID]],'[1]Registre_Maintenance_combine '!A:F,6,FALSE),"Non trouvé")</f>
        <v>Non trouvé</v>
      </c>
    </row>
    <row r="799" spans="1:10" x14ac:dyDescent="0.25">
      <c r="A799" t="str">
        <f>IFERROR(VLOOKUP(Logs_reseau[[#This Row],[Cell_ID]],'[1]Registre_Maintenance_combine '!A:B,2,FALSE),"Non trouvé")</f>
        <v>Non trouvé</v>
      </c>
      <c r="B799" t="s">
        <v>190</v>
      </c>
      <c r="C799" s="3">
        <v>45207.368055555555</v>
      </c>
      <c r="D799" s="11">
        <f>Logs_reseau[[#This Row],[Duree_Panne_Min]]/1440</f>
        <v>9.7222222222222224E-3</v>
      </c>
      <c r="E799">
        <v>14</v>
      </c>
      <c r="F799" t="s">
        <v>4</v>
      </c>
      <c r="G799" t="str">
        <f>IFERROR(VLOOKUP(Logs_reseau[[#This Row],[Cell_ID]],'[1]Registre_Maintenance_combine '!A:C,3,FALSE),"Non trouvé")</f>
        <v>Non trouvé</v>
      </c>
      <c r="H799" t="str">
        <f>IFERROR(VLOOKUP(Logs_reseau[[#This Row],[Cell_ID]],'[1]Registre_Maintenance_combine '!A:D,4,FALSE),"Non trouvé")</f>
        <v>Non trouvé</v>
      </c>
      <c r="I799" t="str">
        <f>IFERROR(VLOOKUP(Logs_reseau[[#This Row],[Cell_ID]],'[1]Registre_Maintenance_combine '!A:E,5,FALSE),"Non trouvé")</f>
        <v>Non trouvé</v>
      </c>
      <c r="J799" t="str">
        <f>IFERROR(VLOOKUP(Logs_reseau[[#This Row],[Cell_ID]],'[1]Registre_Maintenance_combine '!A:F,6,FALSE),"Non trouvé")</f>
        <v>Non trouvé</v>
      </c>
    </row>
    <row r="800" spans="1:10" x14ac:dyDescent="0.25">
      <c r="A800" t="str">
        <f>IFERROR(VLOOKUP(Logs_reseau[[#This Row],[Cell_ID]],'[1]Registre_Maintenance_combine '!A:B,2,FALSE),"Non trouvé")</f>
        <v>Non trouvé</v>
      </c>
      <c r="B800" t="s">
        <v>190</v>
      </c>
      <c r="C800" s="3">
        <v>45225.811805555553</v>
      </c>
      <c r="D800" s="11">
        <f>Logs_reseau[[#This Row],[Duree_Panne_Min]]/1440</f>
        <v>3.1944444444444442E-2</v>
      </c>
      <c r="E800">
        <v>46</v>
      </c>
      <c r="F800" t="s">
        <v>1</v>
      </c>
      <c r="G800" t="str">
        <f>IFERROR(VLOOKUP(Logs_reseau[[#This Row],[Cell_ID]],'[1]Registre_Maintenance_combine '!A:C,3,FALSE),"Non trouvé")</f>
        <v>Non trouvé</v>
      </c>
      <c r="H800" t="str">
        <f>IFERROR(VLOOKUP(Logs_reseau[[#This Row],[Cell_ID]],'[1]Registre_Maintenance_combine '!A:D,4,FALSE),"Non trouvé")</f>
        <v>Non trouvé</v>
      </c>
      <c r="I800" t="str">
        <f>IFERROR(VLOOKUP(Logs_reseau[[#This Row],[Cell_ID]],'[1]Registre_Maintenance_combine '!A:E,5,FALSE),"Non trouvé")</f>
        <v>Non trouvé</v>
      </c>
      <c r="J800" t="str">
        <f>IFERROR(VLOOKUP(Logs_reseau[[#This Row],[Cell_ID]],'[1]Registre_Maintenance_combine '!A:F,6,FALSE),"Non trouvé")</f>
        <v>Non trouvé</v>
      </c>
    </row>
    <row r="801" spans="1:10" x14ac:dyDescent="0.25">
      <c r="A801" t="str">
        <f>IFERROR(VLOOKUP(Logs_reseau[[#This Row],[Cell_ID]],'[1]Registre_Maintenance_combine '!A:B,2,FALSE),"Non trouvé")</f>
        <v>Tshuapa</v>
      </c>
      <c r="B801" t="s">
        <v>191</v>
      </c>
      <c r="C801" s="3">
        <v>45207.340277777781</v>
      </c>
      <c r="D801" s="11">
        <f>Logs_reseau[[#This Row],[Duree_Panne_Min]]/1440</f>
        <v>3.0555555555555555E-2</v>
      </c>
      <c r="E801">
        <v>44</v>
      </c>
      <c r="F801" t="s">
        <v>1</v>
      </c>
      <c r="G801">
        <f>IFERROR(VLOOKUP(Logs_reseau[[#This Row],[Cell_ID]],'[1]Registre_Maintenance_combine '!A:C,3,FALSE),"Non trouvé")</f>
        <v>-12.018316</v>
      </c>
      <c r="H801">
        <f>IFERROR(VLOOKUP(Logs_reseau[[#This Row],[Cell_ID]],'[1]Registre_Maintenance_combine '!A:D,4,FALSE),"Non trouvé")</f>
        <v>16.700451000000001</v>
      </c>
      <c r="I801" t="str">
        <f>IFERROR(VLOOKUP(Logs_reseau[[#This Row],[Cell_ID]],'[1]Registre_Maintenance_combine '!A:E,5,FALSE),"Non trouvé")</f>
        <v>3G</v>
      </c>
      <c r="J801" t="str">
        <f>IFERROR(VLOOKUP(Logs_reseau[[#This Row],[Cell_ID]],'[1]Registre_Maintenance_combine '!A:F,6,FALSE),"Non trouvé")</f>
        <v>Nokia</v>
      </c>
    </row>
    <row r="802" spans="1:10" x14ac:dyDescent="0.25">
      <c r="A802" t="str">
        <f>IFERROR(VLOOKUP(Logs_reseau[[#This Row],[Cell_ID]],'[1]Registre_Maintenance_combine '!A:B,2,FALSE),"Non trouvé")</f>
        <v>Tshuapa</v>
      </c>
      <c r="B802" t="s">
        <v>191</v>
      </c>
      <c r="C802" s="3">
        <v>45213.962500000001</v>
      </c>
      <c r="D802" s="11">
        <f>Logs_reseau[[#This Row],[Duree_Panne_Min]]/1440</f>
        <v>6.6666666666666666E-2</v>
      </c>
      <c r="E802">
        <v>96</v>
      </c>
      <c r="F802" t="s">
        <v>2</v>
      </c>
      <c r="G802">
        <f>IFERROR(VLOOKUP(Logs_reseau[[#This Row],[Cell_ID]],'[1]Registre_Maintenance_combine '!A:C,3,FALSE),"Non trouvé")</f>
        <v>-12.018316</v>
      </c>
      <c r="H802">
        <f>IFERROR(VLOOKUP(Logs_reseau[[#This Row],[Cell_ID]],'[1]Registre_Maintenance_combine '!A:D,4,FALSE),"Non trouvé")</f>
        <v>16.700451000000001</v>
      </c>
      <c r="I802" t="str">
        <f>IFERROR(VLOOKUP(Logs_reseau[[#This Row],[Cell_ID]],'[1]Registre_Maintenance_combine '!A:E,5,FALSE),"Non trouvé")</f>
        <v>3G</v>
      </c>
      <c r="J802" t="str">
        <f>IFERROR(VLOOKUP(Logs_reseau[[#This Row],[Cell_ID]],'[1]Registre_Maintenance_combine '!A:F,6,FALSE),"Non trouvé")</f>
        <v>Nokia</v>
      </c>
    </row>
    <row r="803" spans="1:10" x14ac:dyDescent="0.25">
      <c r="A803" t="str">
        <f>IFERROR(VLOOKUP(Logs_reseau[[#This Row],[Cell_ID]],'[1]Registre_Maintenance_combine '!A:B,2,FALSE),"Non trouvé")</f>
        <v>Non trouvé</v>
      </c>
      <c r="B803" t="s">
        <v>192</v>
      </c>
      <c r="C803" s="3">
        <v>45220.877083333333</v>
      </c>
      <c r="D803" s="11">
        <f>Logs_reseau[[#This Row],[Duree_Panne_Min]]/1440</f>
        <v>4.1666666666666666E-3</v>
      </c>
      <c r="E803">
        <v>6</v>
      </c>
      <c r="F803" t="s">
        <v>4</v>
      </c>
      <c r="G803" t="str">
        <f>IFERROR(VLOOKUP(Logs_reseau[[#This Row],[Cell_ID]],'[1]Registre_Maintenance_combine '!A:C,3,FALSE),"Non trouvé")</f>
        <v>Non trouvé</v>
      </c>
      <c r="H803" t="str">
        <f>IFERROR(VLOOKUP(Logs_reseau[[#This Row],[Cell_ID]],'[1]Registre_Maintenance_combine '!A:D,4,FALSE),"Non trouvé")</f>
        <v>Non trouvé</v>
      </c>
      <c r="I803" t="str">
        <f>IFERROR(VLOOKUP(Logs_reseau[[#This Row],[Cell_ID]],'[1]Registre_Maintenance_combine '!A:E,5,FALSE),"Non trouvé")</f>
        <v>Non trouvé</v>
      </c>
      <c r="J803" t="str">
        <f>IFERROR(VLOOKUP(Logs_reseau[[#This Row],[Cell_ID]],'[1]Registre_Maintenance_combine '!A:F,6,FALSE),"Non trouvé")</f>
        <v>Non trouvé</v>
      </c>
    </row>
    <row r="804" spans="1:10" x14ac:dyDescent="0.25">
      <c r="A804" t="str">
        <f>IFERROR(VLOOKUP(Logs_reseau[[#This Row],[Cell_ID]],'[1]Registre_Maintenance_combine '!A:B,2,FALSE),"Non trouvé")</f>
        <v>Non trouvé</v>
      </c>
      <c r="B804" t="s">
        <v>192</v>
      </c>
      <c r="C804" s="3">
        <v>45219.679166666669</v>
      </c>
      <c r="D804" s="11">
        <f>Logs_reseau[[#This Row],[Duree_Panne_Min]]/1440</f>
        <v>8.3333333333333329E-2</v>
      </c>
      <c r="E804">
        <v>120</v>
      </c>
      <c r="F804" t="s">
        <v>1</v>
      </c>
      <c r="G804" t="str">
        <f>IFERROR(VLOOKUP(Logs_reseau[[#This Row],[Cell_ID]],'[1]Registre_Maintenance_combine '!A:C,3,FALSE),"Non trouvé")</f>
        <v>Non trouvé</v>
      </c>
      <c r="H804" t="str">
        <f>IFERROR(VLOOKUP(Logs_reseau[[#This Row],[Cell_ID]],'[1]Registre_Maintenance_combine '!A:D,4,FALSE),"Non trouvé")</f>
        <v>Non trouvé</v>
      </c>
      <c r="I804" t="str">
        <f>IFERROR(VLOOKUP(Logs_reseau[[#This Row],[Cell_ID]],'[1]Registre_Maintenance_combine '!A:E,5,FALSE),"Non trouvé")</f>
        <v>Non trouvé</v>
      </c>
      <c r="J804" t="str">
        <f>IFERROR(VLOOKUP(Logs_reseau[[#This Row],[Cell_ID]],'[1]Registre_Maintenance_combine '!A:F,6,FALSE),"Non trouvé")</f>
        <v>Non trouvé</v>
      </c>
    </row>
    <row r="805" spans="1:10" x14ac:dyDescent="0.25">
      <c r="A805" t="str">
        <f>IFERROR(VLOOKUP(Logs_reseau[[#This Row],[Cell_ID]],'[1]Registre_Maintenance_combine '!A:B,2,FALSE),"Non trouvé")</f>
        <v>Non trouvé</v>
      </c>
      <c r="B805" t="s">
        <v>192</v>
      </c>
      <c r="C805" s="3">
        <v>45214.783333333333</v>
      </c>
      <c r="D805" s="11">
        <f>Logs_reseau[[#This Row],[Duree_Panne_Min]]/1440</f>
        <v>7.013888888888889E-2</v>
      </c>
      <c r="E805">
        <v>101</v>
      </c>
      <c r="F805" t="s">
        <v>1</v>
      </c>
      <c r="G805" t="str">
        <f>IFERROR(VLOOKUP(Logs_reseau[[#This Row],[Cell_ID]],'[1]Registre_Maintenance_combine '!A:C,3,FALSE),"Non trouvé")</f>
        <v>Non trouvé</v>
      </c>
      <c r="H805" t="str">
        <f>IFERROR(VLOOKUP(Logs_reseau[[#This Row],[Cell_ID]],'[1]Registre_Maintenance_combine '!A:D,4,FALSE),"Non trouvé")</f>
        <v>Non trouvé</v>
      </c>
      <c r="I805" t="str">
        <f>IFERROR(VLOOKUP(Logs_reseau[[#This Row],[Cell_ID]],'[1]Registre_Maintenance_combine '!A:E,5,FALSE),"Non trouvé")</f>
        <v>Non trouvé</v>
      </c>
      <c r="J805" t="str">
        <f>IFERROR(VLOOKUP(Logs_reseau[[#This Row],[Cell_ID]],'[1]Registre_Maintenance_combine '!A:F,6,FALSE),"Non trouvé")</f>
        <v>Non trouvé</v>
      </c>
    </row>
    <row r="806" spans="1:10" x14ac:dyDescent="0.25">
      <c r="A806" t="str">
        <f>IFERROR(VLOOKUP(Logs_reseau[[#This Row],[Cell_ID]],'[1]Registre_Maintenance_combine '!A:B,2,FALSE),"Non trouvé")</f>
        <v>Non trouvé</v>
      </c>
      <c r="B806" t="s">
        <v>192</v>
      </c>
      <c r="C806" s="3">
        <v>45205.169444444444</v>
      </c>
      <c r="D806" s="11">
        <f>Logs_reseau[[#This Row],[Duree_Panne_Min]]/1440</f>
        <v>6.3194444444444442E-2</v>
      </c>
      <c r="E806">
        <v>91</v>
      </c>
      <c r="F806" t="s">
        <v>4</v>
      </c>
      <c r="G806" t="str">
        <f>IFERROR(VLOOKUP(Logs_reseau[[#This Row],[Cell_ID]],'[1]Registre_Maintenance_combine '!A:C,3,FALSE),"Non trouvé")</f>
        <v>Non trouvé</v>
      </c>
      <c r="H806" t="str">
        <f>IFERROR(VLOOKUP(Logs_reseau[[#This Row],[Cell_ID]],'[1]Registre_Maintenance_combine '!A:D,4,FALSE),"Non trouvé")</f>
        <v>Non trouvé</v>
      </c>
      <c r="I806" t="str">
        <f>IFERROR(VLOOKUP(Logs_reseau[[#This Row],[Cell_ID]],'[1]Registre_Maintenance_combine '!A:E,5,FALSE),"Non trouvé")</f>
        <v>Non trouvé</v>
      </c>
      <c r="J806" t="str">
        <f>IFERROR(VLOOKUP(Logs_reseau[[#This Row],[Cell_ID]],'[1]Registre_Maintenance_combine '!A:F,6,FALSE),"Non trouvé")</f>
        <v>Non trouvé</v>
      </c>
    </row>
    <row r="807" spans="1:10" x14ac:dyDescent="0.25">
      <c r="A807" t="str">
        <f>IFERROR(VLOOKUP(Logs_reseau[[#This Row],[Cell_ID]],'[1]Registre_Maintenance_combine '!A:B,2,FALSE),"Non trouvé")</f>
        <v>Nord-Ubangi</v>
      </c>
      <c r="B807" t="s">
        <v>193</v>
      </c>
      <c r="C807" s="3">
        <v>45228.853472222225</v>
      </c>
      <c r="D807" s="11">
        <f>Logs_reseau[[#This Row],[Duree_Panne_Min]]/1440</f>
        <v>3.1944444444444442E-2</v>
      </c>
      <c r="E807">
        <v>46</v>
      </c>
      <c r="F807" t="s">
        <v>4</v>
      </c>
      <c r="G807">
        <f>IFERROR(VLOOKUP(Logs_reseau[[#This Row],[Cell_ID]],'[1]Registre_Maintenance_combine '!A:C,3,FALSE),"Non trouvé")</f>
        <v>8.5490999999999998E-2</v>
      </c>
      <c r="H807">
        <f>IFERROR(VLOOKUP(Logs_reseau[[#This Row],[Cell_ID]],'[1]Registre_Maintenance_combine '!A:D,4,FALSE),"Non trouvé")</f>
        <v>26.296129000000001</v>
      </c>
      <c r="I807" t="str">
        <f>IFERROR(VLOOKUP(Logs_reseau[[#This Row],[Cell_ID]],'[1]Registre_Maintenance_combine '!A:E,5,FALSE),"Non trouvé")</f>
        <v>3G</v>
      </c>
      <c r="J807" t="str">
        <f>IFERROR(VLOOKUP(Logs_reseau[[#This Row],[Cell_ID]],'[1]Registre_Maintenance_combine '!A:F,6,FALSE),"Non trouvé")</f>
        <v>ZTE</v>
      </c>
    </row>
    <row r="808" spans="1:10" x14ac:dyDescent="0.25">
      <c r="A808" t="str">
        <f>IFERROR(VLOOKUP(Logs_reseau[[#This Row],[Cell_ID]],'[1]Registre_Maintenance_combine '!A:B,2,FALSE),"Non trouvé")</f>
        <v>Nord-Ubangi</v>
      </c>
      <c r="B808" t="s">
        <v>193</v>
      </c>
      <c r="C808" s="3">
        <v>45214.686111111114</v>
      </c>
      <c r="D808" s="11">
        <f>Logs_reseau[[#This Row],[Duree_Panne_Min]]/1440</f>
        <v>9.0277777777777769E-3</v>
      </c>
      <c r="E808">
        <v>13</v>
      </c>
      <c r="F808" t="s">
        <v>4</v>
      </c>
      <c r="G808">
        <f>IFERROR(VLOOKUP(Logs_reseau[[#This Row],[Cell_ID]],'[1]Registre_Maintenance_combine '!A:C,3,FALSE),"Non trouvé")</f>
        <v>8.5490999999999998E-2</v>
      </c>
      <c r="H808">
        <f>IFERROR(VLOOKUP(Logs_reseau[[#This Row],[Cell_ID]],'[1]Registre_Maintenance_combine '!A:D,4,FALSE),"Non trouvé")</f>
        <v>26.296129000000001</v>
      </c>
      <c r="I808" t="str">
        <f>IFERROR(VLOOKUP(Logs_reseau[[#This Row],[Cell_ID]],'[1]Registre_Maintenance_combine '!A:E,5,FALSE),"Non trouvé")</f>
        <v>3G</v>
      </c>
      <c r="J808" t="str">
        <f>IFERROR(VLOOKUP(Logs_reseau[[#This Row],[Cell_ID]],'[1]Registre_Maintenance_combine '!A:F,6,FALSE),"Non trouvé")</f>
        <v>ZTE</v>
      </c>
    </row>
    <row r="809" spans="1:10" x14ac:dyDescent="0.25">
      <c r="A809" t="str">
        <f>IFERROR(VLOOKUP(Logs_reseau[[#This Row],[Cell_ID]],'[1]Registre_Maintenance_combine '!A:B,2,FALSE),"Non trouvé")</f>
        <v>Nord-Ubangi</v>
      </c>
      <c r="B809" t="s">
        <v>193</v>
      </c>
      <c r="C809" s="3">
        <v>45203.760416666664</v>
      </c>
      <c r="D809" s="11">
        <f>Logs_reseau[[#This Row],[Duree_Panne_Min]]/1440</f>
        <v>1.5277777777777777E-2</v>
      </c>
      <c r="E809">
        <v>22</v>
      </c>
      <c r="F809" t="s">
        <v>1</v>
      </c>
      <c r="G809">
        <f>IFERROR(VLOOKUP(Logs_reseau[[#This Row],[Cell_ID]],'[1]Registre_Maintenance_combine '!A:C,3,FALSE),"Non trouvé")</f>
        <v>8.5490999999999998E-2</v>
      </c>
      <c r="H809">
        <f>IFERROR(VLOOKUP(Logs_reseau[[#This Row],[Cell_ID]],'[1]Registre_Maintenance_combine '!A:D,4,FALSE),"Non trouvé")</f>
        <v>26.296129000000001</v>
      </c>
      <c r="I809" t="str">
        <f>IFERROR(VLOOKUP(Logs_reseau[[#This Row],[Cell_ID]],'[1]Registre_Maintenance_combine '!A:E,5,FALSE),"Non trouvé")</f>
        <v>3G</v>
      </c>
      <c r="J809" t="str">
        <f>IFERROR(VLOOKUP(Logs_reseau[[#This Row],[Cell_ID]],'[1]Registre_Maintenance_combine '!A:F,6,FALSE),"Non trouvé")</f>
        <v>ZTE</v>
      </c>
    </row>
    <row r="810" spans="1:10" x14ac:dyDescent="0.25">
      <c r="A810" t="str">
        <f>IFERROR(VLOOKUP(Logs_reseau[[#This Row],[Cell_ID]],'[1]Registre_Maintenance_combine '!A:B,2,FALSE),"Non trouvé")</f>
        <v>Nord-Ubangi</v>
      </c>
      <c r="B810" t="s">
        <v>193</v>
      </c>
      <c r="C810" s="3">
        <v>45225.92083333333</v>
      </c>
      <c r="D810" s="11">
        <f>Logs_reseau[[#This Row],[Duree_Panne_Min]]/1440</f>
        <v>3.8194444444444448E-2</v>
      </c>
      <c r="E810">
        <v>55</v>
      </c>
      <c r="F810" t="s">
        <v>1</v>
      </c>
      <c r="G810">
        <f>IFERROR(VLOOKUP(Logs_reseau[[#This Row],[Cell_ID]],'[1]Registre_Maintenance_combine '!A:C,3,FALSE),"Non trouvé")</f>
        <v>8.5490999999999998E-2</v>
      </c>
      <c r="H810">
        <f>IFERROR(VLOOKUP(Logs_reseau[[#This Row],[Cell_ID]],'[1]Registre_Maintenance_combine '!A:D,4,FALSE),"Non trouvé")</f>
        <v>26.296129000000001</v>
      </c>
      <c r="I810" t="str">
        <f>IFERROR(VLOOKUP(Logs_reseau[[#This Row],[Cell_ID]],'[1]Registre_Maintenance_combine '!A:E,5,FALSE),"Non trouvé")</f>
        <v>3G</v>
      </c>
      <c r="J810" t="str">
        <f>IFERROR(VLOOKUP(Logs_reseau[[#This Row],[Cell_ID]],'[1]Registre_Maintenance_combine '!A:F,6,FALSE),"Non trouvé")</f>
        <v>ZTE</v>
      </c>
    </row>
    <row r="811" spans="1:10" x14ac:dyDescent="0.25">
      <c r="A811" t="str">
        <f>IFERROR(VLOOKUP(Logs_reseau[[#This Row],[Cell_ID]],'[1]Registre_Maintenance_combine '!A:B,2,FALSE),"Non trouvé")</f>
        <v>Nord-Ubangi</v>
      </c>
      <c r="B811" t="s">
        <v>193</v>
      </c>
      <c r="C811" s="3">
        <v>45205.711111111108</v>
      </c>
      <c r="D811" s="11">
        <f>Logs_reseau[[#This Row],[Duree_Panne_Min]]/1440</f>
        <v>7.6388888888888886E-3</v>
      </c>
      <c r="E811">
        <v>11</v>
      </c>
      <c r="F811" t="s">
        <v>1</v>
      </c>
      <c r="G811">
        <f>IFERROR(VLOOKUP(Logs_reseau[[#This Row],[Cell_ID]],'[1]Registre_Maintenance_combine '!A:C,3,FALSE),"Non trouvé")</f>
        <v>8.5490999999999998E-2</v>
      </c>
      <c r="H811">
        <f>IFERROR(VLOOKUP(Logs_reseau[[#This Row],[Cell_ID]],'[1]Registre_Maintenance_combine '!A:D,4,FALSE),"Non trouvé")</f>
        <v>26.296129000000001</v>
      </c>
      <c r="I811" t="str">
        <f>IFERROR(VLOOKUP(Logs_reseau[[#This Row],[Cell_ID]],'[1]Registre_Maintenance_combine '!A:E,5,FALSE),"Non trouvé")</f>
        <v>3G</v>
      </c>
      <c r="J811" t="str">
        <f>IFERROR(VLOOKUP(Logs_reseau[[#This Row],[Cell_ID]],'[1]Registre_Maintenance_combine '!A:F,6,FALSE),"Non trouvé")</f>
        <v>ZTE</v>
      </c>
    </row>
    <row r="812" spans="1:10" x14ac:dyDescent="0.25">
      <c r="A812" t="str">
        <f>IFERROR(VLOOKUP(Logs_reseau[[#This Row],[Cell_ID]],'[1]Registre_Maintenance_combine '!A:B,2,FALSE),"Non trouvé")</f>
        <v>Nord-Ubangi</v>
      </c>
      <c r="B812" t="s">
        <v>193</v>
      </c>
      <c r="C812" s="3">
        <v>45220.515972222223</v>
      </c>
      <c r="D812" s="11">
        <f>Logs_reseau[[#This Row],[Duree_Panne_Min]]/1440</f>
        <v>7.4999999999999997E-2</v>
      </c>
      <c r="E812">
        <v>108</v>
      </c>
      <c r="F812" t="s">
        <v>2</v>
      </c>
      <c r="G812">
        <f>IFERROR(VLOOKUP(Logs_reseau[[#This Row],[Cell_ID]],'[1]Registre_Maintenance_combine '!A:C,3,FALSE),"Non trouvé")</f>
        <v>8.5490999999999998E-2</v>
      </c>
      <c r="H812">
        <f>IFERROR(VLOOKUP(Logs_reseau[[#This Row],[Cell_ID]],'[1]Registre_Maintenance_combine '!A:D,4,FALSE),"Non trouvé")</f>
        <v>26.296129000000001</v>
      </c>
      <c r="I812" t="str">
        <f>IFERROR(VLOOKUP(Logs_reseau[[#This Row],[Cell_ID]],'[1]Registre_Maintenance_combine '!A:E,5,FALSE),"Non trouvé")</f>
        <v>3G</v>
      </c>
      <c r="J812" t="str">
        <f>IFERROR(VLOOKUP(Logs_reseau[[#This Row],[Cell_ID]],'[1]Registre_Maintenance_combine '!A:F,6,FALSE),"Non trouvé")</f>
        <v>ZTE</v>
      </c>
    </row>
    <row r="813" spans="1:10" x14ac:dyDescent="0.25">
      <c r="A813" t="str">
        <f>IFERROR(VLOOKUP(Logs_reseau[[#This Row],[Cell_ID]],'[1]Registre_Maintenance_combine '!A:B,2,FALSE),"Non trouvé")</f>
        <v>Sud-Ubangi</v>
      </c>
      <c r="B813" t="s">
        <v>194</v>
      </c>
      <c r="C813" s="3">
        <v>45201.484027777777</v>
      </c>
      <c r="D813" s="11">
        <f>Logs_reseau[[#This Row],[Duree_Panne_Min]]/1440</f>
        <v>7.3611111111111113E-2</v>
      </c>
      <c r="E813">
        <v>106</v>
      </c>
      <c r="F813" t="s">
        <v>1</v>
      </c>
      <c r="G813">
        <f>IFERROR(VLOOKUP(Logs_reseau[[#This Row],[Cell_ID]],'[1]Registre_Maintenance_combine '!A:C,3,FALSE),"Non trouvé")</f>
        <v>-8.0864899999999995</v>
      </c>
      <c r="H813">
        <f>IFERROR(VLOOKUP(Logs_reseau[[#This Row],[Cell_ID]],'[1]Registre_Maintenance_combine '!A:D,4,FALSE),"Non trouvé")</f>
        <v>14.555277</v>
      </c>
      <c r="I813" t="str">
        <f>IFERROR(VLOOKUP(Logs_reseau[[#This Row],[Cell_ID]],'[1]Registre_Maintenance_combine '!A:E,5,FALSE),"Non trouvé")</f>
        <v>3G</v>
      </c>
      <c r="J813" t="str">
        <f>IFERROR(VLOOKUP(Logs_reseau[[#This Row],[Cell_ID]],'[1]Registre_Maintenance_combine '!A:F,6,FALSE),"Non trouvé")</f>
        <v>Ericsson</v>
      </c>
    </row>
    <row r="814" spans="1:10" x14ac:dyDescent="0.25">
      <c r="A814" t="str">
        <f>IFERROR(VLOOKUP(Logs_reseau[[#This Row],[Cell_ID]],'[1]Registre_Maintenance_combine '!A:B,2,FALSE),"Non trouvé")</f>
        <v>Sud-Ubangi</v>
      </c>
      <c r="B814" t="s">
        <v>194</v>
      </c>
      <c r="C814" s="3">
        <v>45203.997916666667</v>
      </c>
      <c r="D814" s="11">
        <f>Logs_reseau[[#This Row],[Duree_Panne_Min]]/1440</f>
        <v>1.9444444444444445E-2</v>
      </c>
      <c r="E814">
        <v>28</v>
      </c>
      <c r="F814" t="s">
        <v>2</v>
      </c>
      <c r="G814">
        <f>IFERROR(VLOOKUP(Logs_reseau[[#This Row],[Cell_ID]],'[1]Registre_Maintenance_combine '!A:C,3,FALSE),"Non trouvé")</f>
        <v>-8.0864899999999995</v>
      </c>
      <c r="H814">
        <f>IFERROR(VLOOKUP(Logs_reseau[[#This Row],[Cell_ID]],'[1]Registre_Maintenance_combine '!A:D,4,FALSE),"Non trouvé")</f>
        <v>14.555277</v>
      </c>
      <c r="I814" t="str">
        <f>IFERROR(VLOOKUP(Logs_reseau[[#This Row],[Cell_ID]],'[1]Registre_Maintenance_combine '!A:E,5,FALSE),"Non trouvé")</f>
        <v>3G</v>
      </c>
      <c r="J814" t="str">
        <f>IFERROR(VLOOKUP(Logs_reseau[[#This Row],[Cell_ID]],'[1]Registre_Maintenance_combine '!A:F,6,FALSE),"Non trouvé")</f>
        <v>Ericsson</v>
      </c>
    </row>
    <row r="815" spans="1:10" x14ac:dyDescent="0.25">
      <c r="A815" t="str">
        <f>IFERROR(VLOOKUP(Logs_reseau[[#This Row],[Cell_ID]],'[1]Registre_Maintenance_combine '!A:B,2,FALSE),"Non trouvé")</f>
        <v>Sud-Ubangi</v>
      </c>
      <c r="B815" t="s">
        <v>194</v>
      </c>
      <c r="C815" s="3">
        <v>45210.021527777775</v>
      </c>
      <c r="D815" s="11">
        <f>Logs_reseau[[#This Row],[Duree_Panne_Min]]/1440</f>
        <v>5.7638888888888892E-2</v>
      </c>
      <c r="E815">
        <v>83</v>
      </c>
      <c r="F815" t="s">
        <v>2</v>
      </c>
      <c r="G815">
        <f>IFERROR(VLOOKUP(Logs_reseau[[#This Row],[Cell_ID]],'[1]Registre_Maintenance_combine '!A:C,3,FALSE),"Non trouvé")</f>
        <v>-8.0864899999999995</v>
      </c>
      <c r="H815">
        <f>IFERROR(VLOOKUP(Logs_reseau[[#This Row],[Cell_ID]],'[1]Registre_Maintenance_combine '!A:D,4,FALSE),"Non trouvé")</f>
        <v>14.555277</v>
      </c>
      <c r="I815" t="str">
        <f>IFERROR(VLOOKUP(Logs_reseau[[#This Row],[Cell_ID]],'[1]Registre_Maintenance_combine '!A:E,5,FALSE),"Non trouvé")</f>
        <v>3G</v>
      </c>
      <c r="J815" t="str">
        <f>IFERROR(VLOOKUP(Logs_reseau[[#This Row],[Cell_ID]],'[1]Registre_Maintenance_combine '!A:F,6,FALSE),"Non trouvé")</f>
        <v>Ericsson</v>
      </c>
    </row>
    <row r="816" spans="1:10" x14ac:dyDescent="0.25">
      <c r="A816" t="str">
        <f>IFERROR(VLOOKUP(Logs_reseau[[#This Row],[Cell_ID]],'[1]Registre_Maintenance_combine '!A:B,2,FALSE),"Non trouvé")</f>
        <v>Sud-Ubangi</v>
      </c>
      <c r="B816" t="s">
        <v>194</v>
      </c>
      <c r="C816" s="3">
        <v>45213.645833333336</v>
      </c>
      <c r="D816" s="11">
        <f>Logs_reseau[[#This Row],[Duree_Panne_Min]]/1440</f>
        <v>7.7083333333333337E-2</v>
      </c>
      <c r="E816">
        <v>111</v>
      </c>
      <c r="F816" t="s">
        <v>1</v>
      </c>
      <c r="G816">
        <f>IFERROR(VLOOKUP(Logs_reseau[[#This Row],[Cell_ID]],'[1]Registre_Maintenance_combine '!A:C,3,FALSE),"Non trouvé")</f>
        <v>-8.0864899999999995</v>
      </c>
      <c r="H816">
        <f>IFERROR(VLOOKUP(Logs_reseau[[#This Row],[Cell_ID]],'[1]Registre_Maintenance_combine '!A:D,4,FALSE),"Non trouvé")</f>
        <v>14.555277</v>
      </c>
      <c r="I816" t="str">
        <f>IFERROR(VLOOKUP(Logs_reseau[[#This Row],[Cell_ID]],'[1]Registre_Maintenance_combine '!A:E,5,FALSE),"Non trouvé")</f>
        <v>3G</v>
      </c>
      <c r="J816" t="str">
        <f>IFERROR(VLOOKUP(Logs_reseau[[#This Row],[Cell_ID]],'[1]Registre_Maintenance_combine '!A:F,6,FALSE),"Non trouvé")</f>
        <v>Ericsson</v>
      </c>
    </row>
    <row r="817" spans="1:10" x14ac:dyDescent="0.25">
      <c r="A817" t="str">
        <f>IFERROR(VLOOKUP(Logs_reseau[[#This Row],[Cell_ID]],'[1]Registre_Maintenance_combine '!A:B,2,FALSE),"Non trouvé")</f>
        <v>Sud-Ubangi</v>
      </c>
      <c r="B817" t="s">
        <v>194</v>
      </c>
      <c r="C817" s="3">
        <v>45201.415277777778</v>
      </c>
      <c r="D817" s="11">
        <f>Logs_reseau[[#This Row],[Duree_Panne_Min]]/1440</f>
        <v>5.347222222222222E-2</v>
      </c>
      <c r="E817">
        <v>77</v>
      </c>
      <c r="F817" t="s">
        <v>2</v>
      </c>
      <c r="G817">
        <f>IFERROR(VLOOKUP(Logs_reseau[[#This Row],[Cell_ID]],'[1]Registre_Maintenance_combine '!A:C,3,FALSE),"Non trouvé")</f>
        <v>-8.0864899999999995</v>
      </c>
      <c r="H817">
        <f>IFERROR(VLOOKUP(Logs_reseau[[#This Row],[Cell_ID]],'[1]Registre_Maintenance_combine '!A:D,4,FALSE),"Non trouvé")</f>
        <v>14.555277</v>
      </c>
      <c r="I817" t="str">
        <f>IFERROR(VLOOKUP(Logs_reseau[[#This Row],[Cell_ID]],'[1]Registre_Maintenance_combine '!A:E,5,FALSE),"Non trouvé")</f>
        <v>3G</v>
      </c>
      <c r="J817" t="str">
        <f>IFERROR(VLOOKUP(Logs_reseau[[#This Row],[Cell_ID]],'[1]Registre_Maintenance_combine '!A:F,6,FALSE),"Non trouvé")</f>
        <v>Ericsson</v>
      </c>
    </row>
    <row r="818" spans="1:10" x14ac:dyDescent="0.25">
      <c r="A818" t="str">
        <f>IFERROR(VLOOKUP(Logs_reseau[[#This Row],[Cell_ID]],'[1]Registre_Maintenance_combine '!A:B,2,FALSE),"Non trouvé")</f>
        <v>Sud-Ubangi</v>
      </c>
      <c r="B818" t="s">
        <v>194</v>
      </c>
      <c r="C818" s="3">
        <v>45211.098611111112</v>
      </c>
      <c r="D818" s="11">
        <f>Logs_reseau[[#This Row],[Duree_Panne_Min]]/1440</f>
        <v>4.3749999999999997E-2</v>
      </c>
      <c r="E818">
        <v>63</v>
      </c>
      <c r="F818" t="s">
        <v>2</v>
      </c>
      <c r="G818">
        <f>IFERROR(VLOOKUP(Logs_reseau[[#This Row],[Cell_ID]],'[1]Registre_Maintenance_combine '!A:C,3,FALSE),"Non trouvé")</f>
        <v>-8.0864899999999995</v>
      </c>
      <c r="H818">
        <f>IFERROR(VLOOKUP(Logs_reseau[[#This Row],[Cell_ID]],'[1]Registre_Maintenance_combine '!A:D,4,FALSE),"Non trouvé")</f>
        <v>14.555277</v>
      </c>
      <c r="I818" t="str">
        <f>IFERROR(VLOOKUP(Logs_reseau[[#This Row],[Cell_ID]],'[1]Registre_Maintenance_combine '!A:E,5,FALSE),"Non trouvé")</f>
        <v>3G</v>
      </c>
      <c r="J818" t="str">
        <f>IFERROR(VLOOKUP(Logs_reseau[[#This Row],[Cell_ID]],'[1]Registre_Maintenance_combine '!A:F,6,FALSE),"Non trouvé")</f>
        <v>Ericsson</v>
      </c>
    </row>
    <row r="819" spans="1:10" x14ac:dyDescent="0.25">
      <c r="A819" t="str">
        <f>IFERROR(VLOOKUP(Logs_reseau[[#This Row],[Cell_ID]],'[1]Registre_Maintenance_combine '!A:B,2,FALSE),"Non trouvé")</f>
        <v>Non trouvé</v>
      </c>
      <c r="B819" t="s">
        <v>195</v>
      </c>
      <c r="C819" s="3">
        <v>45203.393750000003</v>
      </c>
      <c r="D819" s="11">
        <f>Logs_reseau[[#This Row],[Duree_Panne_Min]]/1440</f>
        <v>8.0555555555555561E-2</v>
      </c>
      <c r="E819">
        <v>116</v>
      </c>
      <c r="F819" t="s">
        <v>2</v>
      </c>
      <c r="G819" t="str">
        <f>IFERROR(VLOOKUP(Logs_reseau[[#This Row],[Cell_ID]],'[1]Registre_Maintenance_combine '!A:C,3,FALSE),"Non trouvé")</f>
        <v>Non trouvé</v>
      </c>
      <c r="H819" t="str">
        <f>IFERROR(VLOOKUP(Logs_reseau[[#This Row],[Cell_ID]],'[1]Registre_Maintenance_combine '!A:D,4,FALSE),"Non trouvé")</f>
        <v>Non trouvé</v>
      </c>
      <c r="I819" t="str">
        <f>IFERROR(VLOOKUP(Logs_reseau[[#This Row],[Cell_ID]],'[1]Registre_Maintenance_combine '!A:E,5,FALSE),"Non trouvé")</f>
        <v>Non trouvé</v>
      </c>
      <c r="J819" t="str">
        <f>IFERROR(VLOOKUP(Logs_reseau[[#This Row],[Cell_ID]],'[1]Registre_Maintenance_combine '!A:F,6,FALSE),"Non trouvé")</f>
        <v>Non trouvé</v>
      </c>
    </row>
    <row r="820" spans="1:10" x14ac:dyDescent="0.25">
      <c r="A820" t="str">
        <f>IFERROR(VLOOKUP(Logs_reseau[[#This Row],[Cell_ID]],'[1]Registre_Maintenance_combine '!A:B,2,FALSE),"Non trouvé")</f>
        <v>Non trouvé</v>
      </c>
      <c r="B820" t="s">
        <v>195</v>
      </c>
      <c r="C820" s="3">
        <v>45214.065972222219</v>
      </c>
      <c r="D820" s="11">
        <f>Logs_reseau[[#This Row],[Duree_Panne_Min]]/1440</f>
        <v>5.0694444444444445E-2</v>
      </c>
      <c r="E820">
        <v>73</v>
      </c>
      <c r="F820" t="s">
        <v>1</v>
      </c>
      <c r="G820" t="str">
        <f>IFERROR(VLOOKUP(Logs_reseau[[#This Row],[Cell_ID]],'[1]Registre_Maintenance_combine '!A:C,3,FALSE),"Non trouvé")</f>
        <v>Non trouvé</v>
      </c>
      <c r="H820" t="str">
        <f>IFERROR(VLOOKUP(Logs_reseau[[#This Row],[Cell_ID]],'[1]Registre_Maintenance_combine '!A:D,4,FALSE),"Non trouvé")</f>
        <v>Non trouvé</v>
      </c>
      <c r="I820" t="str">
        <f>IFERROR(VLOOKUP(Logs_reseau[[#This Row],[Cell_ID]],'[1]Registre_Maintenance_combine '!A:E,5,FALSE),"Non trouvé")</f>
        <v>Non trouvé</v>
      </c>
      <c r="J820" t="str">
        <f>IFERROR(VLOOKUP(Logs_reseau[[#This Row],[Cell_ID]],'[1]Registre_Maintenance_combine '!A:F,6,FALSE),"Non trouvé")</f>
        <v>Non trouvé</v>
      </c>
    </row>
    <row r="821" spans="1:10" x14ac:dyDescent="0.25">
      <c r="A821" t="str">
        <f>IFERROR(VLOOKUP(Logs_reseau[[#This Row],[Cell_ID]],'[1]Registre_Maintenance_combine '!A:B,2,FALSE),"Non trouvé")</f>
        <v>Non trouvé</v>
      </c>
      <c r="B821" t="s">
        <v>195</v>
      </c>
      <c r="C821" s="3">
        <v>45228.780555555553</v>
      </c>
      <c r="D821" s="11">
        <f>Logs_reseau[[#This Row],[Duree_Panne_Min]]/1440</f>
        <v>7.1527777777777773E-2</v>
      </c>
      <c r="E821">
        <v>103</v>
      </c>
      <c r="F821" t="s">
        <v>4</v>
      </c>
      <c r="G821" t="str">
        <f>IFERROR(VLOOKUP(Logs_reseau[[#This Row],[Cell_ID]],'[1]Registre_Maintenance_combine '!A:C,3,FALSE),"Non trouvé")</f>
        <v>Non trouvé</v>
      </c>
      <c r="H821" t="str">
        <f>IFERROR(VLOOKUP(Logs_reseau[[#This Row],[Cell_ID]],'[1]Registre_Maintenance_combine '!A:D,4,FALSE),"Non trouvé")</f>
        <v>Non trouvé</v>
      </c>
      <c r="I821" t="str">
        <f>IFERROR(VLOOKUP(Logs_reseau[[#This Row],[Cell_ID]],'[1]Registre_Maintenance_combine '!A:E,5,FALSE),"Non trouvé")</f>
        <v>Non trouvé</v>
      </c>
      <c r="J821" t="str">
        <f>IFERROR(VLOOKUP(Logs_reseau[[#This Row],[Cell_ID]],'[1]Registre_Maintenance_combine '!A:F,6,FALSE),"Non trouvé")</f>
        <v>Non trouvé</v>
      </c>
    </row>
    <row r="822" spans="1:10" x14ac:dyDescent="0.25">
      <c r="A822" t="str">
        <f>IFERROR(VLOOKUP(Logs_reseau[[#This Row],[Cell_ID]],'[1]Registre_Maintenance_combine '!A:B,2,FALSE),"Non trouvé")</f>
        <v>Non trouvé</v>
      </c>
      <c r="B822" t="s">
        <v>196</v>
      </c>
      <c r="C822" s="3">
        <v>45208.073611111111</v>
      </c>
      <c r="D822" s="11">
        <f>Logs_reseau[[#This Row],[Duree_Panne_Min]]/1440</f>
        <v>3.6111111111111108E-2</v>
      </c>
      <c r="E822">
        <v>52</v>
      </c>
      <c r="F822" t="s">
        <v>1</v>
      </c>
      <c r="G822" t="str">
        <f>IFERROR(VLOOKUP(Logs_reseau[[#This Row],[Cell_ID]],'[1]Registre_Maintenance_combine '!A:C,3,FALSE),"Non trouvé")</f>
        <v>Non trouvé</v>
      </c>
      <c r="H822" t="str">
        <f>IFERROR(VLOOKUP(Logs_reseau[[#This Row],[Cell_ID]],'[1]Registre_Maintenance_combine '!A:D,4,FALSE),"Non trouvé")</f>
        <v>Non trouvé</v>
      </c>
      <c r="I822" t="str">
        <f>IFERROR(VLOOKUP(Logs_reseau[[#This Row],[Cell_ID]],'[1]Registre_Maintenance_combine '!A:E,5,FALSE),"Non trouvé")</f>
        <v>Non trouvé</v>
      </c>
      <c r="J822" t="str">
        <f>IFERROR(VLOOKUP(Logs_reseau[[#This Row],[Cell_ID]],'[1]Registre_Maintenance_combine '!A:F,6,FALSE),"Non trouvé")</f>
        <v>Non trouvé</v>
      </c>
    </row>
    <row r="823" spans="1:10" x14ac:dyDescent="0.25">
      <c r="A823" t="str">
        <f>IFERROR(VLOOKUP(Logs_reseau[[#This Row],[Cell_ID]],'[1]Registre_Maintenance_combine '!A:B,2,FALSE),"Non trouvé")</f>
        <v>Non trouvé</v>
      </c>
      <c r="B823" t="s">
        <v>196</v>
      </c>
      <c r="C823" s="3">
        <v>45229.503472222219</v>
      </c>
      <c r="D823" s="11">
        <f>Logs_reseau[[#This Row],[Duree_Panne_Min]]/1440</f>
        <v>8.1944444444444445E-2</v>
      </c>
      <c r="E823">
        <v>118</v>
      </c>
      <c r="F823" t="s">
        <v>4</v>
      </c>
      <c r="G823" t="str">
        <f>IFERROR(VLOOKUP(Logs_reseau[[#This Row],[Cell_ID]],'[1]Registre_Maintenance_combine '!A:C,3,FALSE),"Non trouvé")</f>
        <v>Non trouvé</v>
      </c>
      <c r="H823" t="str">
        <f>IFERROR(VLOOKUP(Logs_reseau[[#This Row],[Cell_ID]],'[1]Registre_Maintenance_combine '!A:D,4,FALSE),"Non trouvé")</f>
        <v>Non trouvé</v>
      </c>
      <c r="I823" t="str">
        <f>IFERROR(VLOOKUP(Logs_reseau[[#This Row],[Cell_ID]],'[1]Registre_Maintenance_combine '!A:E,5,FALSE),"Non trouvé")</f>
        <v>Non trouvé</v>
      </c>
      <c r="J823" t="str">
        <f>IFERROR(VLOOKUP(Logs_reseau[[#This Row],[Cell_ID]],'[1]Registre_Maintenance_combine '!A:F,6,FALSE),"Non trouvé")</f>
        <v>Non trouvé</v>
      </c>
    </row>
    <row r="824" spans="1:10" x14ac:dyDescent="0.25">
      <c r="A824" t="str">
        <f>IFERROR(VLOOKUP(Logs_reseau[[#This Row],[Cell_ID]],'[1]Registre_Maintenance_combine '!A:B,2,FALSE),"Non trouvé")</f>
        <v>Non trouvé</v>
      </c>
      <c r="B824" t="s">
        <v>196</v>
      </c>
      <c r="C824" s="3">
        <v>45220.411805555559</v>
      </c>
      <c r="D824" s="11">
        <f>Logs_reseau[[#This Row],[Duree_Panne_Min]]/1440</f>
        <v>7.3611111111111113E-2</v>
      </c>
      <c r="E824">
        <v>106</v>
      </c>
      <c r="F824" t="s">
        <v>4</v>
      </c>
      <c r="G824" t="str">
        <f>IFERROR(VLOOKUP(Logs_reseau[[#This Row],[Cell_ID]],'[1]Registre_Maintenance_combine '!A:C,3,FALSE),"Non trouvé")</f>
        <v>Non trouvé</v>
      </c>
      <c r="H824" t="str">
        <f>IFERROR(VLOOKUP(Logs_reseau[[#This Row],[Cell_ID]],'[1]Registre_Maintenance_combine '!A:D,4,FALSE),"Non trouvé")</f>
        <v>Non trouvé</v>
      </c>
      <c r="I824" t="str">
        <f>IFERROR(VLOOKUP(Logs_reseau[[#This Row],[Cell_ID]],'[1]Registre_Maintenance_combine '!A:E,5,FALSE),"Non trouvé")</f>
        <v>Non trouvé</v>
      </c>
      <c r="J824" t="str">
        <f>IFERROR(VLOOKUP(Logs_reseau[[#This Row],[Cell_ID]],'[1]Registre_Maintenance_combine '!A:F,6,FALSE),"Non trouvé")</f>
        <v>Non trouvé</v>
      </c>
    </row>
    <row r="825" spans="1:10" x14ac:dyDescent="0.25">
      <c r="A825" t="str">
        <f>IFERROR(VLOOKUP(Logs_reseau[[#This Row],[Cell_ID]],'[1]Registre_Maintenance_combine '!A:B,2,FALSE),"Non trouvé")</f>
        <v>Non trouvé</v>
      </c>
      <c r="B825" t="s">
        <v>196</v>
      </c>
      <c r="C825" s="3">
        <v>45209.588194444441</v>
      </c>
      <c r="D825" s="11">
        <f>Logs_reseau[[#This Row],[Duree_Panne_Min]]/1440</f>
        <v>6.3888888888888884E-2</v>
      </c>
      <c r="E825">
        <v>92</v>
      </c>
      <c r="F825" t="s">
        <v>1</v>
      </c>
      <c r="G825" t="str">
        <f>IFERROR(VLOOKUP(Logs_reseau[[#This Row],[Cell_ID]],'[1]Registre_Maintenance_combine '!A:C,3,FALSE),"Non trouvé")</f>
        <v>Non trouvé</v>
      </c>
      <c r="H825" t="str">
        <f>IFERROR(VLOOKUP(Logs_reseau[[#This Row],[Cell_ID]],'[1]Registre_Maintenance_combine '!A:D,4,FALSE),"Non trouvé")</f>
        <v>Non trouvé</v>
      </c>
      <c r="I825" t="str">
        <f>IFERROR(VLOOKUP(Logs_reseau[[#This Row],[Cell_ID]],'[1]Registre_Maintenance_combine '!A:E,5,FALSE),"Non trouvé")</f>
        <v>Non trouvé</v>
      </c>
      <c r="J825" t="str">
        <f>IFERROR(VLOOKUP(Logs_reseau[[#This Row],[Cell_ID]],'[1]Registre_Maintenance_combine '!A:F,6,FALSE),"Non trouvé")</f>
        <v>Non trouvé</v>
      </c>
    </row>
    <row r="826" spans="1:10" x14ac:dyDescent="0.25">
      <c r="A826" t="str">
        <f>IFERROR(VLOOKUP(Logs_reseau[[#This Row],[Cell_ID]],'[1]Registre_Maintenance_combine '!A:B,2,FALSE),"Non trouvé")</f>
        <v>Non trouvé</v>
      </c>
      <c r="B826" t="s">
        <v>196</v>
      </c>
      <c r="C826" s="3">
        <v>45229.801388888889</v>
      </c>
      <c r="D826" s="11">
        <f>Logs_reseau[[#This Row],[Duree_Panne_Min]]/1440</f>
        <v>2.2916666666666665E-2</v>
      </c>
      <c r="E826">
        <v>33</v>
      </c>
      <c r="F826" t="s">
        <v>1</v>
      </c>
      <c r="G826" t="str">
        <f>IFERROR(VLOOKUP(Logs_reseau[[#This Row],[Cell_ID]],'[1]Registre_Maintenance_combine '!A:C,3,FALSE),"Non trouvé")</f>
        <v>Non trouvé</v>
      </c>
      <c r="H826" t="str">
        <f>IFERROR(VLOOKUP(Logs_reseau[[#This Row],[Cell_ID]],'[1]Registre_Maintenance_combine '!A:D,4,FALSE),"Non trouvé")</f>
        <v>Non trouvé</v>
      </c>
      <c r="I826" t="str">
        <f>IFERROR(VLOOKUP(Logs_reseau[[#This Row],[Cell_ID]],'[1]Registre_Maintenance_combine '!A:E,5,FALSE),"Non trouvé")</f>
        <v>Non trouvé</v>
      </c>
      <c r="J826" t="str">
        <f>IFERROR(VLOOKUP(Logs_reseau[[#This Row],[Cell_ID]],'[1]Registre_Maintenance_combine '!A:F,6,FALSE),"Non trouvé")</f>
        <v>Non trouvé</v>
      </c>
    </row>
    <row r="827" spans="1:10" x14ac:dyDescent="0.25">
      <c r="A827" t="str">
        <f>IFERROR(VLOOKUP(Logs_reseau[[#This Row],[Cell_ID]],'[1]Registre_Maintenance_combine '!A:B,2,FALSE),"Non trouvé")</f>
        <v>Non trouvé</v>
      </c>
      <c r="B827" t="s">
        <v>196</v>
      </c>
      <c r="C827" s="3">
        <v>45211.692361111112</v>
      </c>
      <c r="D827" s="11">
        <f>Logs_reseau[[#This Row],[Duree_Panne_Min]]/1440</f>
        <v>5.0694444444444445E-2</v>
      </c>
      <c r="E827">
        <v>73</v>
      </c>
      <c r="F827" t="s">
        <v>2</v>
      </c>
      <c r="G827" t="str">
        <f>IFERROR(VLOOKUP(Logs_reseau[[#This Row],[Cell_ID]],'[1]Registre_Maintenance_combine '!A:C,3,FALSE),"Non trouvé")</f>
        <v>Non trouvé</v>
      </c>
      <c r="H827" t="str">
        <f>IFERROR(VLOOKUP(Logs_reseau[[#This Row],[Cell_ID]],'[1]Registre_Maintenance_combine '!A:D,4,FALSE),"Non trouvé")</f>
        <v>Non trouvé</v>
      </c>
      <c r="I827" t="str">
        <f>IFERROR(VLOOKUP(Logs_reseau[[#This Row],[Cell_ID]],'[1]Registre_Maintenance_combine '!A:E,5,FALSE),"Non trouvé")</f>
        <v>Non trouvé</v>
      </c>
      <c r="J827" t="str">
        <f>IFERROR(VLOOKUP(Logs_reseau[[#This Row],[Cell_ID]],'[1]Registre_Maintenance_combine '!A:F,6,FALSE),"Non trouvé")</f>
        <v>Non trouvé</v>
      </c>
    </row>
    <row r="828" spans="1:10" x14ac:dyDescent="0.25">
      <c r="A828" t="str">
        <f>IFERROR(VLOOKUP(Logs_reseau[[#This Row],[Cell_ID]],'[1]Registre_Maintenance_combine '!A:B,2,FALSE),"Non trouvé")</f>
        <v>Non trouvé</v>
      </c>
      <c r="B828" t="s">
        <v>196</v>
      </c>
      <c r="C828" s="3">
        <v>45228.651388888888</v>
      </c>
      <c r="D828" s="11">
        <f>Logs_reseau[[#This Row],[Duree_Panne_Min]]/1440</f>
        <v>4.9305555555555554E-2</v>
      </c>
      <c r="E828">
        <v>71</v>
      </c>
      <c r="F828" t="s">
        <v>4</v>
      </c>
      <c r="G828" t="str">
        <f>IFERROR(VLOOKUP(Logs_reseau[[#This Row],[Cell_ID]],'[1]Registre_Maintenance_combine '!A:C,3,FALSE),"Non trouvé")</f>
        <v>Non trouvé</v>
      </c>
      <c r="H828" t="str">
        <f>IFERROR(VLOOKUP(Logs_reseau[[#This Row],[Cell_ID]],'[1]Registre_Maintenance_combine '!A:D,4,FALSE),"Non trouvé")</f>
        <v>Non trouvé</v>
      </c>
      <c r="I828" t="str">
        <f>IFERROR(VLOOKUP(Logs_reseau[[#This Row],[Cell_ID]],'[1]Registre_Maintenance_combine '!A:E,5,FALSE),"Non trouvé")</f>
        <v>Non trouvé</v>
      </c>
      <c r="J828" t="str">
        <f>IFERROR(VLOOKUP(Logs_reseau[[#This Row],[Cell_ID]],'[1]Registre_Maintenance_combine '!A:F,6,FALSE),"Non trouvé")</f>
        <v>Non trouvé</v>
      </c>
    </row>
    <row r="829" spans="1:10" x14ac:dyDescent="0.25">
      <c r="A829" t="str">
        <f>IFERROR(VLOOKUP(Logs_reseau[[#This Row],[Cell_ID]],'[1]Registre_Maintenance_combine '!A:B,2,FALSE),"Non trouvé")</f>
        <v>Non trouvé</v>
      </c>
      <c r="B829" t="s">
        <v>197</v>
      </c>
      <c r="C829" s="3">
        <v>45228.775000000001</v>
      </c>
      <c r="D829" s="11">
        <f>Logs_reseau[[#This Row],[Duree_Panne_Min]]/1440</f>
        <v>4.3055555555555555E-2</v>
      </c>
      <c r="E829">
        <v>62</v>
      </c>
      <c r="F829" t="s">
        <v>4</v>
      </c>
      <c r="G829" t="str">
        <f>IFERROR(VLOOKUP(Logs_reseau[[#This Row],[Cell_ID]],'[1]Registre_Maintenance_combine '!A:C,3,FALSE),"Non trouvé")</f>
        <v>Non trouvé</v>
      </c>
      <c r="H829" t="str">
        <f>IFERROR(VLOOKUP(Logs_reseau[[#This Row],[Cell_ID]],'[1]Registre_Maintenance_combine '!A:D,4,FALSE),"Non trouvé")</f>
        <v>Non trouvé</v>
      </c>
      <c r="I829" t="str">
        <f>IFERROR(VLOOKUP(Logs_reseau[[#This Row],[Cell_ID]],'[1]Registre_Maintenance_combine '!A:E,5,FALSE),"Non trouvé")</f>
        <v>Non trouvé</v>
      </c>
      <c r="J829" t="str">
        <f>IFERROR(VLOOKUP(Logs_reseau[[#This Row],[Cell_ID]],'[1]Registre_Maintenance_combine '!A:F,6,FALSE),"Non trouvé")</f>
        <v>Non trouvé</v>
      </c>
    </row>
    <row r="830" spans="1:10" x14ac:dyDescent="0.25">
      <c r="A830" t="str">
        <f>IFERROR(VLOOKUP(Logs_reseau[[#This Row],[Cell_ID]],'[1]Registre_Maintenance_combine '!A:B,2,FALSE),"Non trouvé")</f>
        <v>Non trouvé</v>
      </c>
      <c r="B830" t="s">
        <v>197</v>
      </c>
      <c r="C830" s="3">
        <v>45226.709722222222</v>
      </c>
      <c r="D830" s="11">
        <f>Logs_reseau[[#This Row],[Duree_Panne_Min]]/1440</f>
        <v>6.6666666666666666E-2</v>
      </c>
      <c r="E830">
        <v>96</v>
      </c>
      <c r="F830" t="s">
        <v>4</v>
      </c>
      <c r="G830" t="str">
        <f>IFERROR(VLOOKUP(Logs_reseau[[#This Row],[Cell_ID]],'[1]Registre_Maintenance_combine '!A:C,3,FALSE),"Non trouvé")</f>
        <v>Non trouvé</v>
      </c>
      <c r="H830" t="str">
        <f>IFERROR(VLOOKUP(Logs_reseau[[#This Row],[Cell_ID]],'[1]Registre_Maintenance_combine '!A:D,4,FALSE),"Non trouvé")</f>
        <v>Non trouvé</v>
      </c>
      <c r="I830" t="str">
        <f>IFERROR(VLOOKUP(Logs_reseau[[#This Row],[Cell_ID]],'[1]Registre_Maintenance_combine '!A:E,5,FALSE),"Non trouvé")</f>
        <v>Non trouvé</v>
      </c>
      <c r="J830" t="str">
        <f>IFERROR(VLOOKUP(Logs_reseau[[#This Row],[Cell_ID]],'[1]Registre_Maintenance_combine '!A:F,6,FALSE),"Non trouvé")</f>
        <v>Non trouvé</v>
      </c>
    </row>
    <row r="831" spans="1:10" x14ac:dyDescent="0.25">
      <c r="A831" t="str">
        <f>IFERROR(VLOOKUP(Logs_reseau[[#This Row],[Cell_ID]],'[1]Registre_Maintenance_combine '!A:B,2,FALSE),"Non trouvé")</f>
        <v>Non trouvé</v>
      </c>
      <c r="B831" t="s">
        <v>197</v>
      </c>
      <c r="C831" s="3">
        <v>45213.496527777781</v>
      </c>
      <c r="D831" s="11">
        <f>Logs_reseau[[#This Row],[Duree_Panne_Min]]/1440</f>
        <v>8.1250000000000003E-2</v>
      </c>
      <c r="E831">
        <v>117</v>
      </c>
      <c r="F831" t="s">
        <v>2</v>
      </c>
      <c r="G831" t="str">
        <f>IFERROR(VLOOKUP(Logs_reseau[[#This Row],[Cell_ID]],'[1]Registre_Maintenance_combine '!A:C,3,FALSE),"Non trouvé")</f>
        <v>Non trouvé</v>
      </c>
      <c r="H831" t="str">
        <f>IFERROR(VLOOKUP(Logs_reseau[[#This Row],[Cell_ID]],'[1]Registre_Maintenance_combine '!A:D,4,FALSE),"Non trouvé")</f>
        <v>Non trouvé</v>
      </c>
      <c r="I831" t="str">
        <f>IFERROR(VLOOKUP(Logs_reseau[[#This Row],[Cell_ID]],'[1]Registre_Maintenance_combine '!A:E,5,FALSE),"Non trouvé")</f>
        <v>Non trouvé</v>
      </c>
      <c r="J831" t="str">
        <f>IFERROR(VLOOKUP(Logs_reseau[[#This Row],[Cell_ID]],'[1]Registre_Maintenance_combine '!A:F,6,FALSE),"Non trouvé")</f>
        <v>Non trouvé</v>
      </c>
    </row>
    <row r="832" spans="1:10" x14ac:dyDescent="0.25">
      <c r="A832" t="str">
        <f>IFERROR(VLOOKUP(Logs_reseau[[#This Row],[Cell_ID]],'[1]Registre_Maintenance_combine '!A:B,2,FALSE),"Non trouvé")</f>
        <v>Non trouvé</v>
      </c>
      <c r="B832" t="s">
        <v>197</v>
      </c>
      <c r="C832" s="3">
        <v>45202.161805555559</v>
      </c>
      <c r="D832" s="11">
        <f>Logs_reseau[[#This Row],[Duree_Panne_Min]]/1440</f>
        <v>7.9166666666666663E-2</v>
      </c>
      <c r="E832">
        <v>114</v>
      </c>
      <c r="F832" t="s">
        <v>2</v>
      </c>
      <c r="G832" t="str">
        <f>IFERROR(VLOOKUP(Logs_reseau[[#This Row],[Cell_ID]],'[1]Registre_Maintenance_combine '!A:C,3,FALSE),"Non trouvé")</f>
        <v>Non trouvé</v>
      </c>
      <c r="H832" t="str">
        <f>IFERROR(VLOOKUP(Logs_reseau[[#This Row],[Cell_ID]],'[1]Registre_Maintenance_combine '!A:D,4,FALSE),"Non trouvé")</f>
        <v>Non trouvé</v>
      </c>
      <c r="I832" t="str">
        <f>IFERROR(VLOOKUP(Logs_reseau[[#This Row],[Cell_ID]],'[1]Registre_Maintenance_combine '!A:E,5,FALSE),"Non trouvé")</f>
        <v>Non trouvé</v>
      </c>
      <c r="J832" t="str">
        <f>IFERROR(VLOOKUP(Logs_reseau[[#This Row],[Cell_ID]],'[1]Registre_Maintenance_combine '!A:F,6,FALSE),"Non trouvé")</f>
        <v>Non trouvé</v>
      </c>
    </row>
    <row r="833" spans="1:10" x14ac:dyDescent="0.25">
      <c r="A833" t="str">
        <f>IFERROR(VLOOKUP(Logs_reseau[[#This Row],[Cell_ID]],'[1]Registre_Maintenance_combine '!A:B,2,FALSE),"Non trouvé")</f>
        <v>Non trouvé</v>
      </c>
      <c r="B833" t="s">
        <v>198</v>
      </c>
      <c r="C833" s="3">
        <v>45203.301388888889</v>
      </c>
      <c r="D833" s="11">
        <f>Logs_reseau[[#This Row],[Duree_Panne_Min]]/1440</f>
        <v>2.4305555555555556E-2</v>
      </c>
      <c r="E833">
        <v>35</v>
      </c>
      <c r="F833" t="s">
        <v>2</v>
      </c>
      <c r="G833" t="str">
        <f>IFERROR(VLOOKUP(Logs_reseau[[#This Row],[Cell_ID]],'[1]Registre_Maintenance_combine '!A:C,3,FALSE),"Non trouvé")</f>
        <v>Non trouvé</v>
      </c>
      <c r="H833" t="str">
        <f>IFERROR(VLOOKUP(Logs_reseau[[#This Row],[Cell_ID]],'[1]Registre_Maintenance_combine '!A:D,4,FALSE),"Non trouvé")</f>
        <v>Non trouvé</v>
      </c>
      <c r="I833" t="str">
        <f>IFERROR(VLOOKUP(Logs_reseau[[#This Row],[Cell_ID]],'[1]Registre_Maintenance_combine '!A:E,5,FALSE),"Non trouvé")</f>
        <v>Non trouvé</v>
      </c>
      <c r="J833" t="str">
        <f>IFERROR(VLOOKUP(Logs_reseau[[#This Row],[Cell_ID]],'[1]Registre_Maintenance_combine '!A:F,6,FALSE),"Non trouvé")</f>
        <v>Non trouvé</v>
      </c>
    </row>
    <row r="834" spans="1:10" x14ac:dyDescent="0.25">
      <c r="A834" t="str">
        <f>IFERROR(VLOOKUP(Logs_reseau[[#This Row],[Cell_ID]],'[1]Registre_Maintenance_combine '!A:B,2,FALSE),"Non trouvé")</f>
        <v>Non trouvé</v>
      </c>
      <c r="B834" t="s">
        <v>198</v>
      </c>
      <c r="C834" s="3">
        <v>45230.004861111112</v>
      </c>
      <c r="D834" s="11">
        <f>Logs_reseau[[#This Row],[Duree_Panne_Min]]/1440</f>
        <v>1.4583333333333334E-2</v>
      </c>
      <c r="E834">
        <v>21</v>
      </c>
      <c r="F834" t="s">
        <v>1</v>
      </c>
      <c r="G834" t="str">
        <f>IFERROR(VLOOKUP(Logs_reseau[[#This Row],[Cell_ID]],'[1]Registre_Maintenance_combine '!A:C,3,FALSE),"Non trouvé")</f>
        <v>Non trouvé</v>
      </c>
      <c r="H834" t="str">
        <f>IFERROR(VLOOKUP(Logs_reseau[[#This Row],[Cell_ID]],'[1]Registre_Maintenance_combine '!A:D,4,FALSE),"Non trouvé")</f>
        <v>Non trouvé</v>
      </c>
      <c r="I834" t="str">
        <f>IFERROR(VLOOKUP(Logs_reseau[[#This Row],[Cell_ID]],'[1]Registre_Maintenance_combine '!A:E,5,FALSE),"Non trouvé")</f>
        <v>Non trouvé</v>
      </c>
      <c r="J834" t="str">
        <f>IFERROR(VLOOKUP(Logs_reseau[[#This Row],[Cell_ID]],'[1]Registre_Maintenance_combine '!A:F,6,FALSE),"Non trouvé")</f>
        <v>Non trouvé</v>
      </c>
    </row>
    <row r="835" spans="1:10" x14ac:dyDescent="0.25">
      <c r="A835" t="str">
        <f>IFERROR(VLOOKUP(Logs_reseau[[#This Row],[Cell_ID]],'[1]Registre_Maintenance_combine '!A:B,2,FALSE),"Non trouvé")</f>
        <v>Non trouvé</v>
      </c>
      <c r="B835" t="s">
        <v>198</v>
      </c>
      <c r="C835" s="3">
        <v>45214.109722222223</v>
      </c>
      <c r="D835" s="11">
        <f>Logs_reseau[[#This Row],[Duree_Panne_Min]]/1440</f>
        <v>1.1805555555555555E-2</v>
      </c>
      <c r="E835">
        <v>17</v>
      </c>
      <c r="F835" t="s">
        <v>4</v>
      </c>
      <c r="G835" t="str">
        <f>IFERROR(VLOOKUP(Logs_reseau[[#This Row],[Cell_ID]],'[1]Registre_Maintenance_combine '!A:C,3,FALSE),"Non trouvé")</f>
        <v>Non trouvé</v>
      </c>
      <c r="H835" t="str">
        <f>IFERROR(VLOOKUP(Logs_reseau[[#This Row],[Cell_ID]],'[1]Registre_Maintenance_combine '!A:D,4,FALSE),"Non trouvé")</f>
        <v>Non trouvé</v>
      </c>
      <c r="I835" t="str">
        <f>IFERROR(VLOOKUP(Logs_reseau[[#This Row],[Cell_ID]],'[1]Registre_Maintenance_combine '!A:E,5,FALSE),"Non trouvé")</f>
        <v>Non trouvé</v>
      </c>
      <c r="J835" t="str">
        <f>IFERROR(VLOOKUP(Logs_reseau[[#This Row],[Cell_ID]],'[1]Registre_Maintenance_combine '!A:F,6,FALSE),"Non trouvé")</f>
        <v>Non trouvé</v>
      </c>
    </row>
    <row r="836" spans="1:10" x14ac:dyDescent="0.25">
      <c r="A836" t="str">
        <f>IFERROR(VLOOKUP(Logs_reseau[[#This Row],[Cell_ID]],'[1]Registre_Maintenance_combine '!A:B,2,FALSE),"Non trouvé")</f>
        <v>Non trouvé</v>
      </c>
      <c r="B836" t="s">
        <v>198</v>
      </c>
      <c r="C836" s="3">
        <v>45211.106249999997</v>
      </c>
      <c r="D836" s="11">
        <f>Logs_reseau[[#This Row],[Duree_Panne_Min]]/1440</f>
        <v>1.1111111111111112E-2</v>
      </c>
      <c r="E836">
        <v>16</v>
      </c>
      <c r="F836" t="s">
        <v>2</v>
      </c>
      <c r="G836" t="str">
        <f>IFERROR(VLOOKUP(Logs_reseau[[#This Row],[Cell_ID]],'[1]Registre_Maintenance_combine '!A:C,3,FALSE),"Non trouvé")</f>
        <v>Non trouvé</v>
      </c>
      <c r="H836" t="str">
        <f>IFERROR(VLOOKUP(Logs_reseau[[#This Row],[Cell_ID]],'[1]Registre_Maintenance_combine '!A:D,4,FALSE),"Non trouvé")</f>
        <v>Non trouvé</v>
      </c>
      <c r="I836" t="str">
        <f>IFERROR(VLOOKUP(Logs_reseau[[#This Row],[Cell_ID]],'[1]Registre_Maintenance_combine '!A:E,5,FALSE),"Non trouvé")</f>
        <v>Non trouvé</v>
      </c>
      <c r="J836" t="str">
        <f>IFERROR(VLOOKUP(Logs_reseau[[#This Row],[Cell_ID]],'[1]Registre_Maintenance_combine '!A:F,6,FALSE),"Non trouvé")</f>
        <v>Non trouvé</v>
      </c>
    </row>
    <row r="837" spans="1:10" x14ac:dyDescent="0.25">
      <c r="A837" t="str">
        <f>IFERROR(VLOOKUP(Logs_reseau[[#This Row],[Cell_ID]],'[1]Registre_Maintenance_combine '!A:B,2,FALSE),"Non trouvé")</f>
        <v>Kinshasa</v>
      </c>
      <c r="B837" t="s">
        <v>199</v>
      </c>
      <c r="C837" s="3">
        <v>45216.583333333336</v>
      </c>
      <c r="D837" s="11">
        <f>Logs_reseau[[#This Row],[Duree_Panne_Min]]/1440</f>
        <v>2.6388888888888889E-2</v>
      </c>
      <c r="E837">
        <v>38</v>
      </c>
      <c r="F837" t="s">
        <v>1</v>
      </c>
      <c r="G837">
        <f>IFERROR(VLOOKUP(Logs_reseau[[#This Row],[Cell_ID]],'[1]Registre_Maintenance_combine '!A:C,3,FALSE),"Non trouvé")</f>
        <v>1.217457</v>
      </c>
      <c r="H837">
        <f>IFERROR(VLOOKUP(Logs_reseau[[#This Row],[Cell_ID]],'[1]Registre_Maintenance_combine '!A:D,4,FALSE),"Non trouvé")</f>
        <v>25.48668</v>
      </c>
      <c r="I837" t="str">
        <f>IFERROR(VLOOKUP(Logs_reseau[[#This Row],[Cell_ID]],'[1]Registre_Maintenance_combine '!A:E,5,FALSE),"Non trouvé")</f>
        <v>5G</v>
      </c>
      <c r="J837" t="str">
        <f>IFERROR(VLOOKUP(Logs_reseau[[#This Row],[Cell_ID]],'[1]Registre_Maintenance_combine '!A:F,6,FALSE),"Non trouvé")</f>
        <v>Nokia</v>
      </c>
    </row>
    <row r="838" spans="1:10" x14ac:dyDescent="0.25">
      <c r="A838" t="str">
        <f>IFERROR(VLOOKUP(Logs_reseau[[#This Row],[Cell_ID]],'[1]Registre_Maintenance_combine '!A:B,2,FALSE),"Non trouvé")</f>
        <v>Kinshasa</v>
      </c>
      <c r="B838" t="s">
        <v>199</v>
      </c>
      <c r="C838" s="3">
        <v>45224.385416666664</v>
      </c>
      <c r="D838" s="11">
        <f>Logs_reseau[[#This Row],[Duree_Panne_Min]]/1440</f>
        <v>5.0694444444444445E-2</v>
      </c>
      <c r="E838">
        <v>73</v>
      </c>
      <c r="F838" t="s">
        <v>1</v>
      </c>
      <c r="G838">
        <f>IFERROR(VLOOKUP(Logs_reseau[[#This Row],[Cell_ID]],'[1]Registre_Maintenance_combine '!A:C,3,FALSE),"Non trouvé")</f>
        <v>1.217457</v>
      </c>
      <c r="H838">
        <f>IFERROR(VLOOKUP(Logs_reseau[[#This Row],[Cell_ID]],'[1]Registre_Maintenance_combine '!A:D,4,FALSE),"Non trouvé")</f>
        <v>25.48668</v>
      </c>
      <c r="I838" t="str">
        <f>IFERROR(VLOOKUP(Logs_reseau[[#This Row],[Cell_ID]],'[1]Registre_Maintenance_combine '!A:E,5,FALSE),"Non trouvé")</f>
        <v>5G</v>
      </c>
      <c r="J838" t="str">
        <f>IFERROR(VLOOKUP(Logs_reseau[[#This Row],[Cell_ID]],'[1]Registre_Maintenance_combine '!A:F,6,FALSE),"Non trouvé")</f>
        <v>Nokia</v>
      </c>
    </row>
    <row r="839" spans="1:10" x14ac:dyDescent="0.25">
      <c r="A839" t="str">
        <f>IFERROR(VLOOKUP(Logs_reseau[[#This Row],[Cell_ID]],'[1]Registre_Maintenance_combine '!A:B,2,FALSE),"Non trouvé")</f>
        <v>Tanganyika</v>
      </c>
      <c r="B839" t="s">
        <v>200</v>
      </c>
      <c r="C839" s="3">
        <v>45203.032638888886</v>
      </c>
      <c r="D839" s="11">
        <f>Logs_reseau[[#This Row],[Duree_Panne_Min]]/1440</f>
        <v>5.0694444444444445E-2</v>
      </c>
      <c r="E839">
        <v>73</v>
      </c>
      <c r="F839" t="s">
        <v>1</v>
      </c>
      <c r="G839">
        <f>IFERROR(VLOOKUP(Logs_reseau[[#This Row],[Cell_ID]],'[1]Registre_Maintenance_combine '!A:C,3,FALSE),"Non trouvé")</f>
        <v>-11.144149000000001</v>
      </c>
      <c r="H839">
        <f>IFERROR(VLOOKUP(Logs_reseau[[#This Row],[Cell_ID]],'[1]Registre_Maintenance_combine '!A:D,4,FALSE),"Non trouvé")</f>
        <v>27.244658999999999</v>
      </c>
      <c r="I839" t="str">
        <f>IFERROR(VLOOKUP(Logs_reseau[[#This Row],[Cell_ID]],'[1]Registre_Maintenance_combine '!A:E,5,FALSE),"Non trouvé")</f>
        <v>4G</v>
      </c>
      <c r="J839" t="str">
        <f>IFERROR(VLOOKUP(Logs_reseau[[#This Row],[Cell_ID]],'[1]Registre_Maintenance_combine '!A:F,6,FALSE),"Non trouvé")</f>
        <v>Nokia</v>
      </c>
    </row>
    <row r="840" spans="1:10" x14ac:dyDescent="0.25">
      <c r="A840" t="str">
        <f>IFERROR(VLOOKUP(Logs_reseau[[#This Row],[Cell_ID]],'[1]Registre_Maintenance_combine '!A:B,2,FALSE),"Non trouvé")</f>
        <v>Non trouvé</v>
      </c>
      <c r="B840" t="s">
        <v>6</v>
      </c>
      <c r="C840" s="3">
        <v>45208.301388888889</v>
      </c>
      <c r="D840" s="11">
        <f>Logs_reseau[[#This Row],[Duree_Panne_Min]]/1440</f>
        <v>2.6388888888888889E-2</v>
      </c>
      <c r="E840">
        <v>38</v>
      </c>
      <c r="F840" t="s">
        <v>1</v>
      </c>
      <c r="G840" t="str">
        <f>IFERROR(VLOOKUP(Logs_reseau[[#This Row],[Cell_ID]],'[1]Registre_Maintenance_combine '!A:C,3,FALSE),"Non trouvé")</f>
        <v>Non trouvé</v>
      </c>
      <c r="H840" t="str">
        <f>IFERROR(VLOOKUP(Logs_reseau[[#This Row],[Cell_ID]],'[1]Registre_Maintenance_combine '!A:D,4,FALSE),"Non trouvé")</f>
        <v>Non trouvé</v>
      </c>
      <c r="I840" t="str">
        <f>IFERROR(VLOOKUP(Logs_reseau[[#This Row],[Cell_ID]],'[1]Registre_Maintenance_combine '!A:E,5,FALSE),"Non trouvé")</f>
        <v>Non trouvé</v>
      </c>
      <c r="J840" t="str">
        <f>IFERROR(VLOOKUP(Logs_reseau[[#This Row],[Cell_ID]],'[1]Registre_Maintenance_combine '!A:F,6,FALSE),"Non trouvé")</f>
        <v>Non trouvé</v>
      </c>
    </row>
    <row r="841" spans="1:10" x14ac:dyDescent="0.25">
      <c r="A841" t="str">
        <f>IFERROR(VLOOKUP(Logs_reseau[[#This Row],[Cell_ID]],'[1]Registre_Maintenance_combine '!A:B,2,FALSE),"Non trouvé")</f>
        <v>Non trouvé</v>
      </c>
      <c r="B841" t="s">
        <v>201</v>
      </c>
      <c r="C841" s="3">
        <v>45204.962500000001</v>
      </c>
      <c r="D841" s="11">
        <f>Logs_reseau[[#This Row],[Duree_Panne_Min]]/1440</f>
        <v>6.9444444444444448E-2</v>
      </c>
      <c r="E841">
        <v>100</v>
      </c>
      <c r="F841" t="s">
        <v>2</v>
      </c>
      <c r="G841" t="str">
        <f>IFERROR(VLOOKUP(Logs_reseau[[#This Row],[Cell_ID]],'[1]Registre_Maintenance_combine '!A:C,3,FALSE),"Non trouvé")</f>
        <v>Non trouvé</v>
      </c>
      <c r="H841" t="str">
        <f>IFERROR(VLOOKUP(Logs_reseau[[#This Row],[Cell_ID]],'[1]Registre_Maintenance_combine '!A:D,4,FALSE),"Non trouvé")</f>
        <v>Non trouvé</v>
      </c>
      <c r="I841" t="str">
        <f>IFERROR(VLOOKUP(Logs_reseau[[#This Row],[Cell_ID]],'[1]Registre_Maintenance_combine '!A:E,5,FALSE),"Non trouvé")</f>
        <v>Non trouvé</v>
      </c>
      <c r="J841" t="str">
        <f>IFERROR(VLOOKUP(Logs_reseau[[#This Row],[Cell_ID]],'[1]Registre_Maintenance_combine '!A:F,6,FALSE),"Non trouvé")</f>
        <v>Non trouvé</v>
      </c>
    </row>
    <row r="842" spans="1:10" x14ac:dyDescent="0.25">
      <c r="A842" t="str">
        <f>IFERROR(VLOOKUP(Logs_reseau[[#This Row],[Cell_ID]],'[1]Registre_Maintenance_combine '!A:B,2,FALSE),"Non trouvé")</f>
        <v>Non trouvé</v>
      </c>
      <c r="B842" t="s">
        <v>202</v>
      </c>
      <c r="C842" s="3">
        <v>45221.997916666667</v>
      </c>
      <c r="D842" s="11">
        <f>Logs_reseau[[#This Row],[Duree_Panne_Min]]/1440</f>
        <v>5.486111111111111E-2</v>
      </c>
      <c r="E842">
        <v>79</v>
      </c>
      <c r="F842" t="s">
        <v>4</v>
      </c>
      <c r="G842" t="str">
        <f>IFERROR(VLOOKUP(Logs_reseau[[#This Row],[Cell_ID]],'[1]Registre_Maintenance_combine '!A:C,3,FALSE),"Non trouvé")</f>
        <v>Non trouvé</v>
      </c>
      <c r="H842" t="str">
        <f>IFERROR(VLOOKUP(Logs_reseau[[#This Row],[Cell_ID]],'[1]Registre_Maintenance_combine '!A:D,4,FALSE),"Non trouvé")</f>
        <v>Non trouvé</v>
      </c>
      <c r="I842" t="str">
        <f>IFERROR(VLOOKUP(Logs_reseau[[#This Row],[Cell_ID]],'[1]Registre_Maintenance_combine '!A:E,5,FALSE),"Non trouvé")</f>
        <v>Non trouvé</v>
      </c>
      <c r="J842" t="str">
        <f>IFERROR(VLOOKUP(Logs_reseau[[#This Row],[Cell_ID]],'[1]Registre_Maintenance_combine '!A:F,6,FALSE),"Non trouvé")</f>
        <v>Non trouvé</v>
      </c>
    </row>
    <row r="843" spans="1:10" x14ac:dyDescent="0.25">
      <c r="A843" t="str">
        <f>IFERROR(VLOOKUP(Logs_reseau[[#This Row],[Cell_ID]],'[1]Registre_Maintenance_combine '!A:B,2,FALSE),"Non trouvé")</f>
        <v>Non trouvé</v>
      </c>
      <c r="B843" t="s">
        <v>203</v>
      </c>
      <c r="C843" s="3">
        <v>45217.109027777777</v>
      </c>
      <c r="D843" s="11">
        <f>Logs_reseau[[#This Row],[Duree_Panne_Min]]/1440</f>
        <v>4.0972222222222222E-2</v>
      </c>
      <c r="E843">
        <v>59</v>
      </c>
      <c r="F843" t="s">
        <v>1</v>
      </c>
      <c r="G843" t="str">
        <f>IFERROR(VLOOKUP(Logs_reseau[[#This Row],[Cell_ID]],'[1]Registre_Maintenance_combine '!A:C,3,FALSE),"Non trouvé")</f>
        <v>Non trouvé</v>
      </c>
      <c r="H843" t="str">
        <f>IFERROR(VLOOKUP(Logs_reseau[[#This Row],[Cell_ID]],'[1]Registre_Maintenance_combine '!A:D,4,FALSE),"Non trouvé")</f>
        <v>Non trouvé</v>
      </c>
      <c r="I843" t="str">
        <f>IFERROR(VLOOKUP(Logs_reseau[[#This Row],[Cell_ID]],'[1]Registre_Maintenance_combine '!A:E,5,FALSE),"Non trouvé")</f>
        <v>Non trouvé</v>
      </c>
      <c r="J843" t="str">
        <f>IFERROR(VLOOKUP(Logs_reseau[[#This Row],[Cell_ID]],'[1]Registre_Maintenance_combine '!A:F,6,FALSE),"Non trouvé")</f>
        <v>Non trouvé</v>
      </c>
    </row>
    <row r="844" spans="1:10" x14ac:dyDescent="0.25">
      <c r="A844" t="str">
        <f>IFERROR(VLOOKUP(Logs_reseau[[#This Row],[Cell_ID]],'[1]Registre_Maintenance_combine '!A:B,2,FALSE),"Non trouvé")</f>
        <v>Kongo-Central</v>
      </c>
      <c r="B844" t="s">
        <v>204</v>
      </c>
      <c r="C844" s="3">
        <v>45213.042361111111</v>
      </c>
      <c r="D844" s="11">
        <f>Logs_reseau[[#This Row],[Duree_Panne_Min]]/1440</f>
        <v>8.2638888888888887E-2</v>
      </c>
      <c r="E844">
        <v>119</v>
      </c>
      <c r="F844" t="s">
        <v>2</v>
      </c>
      <c r="G844">
        <f>IFERROR(VLOOKUP(Logs_reseau[[#This Row],[Cell_ID]],'[1]Registre_Maintenance_combine '!A:C,3,FALSE),"Non trouvé")</f>
        <v>-2.8211520000000001</v>
      </c>
      <c r="H844">
        <f>IFERROR(VLOOKUP(Logs_reseau[[#This Row],[Cell_ID]],'[1]Registre_Maintenance_combine '!A:D,4,FALSE),"Non trouvé")</f>
        <v>20.651419000000001</v>
      </c>
      <c r="I844" t="str">
        <f>IFERROR(VLOOKUP(Logs_reseau[[#This Row],[Cell_ID]],'[1]Registre_Maintenance_combine '!A:E,5,FALSE),"Non trouvé")</f>
        <v>5G</v>
      </c>
      <c r="J844" t="str">
        <f>IFERROR(VLOOKUP(Logs_reseau[[#This Row],[Cell_ID]],'[1]Registre_Maintenance_combine '!A:F,6,FALSE),"Non trouvé")</f>
        <v>Ericsson</v>
      </c>
    </row>
    <row r="845" spans="1:10" x14ac:dyDescent="0.25">
      <c r="A845" t="str">
        <f>IFERROR(VLOOKUP(Logs_reseau[[#This Row],[Cell_ID]],'[1]Registre_Maintenance_combine '!A:B,2,FALSE),"Non trouvé")</f>
        <v>Kasai-Central</v>
      </c>
      <c r="B845" t="s">
        <v>205</v>
      </c>
      <c r="C845" s="3">
        <v>45202.259722222225</v>
      </c>
      <c r="D845" s="11">
        <f>Logs_reseau[[#This Row],[Duree_Panne_Min]]/1440</f>
        <v>5.486111111111111E-2</v>
      </c>
      <c r="E845">
        <v>79</v>
      </c>
      <c r="F845" t="s">
        <v>1</v>
      </c>
      <c r="G845">
        <f>IFERROR(VLOOKUP(Logs_reseau[[#This Row],[Cell_ID]],'[1]Registre_Maintenance_combine '!A:C,3,FALSE),"Non trouvé")</f>
        <v>-1.648264</v>
      </c>
      <c r="H845">
        <f>IFERROR(VLOOKUP(Logs_reseau[[#This Row],[Cell_ID]],'[1]Registre_Maintenance_combine '!A:D,4,FALSE),"Non trouvé")</f>
        <v>28.866143999999998</v>
      </c>
      <c r="I845" t="str">
        <f>IFERROR(VLOOKUP(Logs_reseau[[#This Row],[Cell_ID]],'[1]Registre_Maintenance_combine '!A:E,5,FALSE),"Non trouvé")</f>
        <v>5G</v>
      </c>
      <c r="J845" t="str">
        <f>IFERROR(VLOOKUP(Logs_reseau[[#This Row],[Cell_ID]],'[1]Registre_Maintenance_combine '!A:F,6,FALSE),"Non trouvé")</f>
        <v>Ericsson</v>
      </c>
    </row>
    <row r="846" spans="1:10" x14ac:dyDescent="0.25">
      <c r="A846" t="str">
        <f>IFERROR(VLOOKUP(Logs_reseau[[#This Row],[Cell_ID]],'[1]Registre_Maintenance_combine '!A:B,2,FALSE),"Non trouvé")</f>
        <v>Non trouvé</v>
      </c>
      <c r="B846" t="s">
        <v>206</v>
      </c>
      <c r="C846" s="3">
        <v>45216.792361111111</v>
      </c>
      <c r="D846" s="11">
        <f>Logs_reseau[[#This Row],[Duree_Panne_Min]]/1440</f>
        <v>3.888888888888889E-2</v>
      </c>
      <c r="E846">
        <v>56</v>
      </c>
      <c r="F846" t="s">
        <v>1</v>
      </c>
      <c r="G846" t="str">
        <f>IFERROR(VLOOKUP(Logs_reseau[[#This Row],[Cell_ID]],'[1]Registre_Maintenance_combine '!A:C,3,FALSE),"Non trouvé")</f>
        <v>Non trouvé</v>
      </c>
      <c r="H846" t="str">
        <f>IFERROR(VLOOKUP(Logs_reseau[[#This Row],[Cell_ID]],'[1]Registre_Maintenance_combine '!A:D,4,FALSE),"Non trouvé")</f>
        <v>Non trouvé</v>
      </c>
      <c r="I846" t="str">
        <f>IFERROR(VLOOKUP(Logs_reseau[[#This Row],[Cell_ID]],'[1]Registre_Maintenance_combine '!A:E,5,FALSE),"Non trouvé")</f>
        <v>Non trouvé</v>
      </c>
      <c r="J846" t="str">
        <f>IFERROR(VLOOKUP(Logs_reseau[[#This Row],[Cell_ID]],'[1]Registre_Maintenance_combine '!A:F,6,FALSE),"Non trouvé")</f>
        <v>Non trouvé</v>
      </c>
    </row>
    <row r="847" spans="1:10" x14ac:dyDescent="0.25">
      <c r="A847" t="str">
        <f>IFERROR(VLOOKUP(Logs_reseau[[#This Row],[Cell_ID]],'[1]Registre_Maintenance_combine '!A:B,2,FALSE),"Non trouvé")</f>
        <v>Non trouvé</v>
      </c>
      <c r="B847" t="s">
        <v>207</v>
      </c>
      <c r="C847" s="3">
        <v>45217.28125</v>
      </c>
      <c r="D847" s="11">
        <f>Logs_reseau[[#This Row],[Duree_Panne_Min]]/1440</f>
        <v>3.5416666666666666E-2</v>
      </c>
      <c r="E847">
        <v>51</v>
      </c>
      <c r="F847" t="s">
        <v>2</v>
      </c>
      <c r="G847" t="str">
        <f>IFERROR(VLOOKUP(Logs_reseau[[#This Row],[Cell_ID]],'[1]Registre_Maintenance_combine '!A:C,3,FALSE),"Non trouvé")</f>
        <v>Non trouvé</v>
      </c>
      <c r="H847" t="str">
        <f>IFERROR(VLOOKUP(Logs_reseau[[#This Row],[Cell_ID]],'[1]Registre_Maintenance_combine '!A:D,4,FALSE),"Non trouvé")</f>
        <v>Non trouvé</v>
      </c>
      <c r="I847" t="str">
        <f>IFERROR(VLOOKUP(Logs_reseau[[#This Row],[Cell_ID]],'[1]Registre_Maintenance_combine '!A:E,5,FALSE),"Non trouvé")</f>
        <v>Non trouvé</v>
      </c>
      <c r="J847" t="str">
        <f>IFERROR(VLOOKUP(Logs_reseau[[#This Row],[Cell_ID]],'[1]Registre_Maintenance_combine '!A:F,6,FALSE),"Non trouvé")</f>
        <v>Non trouvé</v>
      </c>
    </row>
    <row r="848" spans="1:10" x14ac:dyDescent="0.25">
      <c r="A848" t="str">
        <f>IFERROR(VLOOKUP(Logs_reseau[[#This Row],[Cell_ID]],'[1]Registre_Maintenance_combine '!A:B,2,FALSE),"Non trouvé")</f>
        <v>Non trouvé</v>
      </c>
      <c r="B848" t="s">
        <v>208</v>
      </c>
      <c r="C848" s="3">
        <v>45220.94027777778</v>
      </c>
      <c r="D848" s="11">
        <f>Logs_reseau[[#This Row],[Duree_Panne_Min]]/1440</f>
        <v>2.2916666666666665E-2</v>
      </c>
      <c r="E848">
        <v>33</v>
      </c>
      <c r="F848" t="s">
        <v>4</v>
      </c>
      <c r="G848" t="str">
        <f>IFERROR(VLOOKUP(Logs_reseau[[#This Row],[Cell_ID]],'[1]Registre_Maintenance_combine '!A:C,3,FALSE),"Non trouvé")</f>
        <v>Non trouvé</v>
      </c>
      <c r="H848" t="str">
        <f>IFERROR(VLOOKUP(Logs_reseau[[#This Row],[Cell_ID]],'[1]Registre_Maintenance_combine '!A:D,4,FALSE),"Non trouvé")</f>
        <v>Non trouvé</v>
      </c>
      <c r="I848" t="str">
        <f>IFERROR(VLOOKUP(Logs_reseau[[#This Row],[Cell_ID]],'[1]Registre_Maintenance_combine '!A:E,5,FALSE),"Non trouvé")</f>
        <v>Non trouvé</v>
      </c>
      <c r="J848" t="str">
        <f>IFERROR(VLOOKUP(Logs_reseau[[#This Row],[Cell_ID]],'[1]Registre_Maintenance_combine '!A:F,6,FALSE),"Non trouvé")</f>
        <v>Non trouvé</v>
      </c>
    </row>
    <row r="849" spans="1:10" x14ac:dyDescent="0.25">
      <c r="A849" t="str">
        <f>IFERROR(VLOOKUP(Logs_reseau[[#This Row],[Cell_ID]],'[1]Registre_Maintenance_combine '!A:B,2,FALSE),"Non trouvé")</f>
        <v>Kwango</v>
      </c>
      <c r="B849" t="s">
        <v>182</v>
      </c>
      <c r="C849" s="3">
        <v>45213.311111111114</v>
      </c>
      <c r="D849" s="11">
        <f>Logs_reseau[[#This Row],[Duree_Panne_Min]]/1440</f>
        <v>1.5277777777777777E-2</v>
      </c>
      <c r="E849">
        <v>22</v>
      </c>
      <c r="F849" t="s">
        <v>2</v>
      </c>
      <c r="G849">
        <f>IFERROR(VLOOKUP(Logs_reseau[[#This Row],[Cell_ID]],'[1]Registre_Maintenance_combine '!A:C,3,FALSE),"Non trouvé")</f>
        <v>4.8319039999999998</v>
      </c>
      <c r="H849">
        <f>IFERROR(VLOOKUP(Logs_reseau[[#This Row],[Cell_ID]],'[1]Registre_Maintenance_combine '!A:D,4,FALSE),"Non trouvé")</f>
        <v>20.733468999999999</v>
      </c>
      <c r="I849" t="str">
        <f>IFERROR(VLOOKUP(Logs_reseau[[#This Row],[Cell_ID]],'[1]Registre_Maintenance_combine '!A:E,5,FALSE),"Non trouvé")</f>
        <v>5G</v>
      </c>
      <c r="J849" t="str">
        <f>IFERROR(VLOOKUP(Logs_reseau[[#This Row],[Cell_ID]],'[1]Registre_Maintenance_combine '!A:F,6,FALSE),"Non trouvé")</f>
        <v>Ericsson</v>
      </c>
    </row>
    <row r="850" spans="1:10" x14ac:dyDescent="0.25">
      <c r="A850" t="str">
        <f>IFERROR(VLOOKUP(Logs_reseau[[#This Row],[Cell_ID]],'[1]Registre_Maintenance_combine '!A:B,2,FALSE),"Non trouvé")</f>
        <v>Lomami</v>
      </c>
      <c r="B850" t="s">
        <v>209</v>
      </c>
      <c r="C850" s="3">
        <v>45218.368750000001</v>
      </c>
      <c r="D850" s="11">
        <f>Logs_reseau[[#This Row],[Duree_Panne_Min]]/1440</f>
        <v>4.8611111111111112E-2</v>
      </c>
      <c r="E850">
        <v>70</v>
      </c>
      <c r="F850" t="s">
        <v>1</v>
      </c>
      <c r="G850">
        <f>IFERROR(VLOOKUP(Logs_reseau[[#This Row],[Cell_ID]],'[1]Registre_Maintenance_combine '!A:C,3,FALSE),"Non trouvé")</f>
        <v>-8.4227860000000003</v>
      </c>
      <c r="H850">
        <f>IFERROR(VLOOKUP(Logs_reseau[[#This Row],[Cell_ID]],'[1]Registre_Maintenance_combine '!A:D,4,FALSE),"Non trouvé")</f>
        <v>16.781293000000002</v>
      </c>
      <c r="I850" t="str">
        <f>IFERROR(VLOOKUP(Logs_reseau[[#This Row],[Cell_ID]],'[1]Registre_Maintenance_combine '!A:E,5,FALSE),"Non trouvé")</f>
        <v>4G</v>
      </c>
      <c r="J850" t="str">
        <f>IFERROR(VLOOKUP(Logs_reseau[[#This Row],[Cell_ID]],'[1]Registre_Maintenance_combine '!A:F,6,FALSE),"Non trouvé")</f>
        <v>Huawei</v>
      </c>
    </row>
    <row r="851" spans="1:10" x14ac:dyDescent="0.25">
      <c r="A851" t="str">
        <f>IFERROR(VLOOKUP(Logs_reseau[[#This Row],[Cell_ID]],'[1]Registre_Maintenance_combine '!A:B,2,FALSE),"Non trouvé")</f>
        <v>Nord-Ubangi</v>
      </c>
      <c r="B851" t="s">
        <v>210</v>
      </c>
      <c r="C851" s="3">
        <v>45227.033333333333</v>
      </c>
      <c r="D851" s="11">
        <f>Logs_reseau[[#This Row],[Duree_Panne_Min]]/1440</f>
        <v>4.7222222222222221E-2</v>
      </c>
      <c r="E851">
        <v>68</v>
      </c>
      <c r="F851" t="s">
        <v>4</v>
      </c>
      <c r="G851">
        <f>IFERROR(VLOOKUP(Logs_reseau[[#This Row],[Cell_ID]],'[1]Registre_Maintenance_combine '!A:C,3,FALSE),"Non trouvé")</f>
        <v>-10.375266999999999</v>
      </c>
      <c r="H851">
        <f>IFERROR(VLOOKUP(Logs_reseau[[#This Row],[Cell_ID]],'[1]Registre_Maintenance_combine '!A:D,4,FALSE),"Non trouvé")</f>
        <v>17.993663000000002</v>
      </c>
      <c r="I851" t="str">
        <f>IFERROR(VLOOKUP(Logs_reseau[[#This Row],[Cell_ID]],'[1]Registre_Maintenance_combine '!A:E,5,FALSE),"Non trouvé")</f>
        <v>5G</v>
      </c>
      <c r="J851" t="str">
        <f>IFERROR(VLOOKUP(Logs_reseau[[#This Row],[Cell_ID]],'[1]Registre_Maintenance_combine '!A:F,6,FALSE),"Non trouvé")</f>
        <v>ZTE</v>
      </c>
    </row>
    <row r="852" spans="1:10" x14ac:dyDescent="0.25">
      <c r="A852" t="str">
        <f>IFERROR(VLOOKUP(Logs_reseau[[#This Row],[Cell_ID]],'[1]Registre_Maintenance_combine '!A:B,2,FALSE),"Non trouvé")</f>
        <v>Non trouvé</v>
      </c>
      <c r="B852" t="s">
        <v>110</v>
      </c>
      <c r="C852" s="3">
        <v>45225.238888888889</v>
      </c>
      <c r="D852" s="11">
        <f>Logs_reseau[[#This Row],[Duree_Panne_Min]]/1440</f>
        <v>1.1111111111111112E-2</v>
      </c>
      <c r="E852">
        <v>16</v>
      </c>
      <c r="F852" t="s">
        <v>2</v>
      </c>
      <c r="G852" t="str">
        <f>IFERROR(VLOOKUP(Logs_reseau[[#This Row],[Cell_ID]],'[1]Registre_Maintenance_combine '!A:C,3,FALSE),"Non trouvé")</f>
        <v>Non trouvé</v>
      </c>
      <c r="H852" t="str">
        <f>IFERROR(VLOOKUP(Logs_reseau[[#This Row],[Cell_ID]],'[1]Registre_Maintenance_combine '!A:D,4,FALSE),"Non trouvé")</f>
        <v>Non trouvé</v>
      </c>
      <c r="I852" t="str">
        <f>IFERROR(VLOOKUP(Logs_reseau[[#This Row],[Cell_ID]],'[1]Registre_Maintenance_combine '!A:E,5,FALSE),"Non trouvé")</f>
        <v>Non trouvé</v>
      </c>
      <c r="J852" t="str">
        <f>IFERROR(VLOOKUP(Logs_reseau[[#This Row],[Cell_ID]],'[1]Registre_Maintenance_combine '!A:F,6,FALSE),"Non trouvé")</f>
        <v>Non trouvé</v>
      </c>
    </row>
    <row r="853" spans="1:10" x14ac:dyDescent="0.25">
      <c r="A853" t="str">
        <f>IFERROR(VLOOKUP(Logs_reseau[[#This Row],[Cell_ID]],'[1]Registre_Maintenance_combine '!A:B,2,FALSE),"Non trouvé")</f>
        <v>Non trouvé</v>
      </c>
      <c r="B853" t="s">
        <v>211</v>
      </c>
      <c r="C853" s="3">
        <v>45213.428472222222</v>
      </c>
      <c r="D853" s="11">
        <f>Logs_reseau[[#This Row],[Duree_Panne_Min]]/1440</f>
        <v>7.013888888888889E-2</v>
      </c>
      <c r="E853">
        <v>101</v>
      </c>
      <c r="F853" t="s">
        <v>2</v>
      </c>
      <c r="G853" t="str">
        <f>IFERROR(VLOOKUP(Logs_reseau[[#This Row],[Cell_ID]],'[1]Registre_Maintenance_combine '!A:C,3,FALSE),"Non trouvé")</f>
        <v>Non trouvé</v>
      </c>
      <c r="H853" t="str">
        <f>IFERROR(VLOOKUP(Logs_reseau[[#This Row],[Cell_ID]],'[1]Registre_Maintenance_combine '!A:D,4,FALSE),"Non trouvé")</f>
        <v>Non trouvé</v>
      </c>
      <c r="I853" t="str">
        <f>IFERROR(VLOOKUP(Logs_reseau[[#This Row],[Cell_ID]],'[1]Registre_Maintenance_combine '!A:E,5,FALSE),"Non trouvé")</f>
        <v>Non trouvé</v>
      </c>
      <c r="J853" t="str">
        <f>IFERROR(VLOOKUP(Logs_reseau[[#This Row],[Cell_ID]],'[1]Registre_Maintenance_combine '!A:F,6,FALSE),"Non trouvé")</f>
        <v>Non trouvé</v>
      </c>
    </row>
    <row r="854" spans="1:10" x14ac:dyDescent="0.25">
      <c r="A854" t="str">
        <f>IFERROR(VLOOKUP(Logs_reseau[[#This Row],[Cell_ID]],'[1]Registre_Maintenance_combine '!A:B,2,FALSE),"Non trouvé")</f>
        <v>Lomami</v>
      </c>
      <c r="B854" t="s">
        <v>212</v>
      </c>
      <c r="C854" s="3">
        <v>45204.283333333333</v>
      </c>
      <c r="D854" s="11">
        <f>Logs_reseau[[#This Row],[Duree_Panne_Min]]/1440</f>
        <v>7.6388888888888886E-3</v>
      </c>
      <c r="E854">
        <v>11</v>
      </c>
      <c r="F854" t="s">
        <v>4</v>
      </c>
      <c r="G854">
        <f>IFERROR(VLOOKUP(Logs_reseau[[#This Row],[Cell_ID]],'[1]Registre_Maintenance_combine '!A:C,3,FALSE),"Non trouvé")</f>
        <v>-2.2371569999999998</v>
      </c>
      <c r="H854">
        <f>IFERROR(VLOOKUP(Logs_reseau[[#This Row],[Cell_ID]],'[1]Registre_Maintenance_combine '!A:D,4,FALSE),"Non trouvé")</f>
        <v>25.926188</v>
      </c>
      <c r="I854" t="str">
        <f>IFERROR(VLOOKUP(Logs_reseau[[#This Row],[Cell_ID]],'[1]Registre_Maintenance_combine '!A:E,5,FALSE),"Non trouvé")</f>
        <v>3G</v>
      </c>
      <c r="J854" t="str">
        <f>IFERROR(VLOOKUP(Logs_reseau[[#This Row],[Cell_ID]],'[1]Registre_Maintenance_combine '!A:F,6,FALSE),"Non trouvé")</f>
        <v>Nokia</v>
      </c>
    </row>
    <row r="855" spans="1:10" x14ac:dyDescent="0.25">
      <c r="A855" t="str">
        <f>IFERROR(VLOOKUP(Logs_reseau[[#This Row],[Cell_ID]],'[1]Registre_Maintenance_combine '!A:B,2,FALSE),"Non trouvé")</f>
        <v>Non trouvé</v>
      </c>
      <c r="B855" t="s">
        <v>213</v>
      </c>
      <c r="C855" s="3">
        <v>45210.128472222219</v>
      </c>
      <c r="D855" s="11">
        <f>Logs_reseau[[#This Row],[Duree_Panne_Min]]/1440</f>
        <v>7.9861111111111105E-2</v>
      </c>
      <c r="E855">
        <v>115</v>
      </c>
      <c r="F855" t="s">
        <v>1</v>
      </c>
      <c r="G855" t="str">
        <f>IFERROR(VLOOKUP(Logs_reseau[[#This Row],[Cell_ID]],'[1]Registre_Maintenance_combine '!A:C,3,FALSE),"Non trouvé")</f>
        <v>Non trouvé</v>
      </c>
      <c r="H855" t="str">
        <f>IFERROR(VLOOKUP(Logs_reseau[[#This Row],[Cell_ID]],'[1]Registre_Maintenance_combine '!A:D,4,FALSE),"Non trouvé")</f>
        <v>Non trouvé</v>
      </c>
      <c r="I855" t="str">
        <f>IFERROR(VLOOKUP(Logs_reseau[[#This Row],[Cell_ID]],'[1]Registre_Maintenance_combine '!A:E,5,FALSE),"Non trouvé")</f>
        <v>Non trouvé</v>
      </c>
      <c r="J855" t="str">
        <f>IFERROR(VLOOKUP(Logs_reseau[[#This Row],[Cell_ID]],'[1]Registre_Maintenance_combine '!A:F,6,FALSE),"Non trouvé")</f>
        <v>Non trouvé</v>
      </c>
    </row>
    <row r="856" spans="1:10" x14ac:dyDescent="0.25">
      <c r="A856" t="str">
        <f>IFERROR(VLOOKUP(Logs_reseau[[#This Row],[Cell_ID]],'[1]Registre_Maintenance_combine '!A:B,2,FALSE),"Non trouvé")</f>
        <v>Tanganyika</v>
      </c>
      <c r="B856" t="s">
        <v>214</v>
      </c>
      <c r="C856" s="3">
        <v>45212.140277777777</v>
      </c>
      <c r="D856" s="11">
        <f>Logs_reseau[[#This Row],[Duree_Panne_Min]]/1440</f>
        <v>1.3194444444444444E-2</v>
      </c>
      <c r="E856">
        <v>19</v>
      </c>
      <c r="F856" t="s">
        <v>2</v>
      </c>
      <c r="G856">
        <f>IFERROR(VLOOKUP(Logs_reseau[[#This Row],[Cell_ID]],'[1]Registre_Maintenance_combine '!A:C,3,FALSE),"Non trouvé")</f>
        <v>-9.4708620000000003</v>
      </c>
      <c r="H856">
        <f>IFERROR(VLOOKUP(Logs_reseau[[#This Row],[Cell_ID]],'[1]Registre_Maintenance_combine '!A:D,4,FALSE),"Non trouvé")</f>
        <v>29.234387999999999</v>
      </c>
      <c r="I856" t="str">
        <f>IFERROR(VLOOKUP(Logs_reseau[[#This Row],[Cell_ID]],'[1]Registre_Maintenance_combine '!A:E,5,FALSE),"Non trouvé")</f>
        <v>3G</v>
      </c>
      <c r="J856" t="str">
        <f>IFERROR(VLOOKUP(Logs_reseau[[#This Row],[Cell_ID]],'[1]Registre_Maintenance_combine '!A:F,6,FALSE),"Non trouvé")</f>
        <v>ZTE</v>
      </c>
    </row>
    <row r="857" spans="1:10" x14ac:dyDescent="0.25">
      <c r="A857" t="str">
        <f>IFERROR(VLOOKUP(Logs_reseau[[#This Row],[Cell_ID]],'[1]Registre_Maintenance_combine '!A:B,2,FALSE),"Non trouvé")</f>
        <v>Non trouvé</v>
      </c>
      <c r="B857" t="s">
        <v>215</v>
      </c>
      <c r="C857" s="3">
        <v>45227.484722222223</v>
      </c>
      <c r="D857" s="11">
        <f>Logs_reseau[[#This Row],[Duree_Panne_Min]]/1440</f>
        <v>1.6666666666666666E-2</v>
      </c>
      <c r="E857">
        <v>24</v>
      </c>
      <c r="F857" t="s">
        <v>2</v>
      </c>
      <c r="G857" t="str">
        <f>IFERROR(VLOOKUP(Logs_reseau[[#This Row],[Cell_ID]],'[1]Registre_Maintenance_combine '!A:C,3,FALSE),"Non trouvé")</f>
        <v>Non trouvé</v>
      </c>
      <c r="H857" t="str">
        <f>IFERROR(VLOOKUP(Logs_reseau[[#This Row],[Cell_ID]],'[1]Registre_Maintenance_combine '!A:D,4,FALSE),"Non trouvé")</f>
        <v>Non trouvé</v>
      </c>
      <c r="I857" t="str">
        <f>IFERROR(VLOOKUP(Logs_reseau[[#This Row],[Cell_ID]],'[1]Registre_Maintenance_combine '!A:E,5,FALSE),"Non trouvé")</f>
        <v>Non trouvé</v>
      </c>
      <c r="J857" t="str">
        <f>IFERROR(VLOOKUP(Logs_reseau[[#This Row],[Cell_ID]],'[1]Registre_Maintenance_combine '!A:F,6,FALSE),"Non trouvé")</f>
        <v>Non trouvé</v>
      </c>
    </row>
    <row r="858" spans="1:10" x14ac:dyDescent="0.25">
      <c r="A858" t="str">
        <f>IFERROR(VLOOKUP(Logs_reseau[[#This Row],[Cell_ID]],'[1]Registre_Maintenance_combine '!A:B,2,FALSE),"Non trouvé")</f>
        <v>Lomami</v>
      </c>
      <c r="B858" t="s">
        <v>209</v>
      </c>
      <c r="C858" s="3">
        <v>45208.073611111111</v>
      </c>
      <c r="D858" s="11">
        <f>Logs_reseau[[#This Row],[Duree_Panne_Min]]/1440</f>
        <v>5.9027777777777776E-2</v>
      </c>
      <c r="E858">
        <v>85</v>
      </c>
      <c r="F858" t="s">
        <v>2</v>
      </c>
      <c r="G858">
        <f>IFERROR(VLOOKUP(Logs_reseau[[#This Row],[Cell_ID]],'[1]Registre_Maintenance_combine '!A:C,3,FALSE),"Non trouvé")</f>
        <v>-8.4227860000000003</v>
      </c>
      <c r="H858">
        <f>IFERROR(VLOOKUP(Logs_reseau[[#This Row],[Cell_ID]],'[1]Registre_Maintenance_combine '!A:D,4,FALSE),"Non trouvé")</f>
        <v>16.781293000000002</v>
      </c>
      <c r="I858" t="str">
        <f>IFERROR(VLOOKUP(Logs_reseau[[#This Row],[Cell_ID]],'[1]Registre_Maintenance_combine '!A:E,5,FALSE),"Non trouvé")</f>
        <v>4G</v>
      </c>
      <c r="J858" t="str">
        <f>IFERROR(VLOOKUP(Logs_reseau[[#This Row],[Cell_ID]],'[1]Registre_Maintenance_combine '!A:F,6,FALSE),"Non trouvé")</f>
        <v>Huawei</v>
      </c>
    </row>
    <row r="859" spans="1:10" x14ac:dyDescent="0.25">
      <c r="A859" t="str">
        <f>IFERROR(VLOOKUP(Logs_reseau[[#This Row],[Cell_ID]],'[1]Registre_Maintenance_combine '!A:B,2,FALSE),"Non trouvé")</f>
        <v>Haut-Katanga</v>
      </c>
      <c r="B859" t="s">
        <v>216</v>
      </c>
      <c r="C859" s="3">
        <v>45214.713194444441</v>
      </c>
      <c r="D859" s="11">
        <f>Logs_reseau[[#This Row],[Duree_Panne_Min]]/1440</f>
        <v>1.7361111111111112E-2</v>
      </c>
      <c r="E859">
        <v>25</v>
      </c>
      <c r="F859" t="s">
        <v>1</v>
      </c>
      <c r="G859">
        <f>IFERROR(VLOOKUP(Logs_reseau[[#This Row],[Cell_ID]],'[1]Registre_Maintenance_combine '!A:C,3,FALSE),"Non trouvé")</f>
        <v>0.172153</v>
      </c>
      <c r="H859">
        <f>IFERROR(VLOOKUP(Logs_reseau[[#This Row],[Cell_ID]],'[1]Registre_Maintenance_combine '!A:D,4,FALSE),"Non trouvé")</f>
        <v>21.091376</v>
      </c>
      <c r="I859" t="str">
        <f>IFERROR(VLOOKUP(Logs_reseau[[#This Row],[Cell_ID]],'[1]Registre_Maintenance_combine '!A:E,5,FALSE),"Non trouvé")</f>
        <v>3G</v>
      </c>
      <c r="J859" t="str">
        <f>IFERROR(VLOOKUP(Logs_reseau[[#This Row],[Cell_ID]],'[1]Registre_Maintenance_combine '!A:F,6,FALSE),"Non trouvé")</f>
        <v>Ericsson</v>
      </c>
    </row>
    <row r="860" spans="1:10" x14ac:dyDescent="0.25">
      <c r="A860" t="str">
        <f>IFERROR(VLOOKUP(Logs_reseau[[#This Row],[Cell_ID]],'[1]Registre_Maintenance_combine '!A:B,2,FALSE),"Non trouvé")</f>
        <v>Non trouvé</v>
      </c>
      <c r="B860" t="s">
        <v>217</v>
      </c>
      <c r="C860" s="3">
        <v>45229.503472222219</v>
      </c>
      <c r="D860" s="11">
        <f>Logs_reseau[[#This Row],[Duree_Panne_Min]]/1440</f>
        <v>7.3611111111111113E-2</v>
      </c>
      <c r="E860">
        <v>106</v>
      </c>
      <c r="F860" t="s">
        <v>2</v>
      </c>
      <c r="G860" t="str">
        <f>IFERROR(VLOOKUP(Logs_reseau[[#This Row],[Cell_ID]],'[1]Registre_Maintenance_combine '!A:C,3,FALSE),"Non trouvé")</f>
        <v>Non trouvé</v>
      </c>
      <c r="H860" t="str">
        <f>IFERROR(VLOOKUP(Logs_reseau[[#This Row],[Cell_ID]],'[1]Registre_Maintenance_combine '!A:D,4,FALSE),"Non trouvé")</f>
        <v>Non trouvé</v>
      </c>
      <c r="I860" t="str">
        <f>IFERROR(VLOOKUP(Logs_reseau[[#This Row],[Cell_ID]],'[1]Registre_Maintenance_combine '!A:E,5,FALSE),"Non trouvé")</f>
        <v>Non trouvé</v>
      </c>
      <c r="J860" t="str">
        <f>IFERROR(VLOOKUP(Logs_reseau[[#This Row],[Cell_ID]],'[1]Registre_Maintenance_combine '!A:F,6,FALSE),"Non trouvé")</f>
        <v>Non trouvé</v>
      </c>
    </row>
    <row r="861" spans="1:10" x14ac:dyDescent="0.25">
      <c r="A861" t="str">
        <f>IFERROR(VLOOKUP(Logs_reseau[[#This Row],[Cell_ID]],'[1]Registre_Maintenance_combine '!A:B,2,FALSE),"Non trouvé")</f>
        <v>Non trouvé</v>
      </c>
      <c r="B861" t="s">
        <v>157</v>
      </c>
      <c r="C861" s="3">
        <v>45217.411805555559</v>
      </c>
      <c r="D861" s="11">
        <f>Logs_reseau[[#This Row],[Duree_Panne_Min]]/1440</f>
        <v>6.3888888888888884E-2</v>
      </c>
      <c r="E861">
        <v>92</v>
      </c>
      <c r="F861" t="s">
        <v>4</v>
      </c>
      <c r="G861" t="str">
        <f>IFERROR(VLOOKUP(Logs_reseau[[#This Row],[Cell_ID]],'[1]Registre_Maintenance_combine '!A:C,3,FALSE),"Non trouvé")</f>
        <v>Non trouvé</v>
      </c>
      <c r="H861" t="str">
        <f>IFERROR(VLOOKUP(Logs_reseau[[#This Row],[Cell_ID]],'[1]Registre_Maintenance_combine '!A:D,4,FALSE),"Non trouvé")</f>
        <v>Non trouvé</v>
      </c>
      <c r="I861" t="str">
        <f>IFERROR(VLOOKUP(Logs_reseau[[#This Row],[Cell_ID]],'[1]Registre_Maintenance_combine '!A:E,5,FALSE),"Non trouvé")</f>
        <v>Non trouvé</v>
      </c>
      <c r="J861" t="str">
        <f>IFERROR(VLOOKUP(Logs_reseau[[#This Row],[Cell_ID]],'[1]Registre_Maintenance_combine '!A:F,6,FALSE),"Non trouvé")</f>
        <v>Non trouvé</v>
      </c>
    </row>
    <row r="862" spans="1:10" x14ac:dyDescent="0.25">
      <c r="A862" t="str">
        <f>IFERROR(VLOOKUP(Logs_reseau[[#This Row],[Cell_ID]],'[1]Registre_Maintenance_combine '!A:B,2,FALSE),"Non trouvé")</f>
        <v>Non trouvé</v>
      </c>
      <c r="B862" t="s">
        <v>218</v>
      </c>
      <c r="C862" s="3">
        <v>45220.830555555556</v>
      </c>
      <c r="D862" s="11">
        <f>Logs_reseau[[#This Row],[Duree_Panne_Min]]/1440</f>
        <v>4.0972222222222222E-2</v>
      </c>
      <c r="E862">
        <v>59</v>
      </c>
      <c r="F862" t="s">
        <v>4</v>
      </c>
      <c r="G862" t="str">
        <f>IFERROR(VLOOKUP(Logs_reseau[[#This Row],[Cell_ID]],'[1]Registre_Maintenance_combine '!A:C,3,FALSE),"Non trouvé")</f>
        <v>Non trouvé</v>
      </c>
      <c r="H862" t="str">
        <f>IFERROR(VLOOKUP(Logs_reseau[[#This Row],[Cell_ID]],'[1]Registre_Maintenance_combine '!A:D,4,FALSE),"Non trouvé")</f>
        <v>Non trouvé</v>
      </c>
      <c r="I862" t="str">
        <f>IFERROR(VLOOKUP(Logs_reseau[[#This Row],[Cell_ID]],'[1]Registre_Maintenance_combine '!A:E,5,FALSE),"Non trouvé")</f>
        <v>Non trouvé</v>
      </c>
      <c r="J862" t="str">
        <f>IFERROR(VLOOKUP(Logs_reseau[[#This Row],[Cell_ID]],'[1]Registre_Maintenance_combine '!A:F,6,FALSE),"Non trouvé")</f>
        <v>Non trouvé</v>
      </c>
    </row>
    <row r="863" spans="1:10" x14ac:dyDescent="0.25">
      <c r="A863" t="str">
        <f>IFERROR(VLOOKUP(Logs_reseau[[#This Row],[Cell_ID]],'[1]Registre_Maintenance_combine '!A:B,2,FALSE),"Non trouvé")</f>
        <v>Non trouvé</v>
      </c>
      <c r="B863" t="s">
        <v>208</v>
      </c>
      <c r="C863" s="3">
        <v>45227.48333333333</v>
      </c>
      <c r="D863" s="11">
        <f>Logs_reseau[[#This Row],[Duree_Panne_Min]]/1440</f>
        <v>5.6250000000000001E-2</v>
      </c>
      <c r="E863">
        <v>81</v>
      </c>
      <c r="F863" t="s">
        <v>2</v>
      </c>
      <c r="G863" t="str">
        <f>IFERROR(VLOOKUP(Logs_reseau[[#This Row],[Cell_ID]],'[1]Registre_Maintenance_combine '!A:C,3,FALSE),"Non trouvé")</f>
        <v>Non trouvé</v>
      </c>
      <c r="H863" t="str">
        <f>IFERROR(VLOOKUP(Logs_reseau[[#This Row],[Cell_ID]],'[1]Registre_Maintenance_combine '!A:D,4,FALSE),"Non trouvé")</f>
        <v>Non trouvé</v>
      </c>
      <c r="I863" t="str">
        <f>IFERROR(VLOOKUP(Logs_reseau[[#This Row],[Cell_ID]],'[1]Registre_Maintenance_combine '!A:E,5,FALSE),"Non trouvé")</f>
        <v>Non trouvé</v>
      </c>
      <c r="J863" t="str">
        <f>IFERROR(VLOOKUP(Logs_reseau[[#This Row],[Cell_ID]],'[1]Registre_Maintenance_combine '!A:F,6,FALSE),"Non trouvé")</f>
        <v>Non trouvé</v>
      </c>
    </row>
    <row r="864" spans="1:10" x14ac:dyDescent="0.25">
      <c r="A864" t="str">
        <f>IFERROR(VLOOKUP(Logs_reseau[[#This Row],[Cell_ID]],'[1]Registre_Maintenance_combine '!A:B,2,FALSE),"Non trouvé")</f>
        <v>Sud-Ubangi</v>
      </c>
      <c r="B864" t="s">
        <v>165</v>
      </c>
      <c r="C864" s="3">
        <v>45206.919444444444</v>
      </c>
      <c r="D864" s="11">
        <f>Logs_reseau[[#This Row],[Duree_Panne_Min]]/1440</f>
        <v>9.0277777777777769E-3</v>
      </c>
      <c r="E864">
        <v>13</v>
      </c>
      <c r="F864" t="s">
        <v>2</v>
      </c>
      <c r="G864">
        <f>IFERROR(VLOOKUP(Logs_reseau[[#This Row],[Cell_ID]],'[1]Registre_Maintenance_combine '!A:C,3,FALSE),"Non trouvé")</f>
        <v>-10.56448</v>
      </c>
      <c r="H864">
        <f>IFERROR(VLOOKUP(Logs_reseau[[#This Row],[Cell_ID]],'[1]Registre_Maintenance_combine '!A:D,4,FALSE),"Non trouvé")</f>
        <v>19.792876</v>
      </c>
      <c r="I864" t="str">
        <f>IFERROR(VLOOKUP(Logs_reseau[[#This Row],[Cell_ID]],'[1]Registre_Maintenance_combine '!A:E,5,FALSE),"Non trouvé")</f>
        <v>5G</v>
      </c>
      <c r="J864" t="str">
        <f>IFERROR(VLOOKUP(Logs_reseau[[#This Row],[Cell_ID]],'[1]Registre_Maintenance_combine '!A:F,6,FALSE),"Non trouvé")</f>
        <v>Ericsson</v>
      </c>
    </row>
    <row r="865" spans="1:10" x14ac:dyDescent="0.25">
      <c r="A865" t="str">
        <f>IFERROR(VLOOKUP(Logs_reseau[[#This Row],[Cell_ID]],'[1]Registre_Maintenance_combine '!A:B,2,FALSE),"Non trouvé")</f>
        <v>Nord-Kivu</v>
      </c>
      <c r="B865" t="s">
        <v>219</v>
      </c>
      <c r="C865" s="3">
        <v>45201.884722222225</v>
      </c>
      <c r="D865" s="11">
        <f>Logs_reseau[[#This Row],[Duree_Panne_Min]]/1440</f>
        <v>3.7499999999999999E-2</v>
      </c>
      <c r="E865">
        <v>54</v>
      </c>
      <c r="F865" t="s">
        <v>4</v>
      </c>
      <c r="G865">
        <f>IFERROR(VLOOKUP(Logs_reseau[[#This Row],[Cell_ID]],'[1]Registre_Maintenance_combine '!A:C,3,FALSE),"Non trouvé")</f>
        <v>4.6287159999999998</v>
      </c>
      <c r="H865">
        <f>IFERROR(VLOOKUP(Logs_reseau[[#This Row],[Cell_ID]],'[1]Registre_Maintenance_combine '!A:D,4,FALSE),"Non trouvé")</f>
        <v>19.407077999999998</v>
      </c>
      <c r="I865" t="str">
        <f>IFERROR(VLOOKUP(Logs_reseau[[#This Row],[Cell_ID]],'[1]Registre_Maintenance_combine '!A:E,5,FALSE),"Non trouvé")</f>
        <v>4G</v>
      </c>
      <c r="J865" t="str">
        <f>IFERROR(VLOOKUP(Logs_reseau[[#This Row],[Cell_ID]],'[1]Registre_Maintenance_combine '!A:F,6,FALSE),"Non trouvé")</f>
        <v>Ericsson</v>
      </c>
    </row>
    <row r="866" spans="1:10" x14ac:dyDescent="0.25">
      <c r="A866" t="str">
        <f>IFERROR(VLOOKUP(Logs_reseau[[#This Row],[Cell_ID]],'[1]Registre_Maintenance_combine '!A:B,2,FALSE),"Non trouvé")</f>
        <v>Non trouvé</v>
      </c>
      <c r="B866" t="s">
        <v>201</v>
      </c>
      <c r="C866" s="3">
        <v>45224.378472222219</v>
      </c>
      <c r="D866" s="11">
        <f>Logs_reseau[[#This Row],[Duree_Panne_Min]]/1440</f>
        <v>3.6805555555555557E-2</v>
      </c>
      <c r="E866">
        <v>53</v>
      </c>
      <c r="F866" t="s">
        <v>4</v>
      </c>
      <c r="G866" t="str">
        <f>IFERROR(VLOOKUP(Logs_reseau[[#This Row],[Cell_ID]],'[1]Registre_Maintenance_combine '!A:C,3,FALSE),"Non trouvé")</f>
        <v>Non trouvé</v>
      </c>
      <c r="H866" t="str">
        <f>IFERROR(VLOOKUP(Logs_reseau[[#This Row],[Cell_ID]],'[1]Registre_Maintenance_combine '!A:D,4,FALSE),"Non trouvé")</f>
        <v>Non trouvé</v>
      </c>
      <c r="I866" t="str">
        <f>IFERROR(VLOOKUP(Logs_reseau[[#This Row],[Cell_ID]],'[1]Registre_Maintenance_combine '!A:E,5,FALSE),"Non trouvé")</f>
        <v>Non trouvé</v>
      </c>
      <c r="J866" t="str">
        <f>IFERROR(VLOOKUP(Logs_reseau[[#This Row],[Cell_ID]],'[1]Registre_Maintenance_combine '!A:F,6,FALSE),"Non trouvé")</f>
        <v>Non trouvé</v>
      </c>
    </row>
    <row r="867" spans="1:10" x14ac:dyDescent="0.25">
      <c r="A867" t="str">
        <f>IFERROR(VLOOKUP(Logs_reseau[[#This Row],[Cell_ID]],'[1]Registre_Maintenance_combine '!A:B,2,FALSE),"Non trouvé")</f>
        <v>Non trouvé</v>
      </c>
      <c r="B867" t="s">
        <v>220</v>
      </c>
      <c r="C867" s="3">
        <v>45227.329861111109</v>
      </c>
      <c r="D867" s="11">
        <f>Logs_reseau[[#This Row],[Duree_Panne_Min]]/1440</f>
        <v>5.6250000000000001E-2</v>
      </c>
      <c r="E867">
        <v>81</v>
      </c>
      <c r="F867" t="s">
        <v>2</v>
      </c>
      <c r="G867" t="str">
        <f>IFERROR(VLOOKUP(Logs_reseau[[#This Row],[Cell_ID]],'[1]Registre_Maintenance_combine '!A:C,3,FALSE),"Non trouvé")</f>
        <v>Non trouvé</v>
      </c>
      <c r="H867" t="str">
        <f>IFERROR(VLOOKUP(Logs_reseau[[#This Row],[Cell_ID]],'[1]Registre_Maintenance_combine '!A:D,4,FALSE),"Non trouvé")</f>
        <v>Non trouvé</v>
      </c>
      <c r="I867" t="str">
        <f>IFERROR(VLOOKUP(Logs_reseau[[#This Row],[Cell_ID]],'[1]Registre_Maintenance_combine '!A:E,5,FALSE),"Non trouvé")</f>
        <v>Non trouvé</v>
      </c>
      <c r="J867" t="str">
        <f>IFERROR(VLOOKUP(Logs_reseau[[#This Row],[Cell_ID]],'[1]Registre_Maintenance_combine '!A:F,6,FALSE),"Non trouvé")</f>
        <v>Non trouvé</v>
      </c>
    </row>
    <row r="868" spans="1:10" x14ac:dyDescent="0.25">
      <c r="A868" t="str">
        <f>IFERROR(VLOOKUP(Logs_reseau[[#This Row],[Cell_ID]],'[1]Registre_Maintenance_combine '!A:B,2,FALSE),"Non trouvé")</f>
        <v>Tshopo</v>
      </c>
      <c r="B868" t="s">
        <v>221</v>
      </c>
      <c r="C868" s="3">
        <v>45203.511805555558</v>
      </c>
      <c r="D868" s="11">
        <f>Logs_reseau[[#This Row],[Duree_Panne_Min]]/1440</f>
        <v>4.4444444444444446E-2</v>
      </c>
      <c r="E868">
        <v>64</v>
      </c>
      <c r="F868" t="s">
        <v>4</v>
      </c>
      <c r="G868">
        <f>IFERROR(VLOOKUP(Logs_reseau[[#This Row],[Cell_ID]],'[1]Registre_Maintenance_combine '!A:C,3,FALSE),"Non trouvé")</f>
        <v>0.23583499999999999</v>
      </c>
      <c r="H868">
        <f>IFERROR(VLOOKUP(Logs_reseau[[#This Row],[Cell_ID]],'[1]Registre_Maintenance_combine '!A:D,4,FALSE),"Non trouvé")</f>
        <v>24.889558999999998</v>
      </c>
      <c r="I868" t="str">
        <f>IFERROR(VLOOKUP(Logs_reseau[[#This Row],[Cell_ID]],'[1]Registre_Maintenance_combine '!A:E,5,FALSE),"Non trouvé")</f>
        <v>3G</v>
      </c>
      <c r="J868" t="str">
        <f>IFERROR(VLOOKUP(Logs_reseau[[#This Row],[Cell_ID]],'[1]Registre_Maintenance_combine '!A:F,6,FALSE),"Non trouvé")</f>
        <v>ZTE</v>
      </c>
    </row>
    <row r="869" spans="1:10" x14ac:dyDescent="0.25">
      <c r="A869" t="str">
        <f>IFERROR(VLOOKUP(Logs_reseau[[#This Row],[Cell_ID]],'[1]Registre_Maintenance_combine '!A:B,2,FALSE),"Non trouvé")</f>
        <v>Non trouvé</v>
      </c>
      <c r="B869" t="s">
        <v>222</v>
      </c>
      <c r="C869" s="3">
        <v>45214.870138888888</v>
      </c>
      <c r="D869" s="11">
        <f>Logs_reseau[[#This Row],[Duree_Panne_Min]]/1440</f>
        <v>0.05</v>
      </c>
      <c r="E869">
        <v>72</v>
      </c>
      <c r="F869" t="s">
        <v>1</v>
      </c>
      <c r="G869" t="str">
        <f>IFERROR(VLOOKUP(Logs_reseau[[#This Row],[Cell_ID]],'[1]Registre_Maintenance_combine '!A:C,3,FALSE),"Non trouvé")</f>
        <v>Non trouvé</v>
      </c>
      <c r="H869" t="str">
        <f>IFERROR(VLOOKUP(Logs_reseau[[#This Row],[Cell_ID]],'[1]Registre_Maintenance_combine '!A:D,4,FALSE),"Non trouvé")</f>
        <v>Non trouvé</v>
      </c>
      <c r="I869" t="str">
        <f>IFERROR(VLOOKUP(Logs_reseau[[#This Row],[Cell_ID]],'[1]Registre_Maintenance_combine '!A:E,5,FALSE),"Non trouvé")</f>
        <v>Non trouvé</v>
      </c>
      <c r="J869" t="str">
        <f>IFERROR(VLOOKUP(Logs_reseau[[#This Row],[Cell_ID]],'[1]Registre_Maintenance_combine '!A:F,6,FALSE),"Non trouvé")</f>
        <v>Non trouvé</v>
      </c>
    </row>
    <row r="870" spans="1:10" x14ac:dyDescent="0.25">
      <c r="A870" t="str">
        <f>IFERROR(VLOOKUP(Logs_reseau[[#This Row],[Cell_ID]],'[1]Registre_Maintenance_combine '!A:B,2,FALSE),"Non trouvé")</f>
        <v>Tanganyika</v>
      </c>
      <c r="B870" t="s">
        <v>223</v>
      </c>
      <c r="C870" s="3">
        <v>45211.224305555559</v>
      </c>
      <c r="D870" s="11">
        <f>Logs_reseau[[#This Row],[Duree_Panne_Min]]/1440</f>
        <v>2.5694444444444443E-2</v>
      </c>
      <c r="E870">
        <v>37</v>
      </c>
      <c r="F870" t="s">
        <v>1</v>
      </c>
      <c r="G870">
        <f>IFERROR(VLOOKUP(Logs_reseau[[#This Row],[Cell_ID]],'[1]Registre_Maintenance_combine '!A:C,3,FALSE),"Non trouvé")</f>
        <v>-2.4662510000000002</v>
      </c>
      <c r="H870">
        <f>IFERROR(VLOOKUP(Logs_reseau[[#This Row],[Cell_ID]],'[1]Registre_Maintenance_combine '!A:D,4,FALSE),"Non trouvé")</f>
        <v>18.007998000000001</v>
      </c>
      <c r="I870" t="str">
        <f>IFERROR(VLOOKUP(Logs_reseau[[#This Row],[Cell_ID]],'[1]Registre_Maintenance_combine '!A:E,5,FALSE),"Non trouvé")</f>
        <v>5G</v>
      </c>
      <c r="J870" t="str">
        <f>IFERROR(VLOOKUP(Logs_reseau[[#This Row],[Cell_ID]],'[1]Registre_Maintenance_combine '!A:F,6,FALSE),"Non trouvé")</f>
        <v>Ericsson</v>
      </c>
    </row>
    <row r="871" spans="1:10" x14ac:dyDescent="0.25">
      <c r="A871" t="str">
        <f>IFERROR(VLOOKUP(Logs_reseau[[#This Row],[Cell_ID]],'[1]Registre_Maintenance_combine '!A:B,2,FALSE),"Non trouvé")</f>
        <v>Nord-Ubangi</v>
      </c>
      <c r="B871" t="s">
        <v>0</v>
      </c>
      <c r="C871" s="3">
        <v>45211.279166666667</v>
      </c>
      <c r="D871" s="11">
        <f>Logs_reseau[[#This Row],[Duree_Panne_Min]]/1440</f>
        <v>5.2083333333333336E-2</v>
      </c>
      <c r="E871">
        <v>75</v>
      </c>
      <c r="F871" t="s">
        <v>1</v>
      </c>
      <c r="G871">
        <f>IFERROR(VLOOKUP(Logs_reseau[[#This Row],[Cell_ID]],'[1]Registre_Maintenance_combine '!A:C,3,FALSE),"Non trouvé")</f>
        <v>-8.1437910000000002</v>
      </c>
      <c r="H871">
        <f>IFERROR(VLOOKUP(Logs_reseau[[#This Row],[Cell_ID]],'[1]Registre_Maintenance_combine '!A:D,4,FALSE),"Non trouvé")</f>
        <v>28.946161</v>
      </c>
      <c r="I871" t="str">
        <f>IFERROR(VLOOKUP(Logs_reseau[[#This Row],[Cell_ID]],'[1]Registre_Maintenance_combine '!A:E,5,FALSE),"Non trouvé")</f>
        <v>4G</v>
      </c>
      <c r="J871" t="str">
        <f>IFERROR(VLOOKUP(Logs_reseau[[#This Row],[Cell_ID]],'[1]Registre_Maintenance_combine '!A:F,6,FALSE),"Non trouvé")</f>
        <v>ZTE</v>
      </c>
    </row>
    <row r="872" spans="1:10" x14ac:dyDescent="0.25">
      <c r="A872" t="str">
        <f>IFERROR(VLOOKUP(Logs_reseau[[#This Row],[Cell_ID]],'[1]Registre_Maintenance_combine '!A:B,2,FALSE),"Non trouvé")</f>
        <v>Tshopo</v>
      </c>
      <c r="B872" t="s">
        <v>224</v>
      </c>
      <c r="C872" s="3">
        <v>45208.957638888889</v>
      </c>
      <c r="D872" s="11">
        <f>Logs_reseau[[#This Row],[Duree_Panne_Min]]/1440</f>
        <v>7.9861111111111105E-2</v>
      </c>
      <c r="E872">
        <v>115</v>
      </c>
      <c r="F872" t="s">
        <v>1</v>
      </c>
      <c r="G872">
        <f>IFERROR(VLOOKUP(Logs_reseau[[#This Row],[Cell_ID]],'[1]Registre_Maintenance_combine '!A:C,3,FALSE),"Non trouvé")</f>
        <v>-6.1837850000000003</v>
      </c>
      <c r="H872">
        <f>IFERROR(VLOOKUP(Logs_reseau[[#This Row],[Cell_ID]],'[1]Registre_Maintenance_combine '!A:D,4,FALSE),"Non trouvé")</f>
        <v>25.138759</v>
      </c>
      <c r="I872" t="str">
        <f>IFERROR(VLOOKUP(Logs_reseau[[#This Row],[Cell_ID]],'[1]Registre_Maintenance_combine '!A:E,5,FALSE),"Non trouvé")</f>
        <v>3G</v>
      </c>
      <c r="J872" t="str">
        <f>IFERROR(VLOOKUP(Logs_reseau[[#This Row],[Cell_ID]],'[1]Registre_Maintenance_combine '!A:F,6,FALSE),"Non trouvé")</f>
        <v>Ericsson</v>
      </c>
    </row>
    <row r="873" spans="1:10" x14ac:dyDescent="0.25">
      <c r="A873" t="str">
        <f>IFERROR(VLOOKUP(Logs_reseau[[#This Row],[Cell_ID]],'[1]Registre_Maintenance_combine '!A:B,2,FALSE),"Non trouvé")</f>
        <v>Kasai</v>
      </c>
      <c r="B873" t="s">
        <v>225</v>
      </c>
      <c r="C873" s="3">
        <v>45221.836111111108</v>
      </c>
      <c r="D873" s="11">
        <f>Logs_reseau[[#This Row],[Duree_Panne_Min]]/1440</f>
        <v>4.1666666666666666E-3</v>
      </c>
      <c r="E873">
        <v>6</v>
      </c>
      <c r="F873" t="s">
        <v>4</v>
      </c>
      <c r="G873">
        <f>IFERROR(VLOOKUP(Logs_reseau[[#This Row],[Cell_ID]],'[1]Registre_Maintenance_combine '!A:C,3,FALSE),"Non trouvé")</f>
        <v>-4.9789079999999997</v>
      </c>
      <c r="H873">
        <f>IFERROR(VLOOKUP(Logs_reseau[[#This Row],[Cell_ID]],'[1]Registre_Maintenance_combine '!A:D,4,FALSE),"Non trouvé")</f>
        <v>28.506295000000001</v>
      </c>
      <c r="I873" t="str">
        <f>IFERROR(VLOOKUP(Logs_reseau[[#This Row],[Cell_ID]],'[1]Registre_Maintenance_combine '!A:E,5,FALSE),"Non trouvé")</f>
        <v>4G</v>
      </c>
      <c r="J873" t="str">
        <f>IFERROR(VLOOKUP(Logs_reseau[[#This Row],[Cell_ID]],'[1]Registre_Maintenance_combine '!A:F,6,FALSE),"Non trouvé")</f>
        <v>Huawei</v>
      </c>
    </row>
    <row r="874" spans="1:10" x14ac:dyDescent="0.25">
      <c r="A874" t="str">
        <f>IFERROR(VLOOKUP(Logs_reseau[[#This Row],[Cell_ID]],'[1]Registre_Maintenance_combine '!A:B,2,FALSE),"Non trouvé")</f>
        <v>Non trouvé</v>
      </c>
      <c r="B874" t="s">
        <v>226</v>
      </c>
      <c r="C874" s="3">
        <v>45219.840277777781</v>
      </c>
      <c r="D874" s="11">
        <f>Logs_reseau[[#This Row],[Duree_Panne_Min]]/1440</f>
        <v>6.3888888888888884E-2</v>
      </c>
      <c r="E874">
        <v>92</v>
      </c>
      <c r="F874" t="s">
        <v>1</v>
      </c>
      <c r="G874" t="str">
        <f>IFERROR(VLOOKUP(Logs_reseau[[#This Row],[Cell_ID]],'[1]Registre_Maintenance_combine '!A:C,3,FALSE),"Non trouvé")</f>
        <v>Non trouvé</v>
      </c>
      <c r="H874" t="str">
        <f>IFERROR(VLOOKUP(Logs_reseau[[#This Row],[Cell_ID]],'[1]Registre_Maintenance_combine '!A:D,4,FALSE),"Non trouvé")</f>
        <v>Non trouvé</v>
      </c>
      <c r="I874" t="str">
        <f>IFERROR(VLOOKUP(Logs_reseau[[#This Row],[Cell_ID]],'[1]Registre_Maintenance_combine '!A:E,5,FALSE),"Non trouvé")</f>
        <v>Non trouvé</v>
      </c>
      <c r="J874" t="str">
        <f>IFERROR(VLOOKUP(Logs_reseau[[#This Row],[Cell_ID]],'[1]Registre_Maintenance_combine '!A:F,6,FALSE),"Non trouvé")</f>
        <v>Non trouvé</v>
      </c>
    </row>
    <row r="875" spans="1:10" x14ac:dyDescent="0.25">
      <c r="A875" t="str">
        <f>IFERROR(VLOOKUP(Logs_reseau[[#This Row],[Cell_ID]],'[1]Registre_Maintenance_combine '!A:B,2,FALSE),"Non trouvé")</f>
        <v>Kasai</v>
      </c>
      <c r="B875" t="s">
        <v>22</v>
      </c>
      <c r="C875" s="3">
        <v>45217.96875</v>
      </c>
      <c r="D875" s="11">
        <f>Logs_reseau[[#This Row],[Duree_Panne_Min]]/1440</f>
        <v>6.7361111111111108E-2</v>
      </c>
      <c r="E875">
        <v>97</v>
      </c>
      <c r="F875" t="s">
        <v>2</v>
      </c>
      <c r="G875">
        <f>IFERROR(VLOOKUP(Logs_reseau[[#This Row],[Cell_ID]],'[1]Registre_Maintenance_combine '!A:C,3,FALSE),"Non trouvé")</f>
        <v>-10.059846</v>
      </c>
      <c r="H875">
        <f>IFERROR(VLOOKUP(Logs_reseau[[#This Row],[Cell_ID]],'[1]Registre_Maintenance_combine '!A:D,4,FALSE),"Non trouvé")</f>
        <v>14.375757999999999</v>
      </c>
      <c r="I875" t="str">
        <f>IFERROR(VLOOKUP(Logs_reseau[[#This Row],[Cell_ID]],'[1]Registre_Maintenance_combine '!A:E,5,FALSE),"Non trouvé")</f>
        <v>4G</v>
      </c>
      <c r="J875" t="str">
        <f>IFERROR(VLOOKUP(Logs_reseau[[#This Row],[Cell_ID]],'[1]Registre_Maintenance_combine '!A:F,6,FALSE),"Non trouvé")</f>
        <v>Huawei</v>
      </c>
    </row>
    <row r="876" spans="1:10" x14ac:dyDescent="0.25">
      <c r="A876" t="str">
        <f>IFERROR(VLOOKUP(Logs_reseau[[#This Row],[Cell_ID]],'[1]Registre_Maintenance_combine '!A:B,2,FALSE),"Non trouvé")</f>
        <v>Non trouvé</v>
      </c>
      <c r="B876" t="s">
        <v>116</v>
      </c>
      <c r="C876" s="3">
        <v>45205.599999999999</v>
      </c>
      <c r="D876" s="11">
        <f>Logs_reseau[[#This Row],[Duree_Panne_Min]]/1440</f>
        <v>1.3194444444444444E-2</v>
      </c>
      <c r="E876">
        <v>19</v>
      </c>
      <c r="F876" t="s">
        <v>2</v>
      </c>
      <c r="G876" t="str">
        <f>IFERROR(VLOOKUP(Logs_reseau[[#This Row],[Cell_ID]],'[1]Registre_Maintenance_combine '!A:C,3,FALSE),"Non trouvé")</f>
        <v>Non trouvé</v>
      </c>
      <c r="H876" t="str">
        <f>IFERROR(VLOOKUP(Logs_reseau[[#This Row],[Cell_ID]],'[1]Registre_Maintenance_combine '!A:D,4,FALSE),"Non trouvé")</f>
        <v>Non trouvé</v>
      </c>
      <c r="I876" t="str">
        <f>IFERROR(VLOOKUP(Logs_reseau[[#This Row],[Cell_ID]],'[1]Registre_Maintenance_combine '!A:E,5,FALSE),"Non trouvé")</f>
        <v>Non trouvé</v>
      </c>
      <c r="J876" t="str">
        <f>IFERROR(VLOOKUP(Logs_reseau[[#This Row],[Cell_ID]],'[1]Registre_Maintenance_combine '!A:F,6,FALSE),"Non trouvé")</f>
        <v>Non trouvé</v>
      </c>
    </row>
    <row r="877" spans="1:10" x14ac:dyDescent="0.25">
      <c r="A877" t="str">
        <f>IFERROR(VLOOKUP(Logs_reseau[[#This Row],[Cell_ID]],'[1]Registre_Maintenance_combine '!A:B,2,FALSE),"Non trouvé")</f>
        <v>Kwilu</v>
      </c>
      <c r="B877" t="s">
        <v>227</v>
      </c>
      <c r="C877" s="3">
        <v>45208.863888888889</v>
      </c>
      <c r="D877" s="11">
        <f>Logs_reseau[[#This Row],[Duree_Panne_Min]]/1440</f>
        <v>6.3888888888888884E-2</v>
      </c>
      <c r="E877">
        <v>92</v>
      </c>
      <c r="F877" t="s">
        <v>1</v>
      </c>
      <c r="G877">
        <f>IFERROR(VLOOKUP(Logs_reseau[[#This Row],[Cell_ID]],'[1]Registre_Maintenance_combine '!A:C,3,FALSE),"Non trouvé")</f>
        <v>-0.77432100000000004</v>
      </c>
      <c r="H877">
        <f>IFERROR(VLOOKUP(Logs_reseau[[#This Row],[Cell_ID]],'[1]Registre_Maintenance_combine '!A:D,4,FALSE),"Non trouvé")</f>
        <v>18.628658999999999</v>
      </c>
      <c r="I877" t="str">
        <f>IFERROR(VLOOKUP(Logs_reseau[[#This Row],[Cell_ID]],'[1]Registre_Maintenance_combine '!A:E,5,FALSE),"Non trouvé")</f>
        <v>4G</v>
      </c>
      <c r="J877" t="str">
        <f>IFERROR(VLOOKUP(Logs_reseau[[#This Row],[Cell_ID]],'[1]Registre_Maintenance_combine '!A:F,6,FALSE),"Non trouvé")</f>
        <v>Huawei</v>
      </c>
    </row>
    <row r="878" spans="1:10" x14ac:dyDescent="0.25">
      <c r="A878" t="str">
        <f>IFERROR(VLOOKUP(Logs_reseau[[#This Row],[Cell_ID]],'[1]Registre_Maintenance_combine '!A:B,2,FALSE),"Non trouvé")</f>
        <v>Non trouvé</v>
      </c>
      <c r="B878" t="s">
        <v>228</v>
      </c>
      <c r="C878" s="3">
        <v>45217.321527777778</v>
      </c>
      <c r="D878" s="11">
        <f>Logs_reseau[[#This Row],[Duree_Panne_Min]]/1440</f>
        <v>8.1944444444444445E-2</v>
      </c>
      <c r="E878">
        <v>118</v>
      </c>
      <c r="F878" t="s">
        <v>2</v>
      </c>
      <c r="G878" t="str">
        <f>IFERROR(VLOOKUP(Logs_reseau[[#This Row],[Cell_ID]],'[1]Registre_Maintenance_combine '!A:C,3,FALSE),"Non trouvé")</f>
        <v>Non trouvé</v>
      </c>
      <c r="H878" t="str">
        <f>IFERROR(VLOOKUP(Logs_reseau[[#This Row],[Cell_ID]],'[1]Registre_Maintenance_combine '!A:D,4,FALSE),"Non trouvé")</f>
        <v>Non trouvé</v>
      </c>
      <c r="I878" t="str">
        <f>IFERROR(VLOOKUP(Logs_reseau[[#This Row],[Cell_ID]],'[1]Registre_Maintenance_combine '!A:E,5,FALSE),"Non trouvé")</f>
        <v>Non trouvé</v>
      </c>
      <c r="J878" t="str">
        <f>IFERROR(VLOOKUP(Logs_reseau[[#This Row],[Cell_ID]],'[1]Registre_Maintenance_combine '!A:F,6,FALSE),"Non trouvé")</f>
        <v>Non trouvé</v>
      </c>
    </row>
    <row r="879" spans="1:10" x14ac:dyDescent="0.25">
      <c r="A879" t="str">
        <f>IFERROR(VLOOKUP(Logs_reseau[[#This Row],[Cell_ID]],'[1]Registre_Maintenance_combine '!A:B,2,FALSE),"Non trouvé")</f>
        <v>Tanganyika</v>
      </c>
      <c r="B879" t="s">
        <v>229</v>
      </c>
      <c r="C879" s="3">
        <v>45210.051388888889</v>
      </c>
      <c r="D879" s="11">
        <f>Logs_reseau[[#This Row],[Duree_Panne_Min]]/1440</f>
        <v>5.0694444444444445E-2</v>
      </c>
      <c r="E879">
        <v>73</v>
      </c>
      <c r="F879" t="s">
        <v>1</v>
      </c>
      <c r="G879">
        <f>IFERROR(VLOOKUP(Logs_reseau[[#This Row],[Cell_ID]],'[1]Registre_Maintenance_combine '!A:C,3,FALSE),"Non trouvé")</f>
        <v>-10.776204</v>
      </c>
      <c r="H879">
        <f>IFERROR(VLOOKUP(Logs_reseau[[#This Row],[Cell_ID]],'[1]Registre_Maintenance_combine '!A:D,4,FALSE),"Non trouvé")</f>
        <v>24.672934000000001</v>
      </c>
      <c r="I879" t="str">
        <f>IFERROR(VLOOKUP(Logs_reseau[[#This Row],[Cell_ID]],'[1]Registre_Maintenance_combine '!A:E,5,FALSE),"Non trouvé")</f>
        <v>4G</v>
      </c>
      <c r="J879" t="str">
        <f>IFERROR(VLOOKUP(Logs_reseau[[#This Row],[Cell_ID]],'[1]Registre_Maintenance_combine '!A:F,6,FALSE),"Non trouvé")</f>
        <v>Ericsson</v>
      </c>
    </row>
    <row r="880" spans="1:10" x14ac:dyDescent="0.25">
      <c r="A880" t="str">
        <f>IFERROR(VLOOKUP(Logs_reseau[[#This Row],[Cell_ID]],'[1]Registre_Maintenance_combine '!A:B,2,FALSE),"Non trouvé")</f>
        <v>Sud-Kivu</v>
      </c>
      <c r="B880" t="s">
        <v>230</v>
      </c>
      <c r="C880" s="3">
        <v>45226.07708333333</v>
      </c>
      <c r="D880" s="11">
        <f>Logs_reseau[[#This Row],[Duree_Panne_Min]]/1440</f>
        <v>7.013888888888889E-2</v>
      </c>
      <c r="E880">
        <v>101</v>
      </c>
      <c r="F880" t="s">
        <v>1</v>
      </c>
      <c r="G880">
        <f>IFERROR(VLOOKUP(Logs_reseau[[#This Row],[Cell_ID]],'[1]Registre_Maintenance_combine '!A:C,3,FALSE),"Non trouvé")</f>
        <v>4.2493650000000001</v>
      </c>
      <c r="H880">
        <f>IFERROR(VLOOKUP(Logs_reseau[[#This Row],[Cell_ID]],'[1]Registre_Maintenance_combine '!A:D,4,FALSE),"Non trouvé")</f>
        <v>28.355039999999999</v>
      </c>
      <c r="I880" t="str">
        <f>IFERROR(VLOOKUP(Logs_reseau[[#This Row],[Cell_ID]],'[1]Registre_Maintenance_combine '!A:E,5,FALSE),"Non trouvé")</f>
        <v>3G</v>
      </c>
      <c r="J880" t="str">
        <f>IFERROR(VLOOKUP(Logs_reseau[[#This Row],[Cell_ID]],'[1]Registre_Maintenance_combine '!A:F,6,FALSE),"Non trouvé")</f>
        <v>ZTE</v>
      </c>
    </row>
    <row r="881" spans="1:10" x14ac:dyDescent="0.25">
      <c r="A881" t="str">
        <f>IFERROR(VLOOKUP(Logs_reseau[[#This Row],[Cell_ID]],'[1]Registre_Maintenance_combine '!A:B,2,FALSE),"Non trouvé")</f>
        <v>Equateur</v>
      </c>
      <c r="B881" t="s">
        <v>231</v>
      </c>
      <c r="C881" s="3">
        <v>45202.290277777778</v>
      </c>
      <c r="D881" s="11">
        <f>Logs_reseau[[#This Row],[Duree_Panne_Min]]/1440</f>
        <v>7.1527777777777773E-2</v>
      </c>
      <c r="E881">
        <v>103</v>
      </c>
      <c r="F881" t="s">
        <v>2</v>
      </c>
      <c r="G881">
        <f>IFERROR(VLOOKUP(Logs_reseau[[#This Row],[Cell_ID]],'[1]Registre_Maintenance_combine '!A:C,3,FALSE),"Non trouvé")</f>
        <v>4.9250049999999996</v>
      </c>
      <c r="H881">
        <f>IFERROR(VLOOKUP(Logs_reseau[[#This Row],[Cell_ID]],'[1]Registre_Maintenance_combine '!A:D,4,FALSE),"Non trouvé")</f>
        <v>19.887931999999999</v>
      </c>
      <c r="I881" t="str">
        <f>IFERROR(VLOOKUP(Logs_reseau[[#This Row],[Cell_ID]],'[1]Registre_Maintenance_combine '!A:E,5,FALSE),"Non trouvé")</f>
        <v>4G</v>
      </c>
      <c r="J881" t="str">
        <f>IFERROR(VLOOKUP(Logs_reseau[[#This Row],[Cell_ID]],'[1]Registre_Maintenance_combine '!A:F,6,FALSE),"Non trouvé")</f>
        <v>Huawei</v>
      </c>
    </row>
    <row r="882" spans="1:10" x14ac:dyDescent="0.25">
      <c r="A882" t="str">
        <f>IFERROR(VLOOKUP(Logs_reseau[[#This Row],[Cell_ID]],'[1]Registre_Maintenance_combine '!A:B,2,FALSE),"Non trouvé")</f>
        <v>Non trouvé</v>
      </c>
      <c r="B882" t="s">
        <v>232</v>
      </c>
      <c r="C882" s="3">
        <v>45230.788888888892</v>
      </c>
      <c r="D882" s="11">
        <f>Logs_reseau[[#This Row],[Duree_Panne_Min]]/1440</f>
        <v>6.0416666666666667E-2</v>
      </c>
      <c r="E882">
        <v>87</v>
      </c>
      <c r="F882" t="s">
        <v>2</v>
      </c>
      <c r="G882" t="str">
        <f>IFERROR(VLOOKUP(Logs_reseau[[#This Row],[Cell_ID]],'[1]Registre_Maintenance_combine '!A:C,3,FALSE),"Non trouvé")</f>
        <v>Non trouvé</v>
      </c>
      <c r="H882" t="str">
        <f>IFERROR(VLOOKUP(Logs_reseau[[#This Row],[Cell_ID]],'[1]Registre_Maintenance_combine '!A:D,4,FALSE),"Non trouvé")</f>
        <v>Non trouvé</v>
      </c>
      <c r="I882" t="str">
        <f>IFERROR(VLOOKUP(Logs_reseau[[#This Row],[Cell_ID]],'[1]Registre_Maintenance_combine '!A:E,5,FALSE),"Non trouvé")</f>
        <v>Non trouvé</v>
      </c>
      <c r="J882" t="str">
        <f>IFERROR(VLOOKUP(Logs_reseau[[#This Row],[Cell_ID]],'[1]Registre_Maintenance_combine '!A:F,6,FALSE),"Non trouvé")</f>
        <v>Non trouvé</v>
      </c>
    </row>
    <row r="883" spans="1:10" x14ac:dyDescent="0.25">
      <c r="A883" t="str">
        <f>IFERROR(VLOOKUP(Logs_reseau[[#This Row],[Cell_ID]],'[1]Registre_Maintenance_combine '!A:B,2,FALSE),"Non trouvé")</f>
        <v>Non trouvé</v>
      </c>
      <c r="B883" t="s">
        <v>61</v>
      </c>
      <c r="C883" s="3">
        <v>45222.425694444442</v>
      </c>
      <c r="D883" s="11">
        <f>Logs_reseau[[#This Row],[Duree_Panne_Min]]/1440</f>
        <v>3.3333333333333333E-2</v>
      </c>
      <c r="E883">
        <v>48</v>
      </c>
      <c r="F883" t="s">
        <v>1</v>
      </c>
      <c r="G883" t="str">
        <f>IFERROR(VLOOKUP(Logs_reseau[[#This Row],[Cell_ID]],'[1]Registre_Maintenance_combine '!A:C,3,FALSE),"Non trouvé")</f>
        <v>Non trouvé</v>
      </c>
      <c r="H883" t="str">
        <f>IFERROR(VLOOKUP(Logs_reseau[[#This Row],[Cell_ID]],'[1]Registre_Maintenance_combine '!A:D,4,FALSE),"Non trouvé")</f>
        <v>Non trouvé</v>
      </c>
      <c r="I883" t="str">
        <f>IFERROR(VLOOKUP(Logs_reseau[[#This Row],[Cell_ID]],'[1]Registre_Maintenance_combine '!A:E,5,FALSE),"Non trouvé")</f>
        <v>Non trouvé</v>
      </c>
      <c r="J883" t="str">
        <f>IFERROR(VLOOKUP(Logs_reseau[[#This Row],[Cell_ID]],'[1]Registre_Maintenance_combine '!A:F,6,FALSE),"Non trouvé")</f>
        <v>Non trouvé</v>
      </c>
    </row>
    <row r="884" spans="1:10" x14ac:dyDescent="0.25">
      <c r="A884" t="str">
        <f>IFERROR(VLOOKUP(Logs_reseau[[#This Row],[Cell_ID]],'[1]Registre_Maintenance_combine '!A:B,2,FALSE),"Non trouvé")</f>
        <v>Non trouvé</v>
      </c>
      <c r="B884" t="s">
        <v>233</v>
      </c>
      <c r="C884" s="3">
        <v>45220.642361111109</v>
      </c>
      <c r="D884" s="11">
        <f>Logs_reseau[[#This Row],[Duree_Panne_Min]]/1440</f>
        <v>1.3194444444444444E-2</v>
      </c>
      <c r="E884">
        <v>19</v>
      </c>
      <c r="F884" t="s">
        <v>1</v>
      </c>
      <c r="G884" t="str">
        <f>IFERROR(VLOOKUP(Logs_reseau[[#This Row],[Cell_ID]],'[1]Registre_Maintenance_combine '!A:C,3,FALSE),"Non trouvé")</f>
        <v>Non trouvé</v>
      </c>
      <c r="H884" t="str">
        <f>IFERROR(VLOOKUP(Logs_reseau[[#This Row],[Cell_ID]],'[1]Registre_Maintenance_combine '!A:D,4,FALSE),"Non trouvé")</f>
        <v>Non trouvé</v>
      </c>
      <c r="I884" t="str">
        <f>IFERROR(VLOOKUP(Logs_reseau[[#This Row],[Cell_ID]],'[1]Registre_Maintenance_combine '!A:E,5,FALSE),"Non trouvé")</f>
        <v>Non trouvé</v>
      </c>
      <c r="J884" t="str">
        <f>IFERROR(VLOOKUP(Logs_reseau[[#This Row],[Cell_ID]],'[1]Registre_Maintenance_combine '!A:F,6,FALSE),"Non trouvé")</f>
        <v>Non trouvé</v>
      </c>
    </row>
    <row r="885" spans="1:10" x14ac:dyDescent="0.25">
      <c r="A885" t="str">
        <f>IFERROR(VLOOKUP(Logs_reseau[[#This Row],[Cell_ID]],'[1]Registre_Maintenance_combine '!A:B,2,FALSE),"Non trouvé")</f>
        <v>Tanganyika</v>
      </c>
      <c r="B885" t="s">
        <v>229</v>
      </c>
      <c r="C885" s="3">
        <v>45228.853472222225</v>
      </c>
      <c r="D885" s="11">
        <f>Logs_reseau[[#This Row],[Duree_Panne_Min]]/1440</f>
        <v>2.9166666666666667E-2</v>
      </c>
      <c r="E885">
        <v>42</v>
      </c>
      <c r="F885" t="s">
        <v>1</v>
      </c>
      <c r="G885">
        <f>IFERROR(VLOOKUP(Logs_reseau[[#This Row],[Cell_ID]],'[1]Registre_Maintenance_combine '!A:C,3,FALSE),"Non trouvé")</f>
        <v>-10.776204</v>
      </c>
      <c r="H885">
        <f>IFERROR(VLOOKUP(Logs_reseau[[#This Row],[Cell_ID]],'[1]Registre_Maintenance_combine '!A:D,4,FALSE),"Non trouvé")</f>
        <v>24.672934000000001</v>
      </c>
      <c r="I885" t="str">
        <f>IFERROR(VLOOKUP(Logs_reseau[[#This Row],[Cell_ID]],'[1]Registre_Maintenance_combine '!A:E,5,FALSE),"Non trouvé")</f>
        <v>4G</v>
      </c>
      <c r="J885" t="str">
        <f>IFERROR(VLOOKUP(Logs_reseau[[#This Row],[Cell_ID]],'[1]Registre_Maintenance_combine '!A:F,6,FALSE),"Non trouvé")</f>
        <v>Ericsson</v>
      </c>
    </row>
    <row r="886" spans="1:10" x14ac:dyDescent="0.25">
      <c r="A886" t="str">
        <f>IFERROR(VLOOKUP(Logs_reseau[[#This Row],[Cell_ID]],'[1]Registre_Maintenance_combine '!A:B,2,FALSE),"Non trouvé")</f>
        <v>Non trouvé</v>
      </c>
      <c r="B886" t="s">
        <v>234</v>
      </c>
      <c r="C886" s="3">
        <v>45204.338888888888</v>
      </c>
      <c r="D886" s="11">
        <f>Logs_reseau[[#This Row],[Duree_Panne_Min]]/1440</f>
        <v>4.1666666666666664E-2</v>
      </c>
      <c r="E886">
        <v>60</v>
      </c>
      <c r="F886" t="s">
        <v>1</v>
      </c>
      <c r="G886" t="str">
        <f>IFERROR(VLOOKUP(Logs_reseau[[#This Row],[Cell_ID]],'[1]Registre_Maintenance_combine '!A:C,3,FALSE),"Non trouvé")</f>
        <v>Non trouvé</v>
      </c>
      <c r="H886" t="str">
        <f>IFERROR(VLOOKUP(Logs_reseau[[#This Row],[Cell_ID]],'[1]Registre_Maintenance_combine '!A:D,4,FALSE),"Non trouvé")</f>
        <v>Non trouvé</v>
      </c>
      <c r="I886" t="str">
        <f>IFERROR(VLOOKUP(Logs_reseau[[#This Row],[Cell_ID]],'[1]Registre_Maintenance_combine '!A:E,5,FALSE),"Non trouvé")</f>
        <v>Non trouvé</v>
      </c>
      <c r="J886" t="str">
        <f>IFERROR(VLOOKUP(Logs_reseau[[#This Row],[Cell_ID]],'[1]Registre_Maintenance_combine '!A:F,6,FALSE),"Non trouvé")</f>
        <v>Non trouvé</v>
      </c>
    </row>
    <row r="887" spans="1:10" x14ac:dyDescent="0.25">
      <c r="A887" t="str">
        <f>IFERROR(VLOOKUP(Logs_reseau[[#This Row],[Cell_ID]],'[1]Registre_Maintenance_combine '!A:B,2,FALSE),"Non trouvé")</f>
        <v>Nord-Kivu</v>
      </c>
      <c r="B887" t="s">
        <v>235</v>
      </c>
      <c r="C887" s="3">
        <v>45207.982638888891</v>
      </c>
      <c r="D887" s="11">
        <f>Logs_reseau[[#This Row],[Duree_Panne_Min]]/1440</f>
        <v>1.7361111111111112E-2</v>
      </c>
      <c r="E887">
        <v>25</v>
      </c>
      <c r="F887" t="s">
        <v>4</v>
      </c>
      <c r="G887">
        <f>IFERROR(VLOOKUP(Logs_reseau[[#This Row],[Cell_ID]],'[1]Registre_Maintenance_combine '!A:C,3,FALSE),"Non trouvé")</f>
        <v>-11.866133</v>
      </c>
      <c r="H887">
        <f>IFERROR(VLOOKUP(Logs_reseau[[#This Row],[Cell_ID]],'[1]Registre_Maintenance_combine '!A:D,4,FALSE),"Non trouvé")</f>
        <v>27.068932</v>
      </c>
      <c r="I887" t="str">
        <f>IFERROR(VLOOKUP(Logs_reseau[[#This Row],[Cell_ID]],'[1]Registre_Maintenance_combine '!A:E,5,FALSE),"Non trouvé")</f>
        <v>3G</v>
      </c>
      <c r="J887" t="str">
        <f>IFERROR(VLOOKUP(Logs_reseau[[#This Row],[Cell_ID]],'[1]Registre_Maintenance_combine '!A:F,6,FALSE),"Non trouvé")</f>
        <v>Huawei</v>
      </c>
    </row>
    <row r="888" spans="1:10" x14ac:dyDescent="0.25">
      <c r="A888" t="str">
        <f>IFERROR(VLOOKUP(Logs_reseau[[#This Row],[Cell_ID]],'[1]Registre_Maintenance_combine '!A:B,2,FALSE),"Non trouvé")</f>
        <v>Non trouvé</v>
      </c>
      <c r="B888" t="s">
        <v>236</v>
      </c>
      <c r="C888" s="3">
        <v>45218.635416666664</v>
      </c>
      <c r="D888" s="11">
        <f>Logs_reseau[[#This Row],[Duree_Panne_Min]]/1440</f>
        <v>1.1805555555555555E-2</v>
      </c>
      <c r="E888">
        <v>17</v>
      </c>
      <c r="F888" t="s">
        <v>4</v>
      </c>
      <c r="G888" t="str">
        <f>IFERROR(VLOOKUP(Logs_reseau[[#This Row],[Cell_ID]],'[1]Registre_Maintenance_combine '!A:C,3,FALSE),"Non trouvé")</f>
        <v>Non trouvé</v>
      </c>
      <c r="H888" t="str">
        <f>IFERROR(VLOOKUP(Logs_reseau[[#This Row],[Cell_ID]],'[1]Registre_Maintenance_combine '!A:D,4,FALSE),"Non trouvé")</f>
        <v>Non trouvé</v>
      </c>
      <c r="I888" t="str">
        <f>IFERROR(VLOOKUP(Logs_reseau[[#This Row],[Cell_ID]],'[1]Registre_Maintenance_combine '!A:E,5,FALSE),"Non trouvé")</f>
        <v>Non trouvé</v>
      </c>
      <c r="J888" t="str">
        <f>IFERROR(VLOOKUP(Logs_reseau[[#This Row],[Cell_ID]],'[1]Registre_Maintenance_combine '!A:F,6,FALSE),"Non trouvé")</f>
        <v>Non trouvé</v>
      </c>
    </row>
    <row r="889" spans="1:10" x14ac:dyDescent="0.25">
      <c r="A889" t="str">
        <f>IFERROR(VLOOKUP(Logs_reseau[[#This Row],[Cell_ID]],'[1]Registre_Maintenance_combine '!A:B,2,FALSE),"Non trouvé")</f>
        <v>Non trouvé</v>
      </c>
      <c r="B889" t="s">
        <v>237</v>
      </c>
      <c r="C889" s="3">
        <v>45225.660416666666</v>
      </c>
      <c r="D889" s="11">
        <f>Logs_reseau[[#This Row],[Duree_Panne_Min]]/1440</f>
        <v>9.7222222222222224E-3</v>
      </c>
      <c r="E889">
        <v>14</v>
      </c>
      <c r="F889" t="s">
        <v>1</v>
      </c>
      <c r="G889" t="str">
        <f>IFERROR(VLOOKUP(Logs_reseau[[#This Row],[Cell_ID]],'[1]Registre_Maintenance_combine '!A:C,3,FALSE),"Non trouvé")</f>
        <v>Non trouvé</v>
      </c>
      <c r="H889" t="str">
        <f>IFERROR(VLOOKUP(Logs_reseau[[#This Row],[Cell_ID]],'[1]Registre_Maintenance_combine '!A:D,4,FALSE),"Non trouvé")</f>
        <v>Non trouvé</v>
      </c>
      <c r="I889" t="str">
        <f>IFERROR(VLOOKUP(Logs_reseau[[#This Row],[Cell_ID]],'[1]Registre_Maintenance_combine '!A:E,5,FALSE),"Non trouvé")</f>
        <v>Non trouvé</v>
      </c>
      <c r="J889" t="str">
        <f>IFERROR(VLOOKUP(Logs_reseau[[#This Row],[Cell_ID]],'[1]Registre_Maintenance_combine '!A:F,6,FALSE),"Non trouvé")</f>
        <v>Non trouvé</v>
      </c>
    </row>
    <row r="890" spans="1:10" x14ac:dyDescent="0.25">
      <c r="A890" t="str">
        <f>IFERROR(VLOOKUP(Logs_reseau[[#This Row],[Cell_ID]],'[1]Registre_Maintenance_combine '!A:B,2,FALSE),"Non trouvé")</f>
        <v>Tshuapa</v>
      </c>
      <c r="B890" t="s">
        <v>238</v>
      </c>
      <c r="C890" s="3">
        <v>45213.254166666666</v>
      </c>
      <c r="D890" s="11">
        <f>Logs_reseau[[#This Row],[Duree_Panne_Min]]/1440</f>
        <v>5.0694444444444445E-2</v>
      </c>
      <c r="E890">
        <v>73</v>
      </c>
      <c r="F890" t="s">
        <v>4</v>
      </c>
      <c r="G890">
        <f>IFERROR(VLOOKUP(Logs_reseau[[#This Row],[Cell_ID]],'[1]Registre_Maintenance_combine '!A:C,3,FALSE),"Non trouvé")</f>
        <v>-5.1030600000000002</v>
      </c>
      <c r="H890">
        <f>IFERROR(VLOOKUP(Logs_reseau[[#This Row],[Cell_ID]],'[1]Registre_Maintenance_combine '!A:D,4,FALSE),"Non trouvé")</f>
        <v>22.849231</v>
      </c>
      <c r="I890" t="str">
        <f>IFERROR(VLOOKUP(Logs_reseau[[#This Row],[Cell_ID]],'[1]Registre_Maintenance_combine '!A:E,5,FALSE),"Non trouvé")</f>
        <v>5G</v>
      </c>
      <c r="J890" t="str">
        <f>IFERROR(VLOOKUP(Logs_reseau[[#This Row],[Cell_ID]],'[1]Registre_Maintenance_combine '!A:F,6,FALSE),"Non trouvé")</f>
        <v>ZTE</v>
      </c>
    </row>
    <row r="891" spans="1:10" x14ac:dyDescent="0.25">
      <c r="A891" t="str">
        <f>IFERROR(VLOOKUP(Logs_reseau[[#This Row],[Cell_ID]],'[1]Registre_Maintenance_combine '!A:B,2,FALSE),"Non trouvé")</f>
        <v>Non trouvé</v>
      </c>
      <c r="B891" t="s">
        <v>239</v>
      </c>
      <c r="C891" s="3">
        <v>45203.893750000003</v>
      </c>
      <c r="D891" s="11">
        <f>Logs_reseau[[#This Row],[Duree_Panne_Min]]/1440</f>
        <v>2.2222222222222223E-2</v>
      </c>
      <c r="E891">
        <v>32</v>
      </c>
      <c r="F891" t="s">
        <v>1</v>
      </c>
      <c r="G891" t="str">
        <f>IFERROR(VLOOKUP(Logs_reseau[[#This Row],[Cell_ID]],'[1]Registre_Maintenance_combine '!A:C,3,FALSE),"Non trouvé")</f>
        <v>Non trouvé</v>
      </c>
      <c r="H891" t="str">
        <f>IFERROR(VLOOKUP(Logs_reseau[[#This Row],[Cell_ID]],'[1]Registre_Maintenance_combine '!A:D,4,FALSE),"Non trouvé")</f>
        <v>Non trouvé</v>
      </c>
      <c r="I891" t="str">
        <f>IFERROR(VLOOKUP(Logs_reseau[[#This Row],[Cell_ID]],'[1]Registre_Maintenance_combine '!A:E,5,FALSE),"Non trouvé")</f>
        <v>Non trouvé</v>
      </c>
      <c r="J891" t="str">
        <f>IFERROR(VLOOKUP(Logs_reseau[[#This Row],[Cell_ID]],'[1]Registre_Maintenance_combine '!A:F,6,FALSE),"Non trouvé")</f>
        <v>Non trouvé</v>
      </c>
    </row>
    <row r="892" spans="1:10" x14ac:dyDescent="0.25">
      <c r="A892" t="str">
        <f>IFERROR(VLOOKUP(Logs_reseau[[#This Row],[Cell_ID]],'[1]Registre_Maintenance_combine '!A:B,2,FALSE),"Non trouvé")</f>
        <v>Non trouvé</v>
      </c>
      <c r="B892" t="s">
        <v>226</v>
      </c>
      <c r="C892" s="3">
        <v>45211.55972222222</v>
      </c>
      <c r="D892" s="11">
        <f>Logs_reseau[[#This Row],[Duree_Panne_Min]]/1440</f>
        <v>4.791666666666667E-2</v>
      </c>
      <c r="E892">
        <v>69</v>
      </c>
      <c r="F892" t="s">
        <v>2</v>
      </c>
      <c r="G892" t="str">
        <f>IFERROR(VLOOKUP(Logs_reseau[[#This Row],[Cell_ID]],'[1]Registre_Maintenance_combine '!A:C,3,FALSE),"Non trouvé")</f>
        <v>Non trouvé</v>
      </c>
      <c r="H892" t="str">
        <f>IFERROR(VLOOKUP(Logs_reseau[[#This Row],[Cell_ID]],'[1]Registre_Maintenance_combine '!A:D,4,FALSE),"Non trouvé")</f>
        <v>Non trouvé</v>
      </c>
      <c r="I892" t="str">
        <f>IFERROR(VLOOKUP(Logs_reseau[[#This Row],[Cell_ID]],'[1]Registre_Maintenance_combine '!A:E,5,FALSE),"Non trouvé")</f>
        <v>Non trouvé</v>
      </c>
      <c r="J892" t="str">
        <f>IFERROR(VLOOKUP(Logs_reseau[[#This Row],[Cell_ID]],'[1]Registre_Maintenance_combine '!A:F,6,FALSE),"Non trouvé")</f>
        <v>Non trouvé</v>
      </c>
    </row>
    <row r="893" spans="1:10" x14ac:dyDescent="0.25">
      <c r="A893" t="str">
        <f>IFERROR(VLOOKUP(Logs_reseau[[#This Row],[Cell_ID]],'[1]Registre_Maintenance_combine '!A:B,2,FALSE),"Non trouvé")</f>
        <v>Lualaba</v>
      </c>
      <c r="B893" t="s">
        <v>240</v>
      </c>
      <c r="C893" s="3">
        <v>45214.960416666669</v>
      </c>
      <c r="D893" s="11">
        <f>Logs_reseau[[#This Row],[Duree_Panne_Min]]/1440</f>
        <v>2.6388888888888889E-2</v>
      </c>
      <c r="E893">
        <v>38</v>
      </c>
      <c r="F893" t="s">
        <v>1</v>
      </c>
      <c r="G893">
        <f>IFERROR(VLOOKUP(Logs_reseau[[#This Row],[Cell_ID]],'[1]Registre_Maintenance_combine '!A:C,3,FALSE),"Non trouvé")</f>
        <v>-11.710407999999999</v>
      </c>
      <c r="H893">
        <f>IFERROR(VLOOKUP(Logs_reseau[[#This Row],[Cell_ID]],'[1]Registre_Maintenance_combine '!A:D,4,FALSE),"Non trouvé")</f>
        <v>23.741330999999999</v>
      </c>
      <c r="I893" t="str">
        <f>IFERROR(VLOOKUP(Logs_reseau[[#This Row],[Cell_ID]],'[1]Registre_Maintenance_combine '!A:E,5,FALSE),"Non trouvé")</f>
        <v>3G</v>
      </c>
      <c r="J893" t="str">
        <f>IFERROR(VLOOKUP(Logs_reseau[[#This Row],[Cell_ID]],'[1]Registre_Maintenance_combine '!A:F,6,FALSE),"Non trouvé")</f>
        <v>Huawei</v>
      </c>
    </row>
    <row r="894" spans="1:10" x14ac:dyDescent="0.25">
      <c r="A894" t="str">
        <f>IFERROR(VLOOKUP(Logs_reseau[[#This Row],[Cell_ID]],'[1]Registre_Maintenance_combine '!A:B,2,FALSE),"Non trouvé")</f>
        <v>Tanganyika</v>
      </c>
      <c r="B894" t="s">
        <v>241</v>
      </c>
      <c r="C894" s="3">
        <v>45221.861805555556</v>
      </c>
      <c r="D894" s="11">
        <f>Logs_reseau[[#This Row],[Duree_Panne_Min]]/1440</f>
        <v>1.4583333333333334E-2</v>
      </c>
      <c r="E894">
        <v>21</v>
      </c>
      <c r="F894" t="s">
        <v>2</v>
      </c>
      <c r="G894">
        <f>IFERROR(VLOOKUP(Logs_reseau[[#This Row],[Cell_ID]],'[1]Registre_Maintenance_combine '!A:C,3,FALSE),"Non trouvé")</f>
        <v>-1.864393</v>
      </c>
      <c r="H894">
        <f>IFERROR(VLOOKUP(Logs_reseau[[#This Row],[Cell_ID]],'[1]Registre_Maintenance_combine '!A:D,4,FALSE),"Non trouvé")</f>
        <v>21.453434000000001</v>
      </c>
      <c r="I894" t="str">
        <f>IFERROR(VLOOKUP(Logs_reseau[[#This Row],[Cell_ID]],'[1]Registre_Maintenance_combine '!A:E,5,FALSE),"Non trouvé")</f>
        <v>5G</v>
      </c>
      <c r="J894" t="str">
        <f>IFERROR(VLOOKUP(Logs_reseau[[#This Row],[Cell_ID]],'[1]Registre_Maintenance_combine '!A:F,6,FALSE),"Non trouvé")</f>
        <v>Ericsson</v>
      </c>
    </row>
    <row r="895" spans="1:10" x14ac:dyDescent="0.25">
      <c r="A895" t="str">
        <f>IFERROR(VLOOKUP(Logs_reseau[[#This Row],[Cell_ID]],'[1]Registre_Maintenance_combine '!A:B,2,FALSE),"Non trouvé")</f>
        <v>Non trouvé</v>
      </c>
      <c r="B895" t="s">
        <v>242</v>
      </c>
      <c r="C895" s="3">
        <v>45203.059027777781</v>
      </c>
      <c r="D895" s="11">
        <f>Logs_reseau[[#This Row],[Duree_Panne_Min]]/1440</f>
        <v>3.4027777777777775E-2</v>
      </c>
      <c r="E895">
        <v>49</v>
      </c>
      <c r="F895" t="s">
        <v>1</v>
      </c>
      <c r="G895" t="str">
        <f>IFERROR(VLOOKUP(Logs_reseau[[#This Row],[Cell_ID]],'[1]Registre_Maintenance_combine '!A:C,3,FALSE),"Non trouvé")</f>
        <v>Non trouvé</v>
      </c>
      <c r="H895" t="str">
        <f>IFERROR(VLOOKUP(Logs_reseau[[#This Row],[Cell_ID]],'[1]Registre_Maintenance_combine '!A:D,4,FALSE),"Non trouvé")</f>
        <v>Non trouvé</v>
      </c>
      <c r="I895" t="str">
        <f>IFERROR(VLOOKUP(Logs_reseau[[#This Row],[Cell_ID]],'[1]Registre_Maintenance_combine '!A:E,5,FALSE),"Non trouvé")</f>
        <v>Non trouvé</v>
      </c>
      <c r="J895" t="str">
        <f>IFERROR(VLOOKUP(Logs_reseau[[#This Row],[Cell_ID]],'[1]Registre_Maintenance_combine '!A:F,6,FALSE),"Non trouvé")</f>
        <v>Non trouvé</v>
      </c>
    </row>
    <row r="896" spans="1:10" x14ac:dyDescent="0.25">
      <c r="A896" t="str">
        <f>IFERROR(VLOOKUP(Logs_reseau[[#This Row],[Cell_ID]],'[1]Registre_Maintenance_combine '!A:B,2,FALSE),"Non trouvé")</f>
        <v>Non trouvé</v>
      </c>
      <c r="B896" t="s">
        <v>243</v>
      </c>
      <c r="C896" s="3">
        <v>45223.45208333333</v>
      </c>
      <c r="D896" s="11">
        <f>Logs_reseau[[#This Row],[Duree_Panne_Min]]/1440</f>
        <v>8.1250000000000003E-2</v>
      </c>
      <c r="E896">
        <v>117</v>
      </c>
      <c r="F896" t="s">
        <v>4</v>
      </c>
      <c r="G896" t="str">
        <f>IFERROR(VLOOKUP(Logs_reseau[[#This Row],[Cell_ID]],'[1]Registre_Maintenance_combine '!A:C,3,FALSE),"Non trouvé")</f>
        <v>Non trouvé</v>
      </c>
      <c r="H896" t="str">
        <f>IFERROR(VLOOKUP(Logs_reseau[[#This Row],[Cell_ID]],'[1]Registre_Maintenance_combine '!A:D,4,FALSE),"Non trouvé")</f>
        <v>Non trouvé</v>
      </c>
      <c r="I896" t="str">
        <f>IFERROR(VLOOKUP(Logs_reseau[[#This Row],[Cell_ID]],'[1]Registre_Maintenance_combine '!A:E,5,FALSE),"Non trouvé")</f>
        <v>Non trouvé</v>
      </c>
      <c r="J896" t="str">
        <f>IFERROR(VLOOKUP(Logs_reseau[[#This Row],[Cell_ID]],'[1]Registre_Maintenance_combine '!A:F,6,FALSE),"Non trouvé")</f>
        <v>Non trouvé</v>
      </c>
    </row>
    <row r="897" spans="1:10" x14ac:dyDescent="0.25">
      <c r="A897" t="str">
        <f>IFERROR(VLOOKUP(Logs_reseau[[#This Row],[Cell_ID]],'[1]Registre_Maintenance_combine '!A:B,2,FALSE),"Non trouvé")</f>
        <v>Non trouvé</v>
      </c>
      <c r="B897" t="s">
        <v>54</v>
      </c>
      <c r="C897" s="3">
        <v>45227.135416666664</v>
      </c>
      <c r="D897" s="11">
        <f>Logs_reseau[[#This Row],[Duree_Panne_Min]]/1440</f>
        <v>9.0277777777777769E-3</v>
      </c>
      <c r="E897">
        <v>13</v>
      </c>
      <c r="F897" t="s">
        <v>2</v>
      </c>
      <c r="G897" t="str">
        <f>IFERROR(VLOOKUP(Logs_reseau[[#This Row],[Cell_ID]],'[1]Registre_Maintenance_combine '!A:C,3,FALSE),"Non trouvé")</f>
        <v>Non trouvé</v>
      </c>
      <c r="H897" t="str">
        <f>IFERROR(VLOOKUP(Logs_reseau[[#This Row],[Cell_ID]],'[1]Registre_Maintenance_combine '!A:D,4,FALSE),"Non trouvé")</f>
        <v>Non trouvé</v>
      </c>
      <c r="I897" t="str">
        <f>IFERROR(VLOOKUP(Logs_reseau[[#This Row],[Cell_ID]],'[1]Registre_Maintenance_combine '!A:E,5,FALSE),"Non trouvé")</f>
        <v>Non trouvé</v>
      </c>
      <c r="J897" t="str">
        <f>IFERROR(VLOOKUP(Logs_reseau[[#This Row],[Cell_ID]],'[1]Registre_Maintenance_combine '!A:F,6,FALSE),"Non trouvé")</f>
        <v>Non trouvé</v>
      </c>
    </row>
    <row r="898" spans="1:10" x14ac:dyDescent="0.25">
      <c r="A898" t="str">
        <f>IFERROR(VLOOKUP(Logs_reseau[[#This Row],[Cell_ID]],'[1]Registre_Maintenance_combine '!A:B,2,FALSE),"Non trouvé")</f>
        <v>Non trouvé</v>
      </c>
      <c r="B898" t="s">
        <v>96</v>
      </c>
      <c r="C898" s="3">
        <v>45206.273611111108</v>
      </c>
      <c r="D898" s="11">
        <f>Logs_reseau[[#This Row],[Duree_Panne_Min]]/1440</f>
        <v>8.1250000000000003E-2</v>
      </c>
      <c r="E898">
        <v>117</v>
      </c>
      <c r="F898" t="s">
        <v>4</v>
      </c>
      <c r="G898" t="str">
        <f>IFERROR(VLOOKUP(Logs_reseau[[#This Row],[Cell_ID]],'[1]Registre_Maintenance_combine '!A:C,3,FALSE),"Non trouvé")</f>
        <v>Non trouvé</v>
      </c>
      <c r="H898" t="str">
        <f>IFERROR(VLOOKUP(Logs_reseau[[#This Row],[Cell_ID]],'[1]Registre_Maintenance_combine '!A:D,4,FALSE),"Non trouvé")</f>
        <v>Non trouvé</v>
      </c>
      <c r="I898" t="str">
        <f>IFERROR(VLOOKUP(Logs_reseau[[#This Row],[Cell_ID]],'[1]Registre_Maintenance_combine '!A:E,5,FALSE),"Non trouvé")</f>
        <v>Non trouvé</v>
      </c>
      <c r="J898" t="str">
        <f>IFERROR(VLOOKUP(Logs_reseau[[#This Row],[Cell_ID]],'[1]Registre_Maintenance_combine '!A:F,6,FALSE),"Non trouvé")</f>
        <v>Non trouvé</v>
      </c>
    </row>
    <row r="899" spans="1:10" x14ac:dyDescent="0.25">
      <c r="A899" t="str">
        <f>IFERROR(VLOOKUP(Logs_reseau[[#This Row],[Cell_ID]],'[1]Registre_Maintenance_combine '!A:B,2,FALSE),"Non trouvé")</f>
        <v>Non trouvé</v>
      </c>
      <c r="B899" t="s">
        <v>236</v>
      </c>
      <c r="C899" s="3">
        <v>45214.185416666667</v>
      </c>
      <c r="D899" s="11">
        <f>Logs_reseau[[#This Row],[Duree_Panne_Min]]/1440</f>
        <v>2.5000000000000001E-2</v>
      </c>
      <c r="E899">
        <v>36</v>
      </c>
      <c r="F899" t="s">
        <v>2</v>
      </c>
      <c r="G899" t="str">
        <f>IFERROR(VLOOKUP(Logs_reseau[[#This Row],[Cell_ID]],'[1]Registre_Maintenance_combine '!A:C,3,FALSE),"Non trouvé")</f>
        <v>Non trouvé</v>
      </c>
      <c r="H899" t="str">
        <f>IFERROR(VLOOKUP(Logs_reseau[[#This Row],[Cell_ID]],'[1]Registre_Maintenance_combine '!A:D,4,FALSE),"Non trouvé")</f>
        <v>Non trouvé</v>
      </c>
      <c r="I899" t="str">
        <f>IFERROR(VLOOKUP(Logs_reseau[[#This Row],[Cell_ID]],'[1]Registre_Maintenance_combine '!A:E,5,FALSE),"Non trouvé")</f>
        <v>Non trouvé</v>
      </c>
      <c r="J899" t="str">
        <f>IFERROR(VLOOKUP(Logs_reseau[[#This Row],[Cell_ID]],'[1]Registre_Maintenance_combine '!A:F,6,FALSE),"Non trouvé")</f>
        <v>Non trouvé</v>
      </c>
    </row>
    <row r="900" spans="1:10" x14ac:dyDescent="0.25">
      <c r="A900" t="str">
        <f>IFERROR(VLOOKUP(Logs_reseau[[#This Row],[Cell_ID]],'[1]Registre_Maintenance_combine '!A:B,2,FALSE),"Non trouvé")</f>
        <v>Tanganyika</v>
      </c>
      <c r="B900" t="s">
        <v>244</v>
      </c>
      <c r="C900" s="3">
        <v>45205.353472222225</v>
      </c>
      <c r="D900" s="11">
        <f>Logs_reseau[[#This Row],[Duree_Panne_Min]]/1440</f>
        <v>3.6111111111111108E-2</v>
      </c>
      <c r="E900">
        <v>52</v>
      </c>
      <c r="F900" t="s">
        <v>2</v>
      </c>
      <c r="G900">
        <f>IFERROR(VLOOKUP(Logs_reseau[[#This Row],[Cell_ID]],'[1]Registre_Maintenance_combine '!A:C,3,FALSE),"Non trouvé")</f>
        <v>3.1362930000000002</v>
      </c>
      <c r="H900">
        <f>IFERROR(VLOOKUP(Logs_reseau[[#This Row],[Cell_ID]],'[1]Registre_Maintenance_combine '!A:D,4,FALSE),"Non trouvé")</f>
        <v>16.190878000000001</v>
      </c>
      <c r="I900" t="str">
        <f>IFERROR(VLOOKUP(Logs_reseau[[#This Row],[Cell_ID]],'[1]Registre_Maintenance_combine '!A:E,5,FALSE),"Non trouvé")</f>
        <v>3G</v>
      </c>
      <c r="J900" t="str">
        <f>IFERROR(VLOOKUP(Logs_reseau[[#This Row],[Cell_ID]],'[1]Registre_Maintenance_combine '!A:F,6,FALSE),"Non trouvé")</f>
        <v>Nokia</v>
      </c>
    </row>
    <row r="901" spans="1:10" x14ac:dyDescent="0.25">
      <c r="A901" t="str">
        <f>IFERROR(VLOOKUP(Logs_reseau[[#This Row],[Cell_ID]],'[1]Registre_Maintenance_combine '!A:B,2,FALSE),"Non trouvé")</f>
        <v>Kwilu</v>
      </c>
      <c r="B901" t="s">
        <v>245</v>
      </c>
      <c r="C901" s="3">
        <v>45207.102777777778</v>
      </c>
      <c r="D901" s="11">
        <f>Logs_reseau[[#This Row],[Duree_Panne_Min]]/1440</f>
        <v>2.8472222222222222E-2</v>
      </c>
      <c r="E901">
        <v>41</v>
      </c>
      <c r="F901" t="s">
        <v>1</v>
      </c>
      <c r="G901">
        <f>IFERROR(VLOOKUP(Logs_reseau[[#This Row],[Cell_ID]],'[1]Registre_Maintenance_combine '!A:C,3,FALSE),"Non trouvé")</f>
        <v>-5.9021970000000001</v>
      </c>
      <c r="H901">
        <f>IFERROR(VLOOKUP(Logs_reseau[[#This Row],[Cell_ID]],'[1]Registre_Maintenance_combine '!A:D,4,FALSE),"Non trouvé")</f>
        <v>20.551169999999999</v>
      </c>
      <c r="I901" t="str">
        <f>IFERROR(VLOOKUP(Logs_reseau[[#This Row],[Cell_ID]],'[1]Registre_Maintenance_combine '!A:E,5,FALSE),"Non trouvé")</f>
        <v>3G</v>
      </c>
      <c r="J901" t="str">
        <f>IFERROR(VLOOKUP(Logs_reseau[[#This Row],[Cell_ID]],'[1]Registre_Maintenance_combine '!A:F,6,FALSE),"Non trouvé")</f>
        <v>Huawei</v>
      </c>
    </row>
    <row r="902" spans="1:10" x14ac:dyDescent="0.25">
      <c r="A902" t="str">
        <f>IFERROR(VLOOKUP(Logs_reseau[[#This Row],[Cell_ID]],'[1]Registre_Maintenance_combine '!A:B,2,FALSE),"Non trouvé")</f>
        <v>Haut-Katanga</v>
      </c>
      <c r="B902" t="s">
        <v>246</v>
      </c>
      <c r="C902" s="3">
        <v>45225.712500000001</v>
      </c>
      <c r="D902" s="11">
        <f>Logs_reseau[[#This Row],[Duree_Panne_Min]]/1440</f>
        <v>1.7361111111111112E-2</v>
      </c>
      <c r="E902">
        <v>25</v>
      </c>
      <c r="F902" t="s">
        <v>1</v>
      </c>
      <c r="G902">
        <f>IFERROR(VLOOKUP(Logs_reseau[[#This Row],[Cell_ID]],'[1]Registre_Maintenance_combine '!A:C,3,FALSE),"Non trouvé")</f>
        <v>-5.5445120000000001</v>
      </c>
      <c r="H902">
        <f>IFERROR(VLOOKUP(Logs_reseau[[#This Row],[Cell_ID]],'[1]Registre_Maintenance_combine '!A:D,4,FALSE),"Non trouvé")</f>
        <v>27.547335</v>
      </c>
      <c r="I902" t="str">
        <f>IFERROR(VLOOKUP(Logs_reseau[[#This Row],[Cell_ID]],'[1]Registre_Maintenance_combine '!A:E,5,FALSE),"Non trouvé")</f>
        <v>4G</v>
      </c>
      <c r="J902" t="str">
        <f>IFERROR(VLOOKUP(Logs_reseau[[#This Row],[Cell_ID]],'[1]Registre_Maintenance_combine '!A:F,6,FALSE),"Non trouvé")</f>
        <v>Ericsson</v>
      </c>
    </row>
    <row r="903" spans="1:10" x14ac:dyDescent="0.25">
      <c r="A903" t="str">
        <f>IFERROR(VLOOKUP(Logs_reseau[[#This Row],[Cell_ID]],'[1]Registre_Maintenance_combine '!A:B,2,FALSE),"Non trouvé")</f>
        <v>Non trouvé</v>
      </c>
      <c r="B903" t="s">
        <v>47</v>
      </c>
      <c r="C903" s="3">
        <v>45201.856944444444</v>
      </c>
      <c r="D903" s="11">
        <f>Logs_reseau[[#This Row],[Duree_Panne_Min]]/1440</f>
        <v>4.2361111111111113E-2</v>
      </c>
      <c r="E903">
        <v>61</v>
      </c>
      <c r="F903" t="s">
        <v>1</v>
      </c>
      <c r="G903" t="str">
        <f>IFERROR(VLOOKUP(Logs_reseau[[#This Row],[Cell_ID]],'[1]Registre_Maintenance_combine '!A:C,3,FALSE),"Non trouvé")</f>
        <v>Non trouvé</v>
      </c>
      <c r="H903" t="str">
        <f>IFERROR(VLOOKUP(Logs_reseau[[#This Row],[Cell_ID]],'[1]Registre_Maintenance_combine '!A:D,4,FALSE),"Non trouvé")</f>
        <v>Non trouvé</v>
      </c>
      <c r="I903" t="str">
        <f>IFERROR(VLOOKUP(Logs_reseau[[#This Row],[Cell_ID]],'[1]Registre_Maintenance_combine '!A:E,5,FALSE),"Non trouvé")</f>
        <v>Non trouvé</v>
      </c>
      <c r="J903" t="str">
        <f>IFERROR(VLOOKUP(Logs_reseau[[#This Row],[Cell_ID]],'[1]Registre_Maintenance_combine '!A:F,6,FALSE),"Non trouvé")</f>
        <v>Non trouvé</v>
      </c>
    </row>
    <row r="904" spans="1:10" x14ac:dyDescent="0.25">
      <c r="A904" t="str">
        <f>IFERROR(VLOOKUP(Logs_reseau[[#This Row],[Cell_ID]],'[1]Registre_Maintenance_combine '!A:B,2,FALSE),"Non trouvé")</f>
        <v>Non trouvé</v>
      </c>
      <c r="B904" t="s">
        <v>6</v>
      </c>
      <c r="C904" s="3">
        <v>45226.003472222219</v>
      </c>
      <c r="D904" s="11">
        <f>Logs_reseau[[#This Row],[Duree_Panne_Min]]/1440</f>
        <v>7.7083333333333337E-2</v>
      </c>
      <c r="E904">
        <v>111</v>
      </c>
      <c r="F904" t="s">
        <v>1</v>
      </c>
      <c r="G904" t="str">
        <f>IFERROR(VLOOKUP(Logs_reseau[[#This Row],[Cell_ID]],'[1]Registre_Maintenance_combine '!A:C,3,FALSE),"Non trouvé")</f>
        <v>Non trouvé</v>
      </c>
      <c r="H904" t="str">
        <f>IFERROR(VLOOKUP(Logs_reseau[[#This Row],[Cell_ID]],'[1]Registre_Maintenance_combine '!A:D,4,FALSE),"Non trouvé")</f>
        <v>Non trouvé</v>
      </c>
      <c r="I904" t="str">
        <f>IFERROR(VLOOKUP(Logs_reseau[[#This Row],[Cell_ID]],'[1]Registre_Maintenance_combine '!A:E,5,FALSE),"Non trouvé")</f>
        <v>Non trouvé</v>
      </c>
      <c r="J904" t="str">
        <f>IFERROR(VLOOKUP(Logs_reseau[[#This Row],[Cell_ID]],'[1]Registre_Maintenance_combine '!A:F,6,FALSE),"Non trouvé")</f>
        <v>Non trouvé</v>
      </c>
    </row>
    <row r="905" spans="1:10" x14ac:dyDescent="0.25">
      <c r="A905" t="str">
        <f>IFERROR(VLOOKUP(Logs_reseau[[#This Row],[Cell_ID]],'[1]Registre_Maintenance_combine '!A:B,2,FALSE),"Non trouvé")</f>
        <v>Non trouvé</v>
      </c>
      <c r="B905" t="s">
        <v>247</v>
      </c>
      <c r="C905" s="3">
        <v>45229.298611111109</v>
      </c>
      <c r="D905" s="11">
        <f>Logs_reseau[[#This Row],[Duree_Panne_Min]]/1440</f>
        <v>5.1388888888888887E-2</v>
      </c>
      <c r="E905">
        <v>74</v>
      </c>
      <c r="F905" t="s">
        <v>4</v>
      </c>
      <c r="G905" t="str">
        <f>IFERROR(VLOOKUP(Logs_reseau[[#This Row],[Cell_ID]],'[1]Registre_Maintenance_combine '!A:C,3,FALSE),"Non trouvé")</f>
        <v>Non trouvé</v>
      </c>
      <c r="H905" t="str">
        <f>IFERROR(VLOOKUP(Logs_reseau[[#This Row],[Cell_ID]],'[1]Registre_Maintenance_combine '!A:D,4,FALSE),"Non trouvé")</f>
        <v>Non trouvé</v>
      </c>
      <c r="I905" t="str">
        <f>IFERROR(VLOOKUP(Logs_reseau[[#This Row],[Cell_ID]],'[1]Registre_Maintenance_combine '!A:E,5,FALSE),"Non trouvé")</f>
        <v>Non trouvé</v>
      </c>
      <c r="J905" t="str">
        <f>IFERROR(VLOOKUP(Logs_reseau[[#This Row],[Cell_ID]],'[1]Registre_Maintenance_combine '!A:F,6,FALSE),"Non trouvé")</f>
        <v>Non trouvé</v>
      </c>
    </row>
    <row r="906" spans="1:10" x14ac:dyDescent="0.25">
      <c r="A906" t="str">
        <f>IFERROR(VLOOKUP(Logs_reseau[[#This Row],[Cell_ID]],'[1]Registre_Maintenance_combine '!A:B,2,FALSE),"Non trouvé")</f>
        <v>Haut-Katanga</v>
      </c>
      <c r="B906" t="s">
        <v>248</v>
      </c>
      <c r="C906" s="3">
        <v>45213.645833333336</v>
      </c>
      <c r="D906" s="11">
        <f>Logs_reseau[[#This Row],[Duree_Panne_Min]]/1440</f>
        <v>6.5972222222222224E-2</v>
      </c>
      <c r="E906">
        <v>95</v>
      </c>
      <c r="F906" t="s">
        <v>1</v>
      </c>
      <c r="G906">
        <f>IFERROR(VLOOKUP(Logs_reseau[[#This Row],[Cell_ID]],'[1]Registre_Maintenance_combine '!A:C,3,FALSE),"Non trouvé")</f>
        <v>-2.9417719999999998</v>
      </c>
      <c r="H906">
        <f>IFERROR(VLOOKUP(Logs_reseau[[#This Row],[Cell_ID]],'[1]Registre_Maintenance_combine '!A:D,4,FALSE),"Non trouvé")</f>
        <v>18.587305000000001</v>
      </c>
      <c r="I906" t="str">
        <f>IFERROR(VLOOKUP(Logs_reseau[[#This Row],[Cell_ID]],'[1]Registre_Maintenance_combine '!A:E,5,FALSE),"Non trouvé")</f>
        <v>5G</v>
      </c>
      <c r="J906" t="str">
        <f>IFERROR(VLOOKUP(Logs_reseau[[#This Row],[Cell_ID]],'[1]Registre_Maintenance_combine '!A:F,6,FALSE),"Non trouvé")</f>
        <v>Ericsson</v>
      </c>
    </row>
    <row r="907" spans="1:10" x14ac:dyDescent="0.25">
      <c r="A907" t="str">
        <f>IFERROR(VLOOKUP(Logs_reseau[[#This Row],[Cell_ID]],'[1]Registre_Maintenance_combine '!A:B,2,FALSE),"Non trouvé")</f>
        <v>Kwango</v>
      </c>
      <c r="B907" t="s">
        <v>135</v>
      </c>
      <c r="C907" s="3">
        <v>45206.539583333331</v>
      </c>
      <c r="D907" s="11">
        <f>Logs_reseau[[#This Row],[Duree_Panne_Min]]/1440</f>
        <v>2.9861111111111113E-2</v>
      </c>
      <c r="E907">
        <v>43</v>
      </c>
      <c r="F907" t="s">
        <v>1</v>
      </c>
      <c r="G907">
        <f>IFERROR(VLOOKUP(Logs_reseau[[#This Row],[Cell_ID]],'[1]Registre_Maintenance_combine '!A:C,3,FALSE),"Non trouvé")</f>
        <v>-10.963041</v>
      </c>
      <c r="H907">
        <f>IFERROR(VLOOKUP(Logs_reseau[[#This Row],[Cell_ID]],'[1]Registre_Maintenance_combine '!A:D,4,FALSE),"Non trouvé")</f>
        <v>12.269857</v>
      </c>
      <c r="I907" t="str">
        <f>IFERROR(VLOOKUP(Logs_reseau[[#This Row],[Cell_ID]],'[1]Registre_Maintenance_combine '!A:E,5,FALSE),"Non trouvé")</f>
        <v>4G</v>
      </c>
      <c r="J907" t="str">
        <f>IFERROR(VLOOKUP(Logs_reseau[[#This Row],[Cell_ID]],'[1]Registre_Maintenance_combine '!A:F,6,FALSE),"Non trouvé")</f>
        <v>Huawei</v>
      </c>
    </row>
    <row r="908" spans="1:10" x14ac:dyDescent="0.25">
      <c r="A908" t="str">
        <f>IFERROR(VLOOKUP(Logs_reseau[[#This Row],[Cell_ID]],'[1]Registre_Maintenance_combine '!A:B,2,FALSE),"Non trouvé")</f>
        <v>Nord-Kivu</v>
      </c>
      <c r="B908" t="s">
        <v>249</v>
      </c>
      <c r="C908" s="3">
        <v>45201.224999999999</v>
      </c>
      <c r="D908" s="11">
        <f>Logs_reseau[[#This Row],[Duree_Panne_Min]]/1440</f>
        <v>5.7638888888888892E-2</v>
      </c>
      <c r="E908">
        <v>83</v>
      </c>
      <c r="F908" t="s">
        <v>2</v>
      </c>
      <c r="G908">
        <f>IFERROR(VLOOKUP(Logs_reseau[[#This Row],[Cell_ID]],'[1]Registre_Maintenance_combine '!A:C,3,FALSE),"Non trouvé")</f>
        <v>0.82868600000000003</v>
      </c>
      <c r="H908">
        <f>IFERROR(VLOOKUP(Logs_reseau[[#This Row],[Cell_ID]],'[1]Registre_Maintenance_combine '!A:D,4,FALSE),"Non trouvé")</f>
        <v>26.958843999999999</v>
      </c>
      <c r="I908" t="str">
        <f>IFERROR(VLOOKUP(Logs_reseau[[#This Row],[Cell_ID]],'[1]Registre_Maintenance_combine '!A:E,5,FALSE),"Non trouvé")</f>
        <v>5G</v>
      </c>
      <c r="J908" t="str">
        <f>IFERROR(VLOOKUP(Logs_reseau[[#This Row],[Cell_ID]],'[1]Registre_Maintenance_combine '!A:F,6,FALSE),"Non trouvé")</f>
        <v>ZTE</v>
      </c>
    </row>
    <row r="909" spans="1:10" x14ac:dyDescent="0.25">
      <c r="A909" t="str">
        <f>IFERROR(VLOOKUP(Logs_reseau[[#This Row],[Cell_ID]],'[1]Registre_Maintenance_combine '!A:B,2,FALSE),"Non trouvé")</f>
        <v>Non trouvé</v>
      </c>
      <c r="B909" t="s">
        <v>250</v>
      </c>
      <c r="C909" s="3">
        <v>45200.511111111111</v>
      </c>
      <c r="D909" s="11">
        <f>Logs_reseau[[#This Row],[Duree_Panne_Min]]/1440</f>
        <v>7.4999999999999997E-2</v>
      </c>
      <c r="E909">
        <v>108</v>
      </c>
      <c r="F909" t="s">
        <v>4</v>
      </c>
      <c r="G909" t="str">
        <f>IFERROR(VLOOKUP(Logs_reseau[[#This Row],[Cell_ID]],'[1]Registre_Maintenance_combine '!A:C,3,FALSE),"Non trouvé")</f>
        <v>Non trouvé</v>
      </c>
      <c r="H909" t="str">
        <f>IFERROR(VLOOKUP(Logs_reseau[[#This Row],[Cell_ID]],'[1]Registre_Maintenance_combine '!A:D,4,FALSE),"Non trouvé")</f>
        <v>Non trouvé</v>
      </c>
      <c r="I909" t="str">
        <f>IFERROR(VLOOKUP(Logs_reseau[[#This Row],[Cell_ID]],'[1]Registre_Maintenance_combine '!A:E,5,FALSE),"Non trouvé")</f>
        <v>Non trouvé</v>
      </c>
      <c r="J909" t="str">
        <f>IFERROR(VLOOKUP(Logs_reseau[[#This Row],[Cell_ID]],'[1]Registre_Maintenance_combine '!A:F,6,FALSE),"Non trouvé")</f>
        <v>Non trouvé</v>
      </c>
    </row>
    <row r="910" spans="1:10" x14ac:dyDescent="0.25">
      <c r="A910" t="str">
        <f>IFERROR(VLOOKUP(Logs_reseau[[#This Row],[Cell_ID]],'[1]Registre_Maintenance_combine '!A:B,2,FALSE),"Non trouvé")</f>
        <v>Sud-Ubangi</v>
      </c>
      <c r="B910" t="s">
        <v>165</v>
      </c>
      <c r="C910" s="3">
        <v>45229.595833333333</v>
      </c>
      <c r="D910" s="11">
        <f>Logs_reseau[[#This Row],[Duree_Panne_Min]]/1440</f>
        <v>6.1111111111111109E-2</v>
      </c>
      <c r="E910">
        <v>88</v>
      </c>
      <c r="F910" t="s">
        <v>4</v>
      </c>
      <c r="G910">
        <f>IFERROR(VLOOKUP(Logs_reseau[[#This Row],[Cell_ID]],'[1]Registre_Maintenance_combine '!A:C,3,FALSE),"Non trouvé")</f>
        <v>-10.56448</v>
      </c>
      <c r="H910">
        <f>IFERROR(VLOOKUP(Logs_reseau[[#This Row],[Cell_ID]],'[1]Registre_Maintenance_combine '!A:D,4,FALSE),"Non trouvé")</f>
        <v>19.792876</v>
      </c>
      <c r="I910" t="str">
        <f>IFERROR(VLOOKUP(Logs_reseau[[#This Row],[Cell_ID]],'[1]Registre_Maintenance_combine '!A:E,5,FALSE),"Non trouvé")</f>
        <v>5G</v>
      </c>
      <c r="J910" t="str">
        <f>IFERROR(VLOOKUP(Logs_reseau[[#This Row],[Cell_ID]],'[1]Registre_Maintenance_combine '!A:F,6,FALSE),"Non trouvé")</f>
        <v>Ericsson</v>
      </c>
    </row>
    <row r="911" spans="1:10" x14ac:dyDescent="0.25">
      <c r="A911" t="str">
        <f>IFERROR(VLOOKUP(Logs_reseau[[#This Row],[Cell_ID]],'[1]Registre_Maintenance_combine '!A:B,2,FALSE),"Non trouvé")</f>
        <v>Sankuru</v>
      </c>
      <c r="B911" t="s">
        <v>251</v>
      </c>
      <c r="C911" s="3">
        <v>45213.948611111111</v>
      </c>
      <c r="D911" s="11">
        <f>Logs_reseau[[#This Row],[Duree_Panne_Min]]/1440</f>
        <v>0.05</v>
      </c>
      <c r="E911">
        <v>72</v>
      </c>
      <c r="F911" t="s">
        <v>2</v>
      </c>
      <c r="G911">
        <f>IFERROR(VLOOKUP(Logs_reseau[[#This Row],[Cell_ID]],'[1]Registre_Maintenance_combine '!A:C,3,FALSE),"Non trouvé")</f>
        <v>-2.7140689999999998</v>
      </c>
      <c r="H911">
        <f>IFERROR(VLOOKUP(Logs_reseau[[#This Row],[Cell_ID]],'[1]Registre_Maintenance_combine '!A:D,4,FALSE),"Non trouvé")</f>
        <v>22.222104000000002</v>
      </c>
      <c r="I911" t="str">
        <f>IFERROR(VLOOKUP(Logs_reseau[[#This Row],[Cell_ID]],'[1]Registre_Maintenance_combine '!A:E,5,FALSE),"Non trouvé")</f>
        <v>4G</v>
      </c>
      <c r="J911" t="str">
        <f>IFERROR(VLOOKUP(Logs_reseau[[#This Row],[Cell_ID]],'[1]Registre_Maintenance_combine '!A:F,6,FALSE),"Non trouvé")</f>
        <v>Nokia</v>
      </c>
    </row>
    <row r="912" spans="1:10" x14ac:dyDescent="0.25">
      <c r="A912" t="str">
        <f>IFERROR(VLOOKUP(Logs_reseau[[#This Row],[Cell_ID]],'[1]Registre_Maintenance_combine '!A:B,2,FALSE),"Non trouvé")</f>
        <v>Non trouvé</v>
      </c>
      <c r="B912" t="s">
        <v>252</v>
      </c>
      <c r="C912" s="3">
        <v>45225.737500000003</v>
      </c>
      <c r="D912" s="11">
        <f>Logs_reseau[[#This Row],[Duree_Panne_Min]]/1440</f>
        <v>4.1666666666666666E-3</v>
      </c>
      <c r="E912">
        <v>6</v>
      </c>
      <c r="F912" t="s">
        <v>2</v>
      </c>
      <c r="G912" t="str">
        <f>IFERROR(VLOOKUP(Logs_reseau[[#This Row],[Cell_ID]],'[1]Registre_Maintenance_combine '!A:C,3,FALSE),"Non trouvé")</f>
        <v>Non trouvé</v>
      </c>
      <c r="H912" t="str">
        <f>IFERROR(VLOOKUP(Logs_reseau[[#This Row],[Cell_ID]],'[1]Registre_Maintenance_combine '!A:D,4,FALSE),"Non trouvé")</f>
        <v>Non trouvé</v>
      </c>
      <c r="I912" t="str">
        <f>IFERROR(VLOOKUP(Logs_reseau[[#This Row],[Cell_ID]],'[1]Registre_Maintenance_combine '!A:E,5,FALSE),"Non trouvé")</f>
        <v>Non trouvé</v>
      </c>
      <c r="J912" t="str">
        <f>IFERROR(VLOOKUP(Logs_reseau[[#This Row],[Cell_ID]],'[1]Registre_Maintenance_combine '!A:F,6,FALSE),"Non trouvé")</f>
        <v>Non trouvé</v>
      </c>
    </row>
    <row r="913" spans="1:10" x14ac:dyDescent="0.25">
      <c r="A913" t="str">
        <f>IFERROR(VLOOKUP(Logs_reseau[[#This Row],[Cell_ID]],'[1]Registre_Maintenance_combine '!A:B,2,FALSE),"Non trouvé")</f>
        <v>Tanganyika</v>
      </c>
      <c r="B913" t="s">
        <v>253</v>
      </c>
      <c r="C913" s="3">
        <v>45222.631249999999</v>
      </c>
      <c r="D913" s="11">
        <f>Logs_reseau[[#This Row],[Duree_Panne_Min]]/1440</f>
        <v>6.25E-2</v>
      </c>
      <c r="E913">
        <v>90</v>
      </c>
      <c r="F913" t="s">
        <v>1</v>
      </c>
      <c r="G913">
        <f>IFERROR(VLOOKUP(Logs_reseau[[#This Row],[Cell_ID]],'[1]Registre_Maintenance_combine '!A:C,3,FALSE),"Non trouvé")</f>
        <v>-2.099631</v>
      </c>
      <c r="H913">
        <f>IFERROR(VLOOKUP(Logs_reseau[[#This Row],[Cell_ID]],'[1]Registre_Maintenance_combine '!A:D,4,FALSE),"Non trouvé")</f>
        <v>13.974640000000001</v>
      </c>
      <c r="I913" t="str">
        <f>IFERROR(VLOOKUP(Logs_reseau[[#This Row],[Cell_ID]],'[1]Registre_Maintenance_combine '!A:E,5,FALSE),"Non trouvé")</f>
        <v>3G</v>
      </c>
      <c r="J913" t="str">
        <f>IFERROR(VLOOKUP(Logs_reseau[[#This Row],[Cell_ID]],'[1]Registre_Maintenance_combine '!A:F,6,FALSE),"Non trouvé")</f>
        <v>Nokia</v>
      </c>
    </row>
    <row r="914" spans="1:10" x14ac:dyDescent="0.25">
      <c r="A914" t="str">
        <f>IFERROR(VLOOKUP(Logs_reseau[[#This Row],[Cell_ID]],'[1]Registre_Maintenance_combine '!A:B,2,FALSE),"Non trouvé")</f>
        <v>Non trouvé</v>
      </c>
      <c r="B914" t="s">
        <v>254</v>
      </c>
      <c r="C914" s="3">
        <v>45206.384027777778</v>
      </c>
      <c r="D914" s="11">
        <f>Logs_reseau[[#This Row],[Duree_Panne_Min]]/1440</f>
        <v>7.5694444444444439E-2</v>
      </c>
      <c r="E914">
        <v>109</v>
      </c>
      <c r="F914" t="s">
        <v>4</v>
      </c>
      <c r="G914" t="str">
        <f>IFERROR(VLOOKUP(Logs_reseau[[#This Row],[Cell_ID]],'[1]Registre_Maintenance_combine '!A:C,3,FALSE),"Non trouvé")</f>
        <v>Non trouvé</v>
      </c>
      <c r="H914" t="str">
        <f>IFERROR(VLOOKUP(Logs_reseau[[#This Row],[Cell_ID]],'[1]Registre_Maintenance_combine '!A:D,4,FALSE),"Non trouvé")</f>
        <v>Non trouvé</v>
      </c>
      <c r="I914" t="str">
        <f>IFERROR(VLOOKUP(Logs_reseau[[#This Row],[Cell_ID]],'[1]Registre_Maintenance_combine '!A:E,5,FALSE),"Non trouvé")</f>
        <v>Non trouvé</v>
      </c>
      <c r="J914" t="str">
        <f>IFERROR(VLOOKUP(Logs_reseau[[#This Row],[Cell_ID]],'[1]Registre_Maintenance_combine '!A:F,6,FALSE),"Non trouvé")</f>
        <v>Non trouvé</v>
      </c>
    </row>
    <row r="915" spans="1:10" x14ac:dyDescent="0.25">
      <c r="A915" t="str">
        <f>IFERROR(VLOOKUP(Logs_reseau[[#This Row],[Cell_ID]],'[1]Registre_Maintenance_combine '!A:B,2,FALSE),"Non trouvé")</f>
        <v>Non trouvé</v>
      </c>
      <c r="B915" t="s">
        <v>255</v>
      </c>
      <c r="C915" s="3">
        <v>45230.067361111112</v>
      </c>
      <c r="D915" s="11">
        <f>Logs_reseau[[#This Row],[Duree_Panne_Min]]/1440</f>
        <v>5.2083333333333336E-2</v>
      </c>
      <c r="E915">
        <v>75</v>
      </c>
      <c r="F915" t="s">
        <v>1</v>
      </c>
      <c r="G915" t="str">
        <f>IFERROR(VLOOKUP(Logs_reseau[[#This Row],[Cell_ID]],'[1]Registre_Maintenance_combine '!A:C,3,FALSE),"Non trouvé")</f>
        <v>Non trouvé</v>
      </c>
      <c r="H915" t="str">
        <f>IFERROR(VLOOKUP(Logs_reseau[[#This Row],[Cell_ID]],'[1]Registre_Maintenance_combine '!A:D,4,FALSE),"Non trouvé")</f>
        <v>Non trouvé</v>
      </c>
      <c r="I915" t="str">
        <f>IFERROR(VLOOKUP(Logs_reseau[[#This Row],[Cell_ID]],'[1]Registre_Maintenance_combine '!A:E,5,FALSE),"Non trouvé")</f>
        <v>Non trouvé</v>
      </c>
      <c r="J915" t="str">
        <f>IFERROR(VLOOKUP(Logs_reseau[[#This Row],[Cell_ID]],'[1]Registre_Maintenance_combine '!A:F,6,FALSE),"Non trouvé")</f>
        <v>Non trouvé</v>
      </c>
    </row>
    <row r="916" spans="1:10" x14ac:dyDescent="0.25">
      <c r="A916" t="str">
        <f>IFERROR(VLOOKUP(Logs_reseau[[#This Row],[Cell_ID]],'[1]Registre_Maintenance_combine '!A:B,2,FALSE),"Non trouvé")</f>
        <v>Non trouvé</v>
      </c>
      <c r="B916" t="s">
        <v>256</v>
      </c>
      <c r="C916" s="3">
        <v>45223.710416666669</v>
      </c>
      <c r="D916" s="11">
        <f>Logs_reseau[[#This Row],[Duree_Panne_Min]]/1440</f>
        <v>2.9861111111111113E-2</v>
      </c>
      <c r="E916">
        <v>43</v>
      </c>
      <c r="F916" t="s">
        <v>2</v>
      </c>
      <c r="G916" t="str">
        <f>IFERROR(VLOOKUP(Logs_reseau[[#This Row],[Cell_ID]],'[1]Registre_Maintenance_combine '!A:C,3,FALSE),"Non trouvé")</f>
        <v>Non trouvé</v>
      </c>
      <c r="H916" t="str">
        <f>IFERROR(VLOOKUP(Logs_reseau[[#This Row],[Cell_ID]],'[1]Registre_Maintenance_combine '!A:D,4,FALSE),"Non trouvé")</f>
        <v>Non trouvé</v>
      </c>
      <c r="I916" t="str">
        <f>IFERROR(VLOOKUP(Logs_reseau[[#This Row],[Cell_ID]],'[1]Registre_Maintenance_combine '!A:E,5,FALSE),"Non trouvé")</f>
        <v>Non trouvé</v>
      </c>
      <c r="J916" t="str">
        <f>IFERROR(VLOOKUP(Logs_reseau[[#This Row],[Cell_ID]],'[1]Registre_Maintenance_combine '!A:F,6,FALSE),"Non trouvé")</f>
        <v>Non trouvé</v>
      </c>
    </row>
    <row r="917" spans="1:10" x14ac:dyDescent="0.25">
      <c r="A917" t="str">
        <f>IFERROR(VLOOKUP(Logs_reseau[[#This Row],[Cell_ID]],'[1]Registre_Maintenance_combine '!A:B,2,FALSE),"Non trouvé")</f>
        <v>Haut-Katanga</v>
      </c>
      <c r="B917" t="s">
        <v>12</v>
      </c>
      <c r="C917" s="3">
        <v>45223.418749999997</v>
      </c>
      <c r="D917" s="11">
        <f>Logs_reseau[[#This Row],[Duree_Panne_Min]]/1440</f>
        <v>6.1805555555555558E-2</v>
      </c>
      <c r="E917">
        <v>89</v>
      </c>
      <c r="F917" t="s">
        <v>1</v>
      </c>
      <c r="G917">
        <f>IFERROR(VLOOKUP(Logs_reseau[[#This Row],[Cell_ID]],'[1]Registre_Maintenance_combine '!A:C,3,FALSE),"Non trouvé")</f>
        <v>4.4712560000000003</v>
      </c>
      <c r="H917">
        <f>IFERROR(VLOOKUP(Logs_reseau[[#This Row],[Cell_ID]],'[1]Registre_Maintenance_combine '!A:D,4,FALSE),"Non trouvé")</f>
        <v>27.107028</v>
      </c>
      <c r="I917" t="str">
        <f>IFERROR(VLOOKUP(Logs_reseau[[#This Row],[Cell_ID]],'[1]Registre_Maintenance_combine '!A:E,5,FALSE),"Non trouvé")</f>
        <v>3G</v>
      </c>
      <c r="J917" t="str">
        <f>IFERROR(VLOOKUP(Logs_reseau[[#This Row],[Cell_ID]],'[1]Registre_Maintenance_combine '!A:F,6,FALSE),"Non trouvé")</f>
        <v>Ericsson</v>
      </c>
    </row>
    <row r="918" spans="1:10" x14ac:dyDescent="0.25">
      <c r="A918" t="str">
        <f>IFERROR(VLOOKUP(Logs_reseau[[#This Row],[Cell_ID]],'[1]Registre_Maintenance_combine '!A:B,2,FALSE),"Non trouvé")</f>
        <v>Non trouvé</v>
      </c>
      <c r="B918" t="s">
        <v>116</v>
      </c>
      <c r="C918" s="3">
        <v>45201.770833333336</v>
      </c>
      <c r="D918" s="11">
        <f>Logs_reseau[[#This Row],[Duree_Panne_Min]]/1440</f>
        <v>1.2500000000000001E-2</v>
      </c>
      <c r="E918">
        <v>18</v>
      </c>
      <c r="F918" t="s">
        <v>4</v>
      </c>
      <c r="G918" t="str">
        <f>IFERROR(VLOOKUP(Logs_reseau[[#This Row],[Cell_ID]],'[1]Registre_Maintenance_combine '!A:C,3,FALSE),"Non trouvé")</f>
        <v>Non trouvé</v>
      </c>
      <c r="H918" t="str">
        <f>IFERROR(VLOOKUP(Logs_reseau[[#This Row],[Cell_ID]],'[1]Registre_Maintenance_combine '!A:D,4,FALSE),"Non trouvé")</f>
        <v>Non trouvé</v>
      </c>
      <c r="I918" t="str">
        <f>IFERROR(VLOOKUP(Logs_reseau[[#This Row],[Cell_ID]],'[1]Registre_Maintenance_combine '!A:E,5,FALSE),"Non trouvé")</f>
        <v>Non trouvé</v>
      </c>
      <c r="J918" t="str">
        <f>IFERROR(VLOOKUP(Logs_reseau[[#This Row],[Cell_ID]],'[1]Registre_Maintenance_combine '!A:F,6,FALSE),"Non trouvé")</f>
        <v>Non trouvé</v>
      </c>
    </row>
    <row r="919" spans="1:10" x14ac:dyDescent="0.25">
      <c r="A919" t="str">
        <f>IFERROR(VLOOKUP(Logs_reseau[[#This Row],[Cell_ID]],'[1]Registre_Maintenance_combine '!A:B,2,FALSE),"Non trouvé")</f>
        <v>Sud-Ubangi</v>
      </c>
      <c r="B919" t="s">
        <v>79</v>
      </c>
      <c r="C919" s="3">
        <v>45216.673611111109</v>
      </c>
      <c r="D919" s="11">
        <f>Logs_reseau[[#This Row],[Duree_Panne_Min]]/1440</f>
        <v>8.1250000000000003E-2</v>
      </c>
      <c r="E919">
        <v>117</v>
      </c>
      <c r="F919" t="s">
        <v>1</v>
      </c>
      <c r="G919">
        <f>IFERROR(VLOOKUP(Logs_reseau[[#This Row],[Cell_ID]],'[1]Registre_Maintenance_combine '!A:C,3,FALSE),"Non trouvé")</f>
        <v>-12.141233</v>
      </c>
      <c r="H919">
        <f>IFERROR(VLOOKUP(Logs_reseau[[#This Row],[Cell_ID]],'[1]Registre_Maintenance_combine '!A:D,4,FALSE),"Non trouvé")</f>
        <v>15.179043999999999</v>
      </c>
      <c r="I919" t="str">
        <f>IFERROR(VLOOKUP(Logs_reseau[[#This Row],[Cell_ID]],'[1]Registre_Maintenance_combine '!A:E,5,FALSE),"Non trouvé")</f>
        <v>5G</v>
      </c>
      <c r="J919" t="str">
        <f>IFERROR(VLOOKUP(Logs_reseau[[#This Row],[Cell_ID]],'[1]Registre_Maintenance_combine '!A:F,6,FALSE),"Non trouvé")</f>
        <v>Ericsson</v>
      </c>
    </row>
    <row r="920" spans="1:10" x14ac:dyDescent="0.25">
      <c r="A920" t="str">
        <f>IFERROR(VLOOKUP(Logs_reseau[[#This Row],[Cell_ID]],'[1]Registre_Maintenance_combine '!A:B,2,FALSE),"Non trouvé")</f>
        <v>Non trouvé</v>
      </c>
      <c r="B920" t="s">
        <v>257</v>
      </c>
      <c r="C920" s="3">
        <v>45201.670138888891</v>
      </c>
      <c r="D920" s="11">
        <f>Logs_reseau[[#This Row],[Duree_Panne_Min]]/1440</f>
        <v>1.5277777777777777E-2</v>
      </c>
      <c r="E920">
        <v>22</v>
      </c>
      <c r="F920" t="s">
        <v>4</v>
      </c>
      <c r="G920" t="str">
        <f>IFERROR(VLOOKUP(Logs_reseau[[#This Row],[Cell_ID]],'[1]Registre_Maintenance_combine '!A:C,3,FALSE),"Non trouvé")</f>
        <v>Non trouvé</v>
      </c>
      <c r="H920" t="str">
        <f>IFERROR(VLOOKUP(Logs_reseau[[#This Row],[Cell_ID]],'[1]Registre_Maintenance_combine '!A:D,4,FALSE),"Non trouvé")</f>
        <v>Non trouvé</v>
      </c>
      <c r="I920" t="str">
        <f>IFERROR(VLOOKUP(Logs_reseau[[#This Row],[Cell_ID]],'[1]Registre_Maintenance_combine '!A:E,5,FALSE),"Non trouvé")</f>
        <v>Non trouvé</v>
      </c>
      <c r="J920" t="str">
        <f>IFERROR(VLOOKUP(Logs_reseau[[#This Row],[Cell_ID]],'[1]Registre_Maintenance_combine '!A:F,6,FALSE),"Non trouvé")</f>
        <v>Non trouvé</v>
      </c>
    </row>
    <row r="921" spans="1:10" x14ac:dyDescent="0.25">
      <c r="A921" t="str">
        <f>IFERROR(VLOOKUP(Logs_reseau[[#This Row],[Cell_ID]],'[1]Registre_Maintenance_combine '!A:B,2,FALSE),"Non trouvé")</f>
        <v>Non trouvé</v>
      </c>
      <c r="B921" t="s">
        <v>258</v>
      </c>
      <c r="C921" s="3">
        <v>45227.211111111108</v>
      </c>
      <c r="D921" s="11">
        <f>Logs_reseau[[#This Row],[Duree_Panne_Min]]/1440</f>
        <v>2.6388888888888889E-2</v>
      </c>
      <c r="E921">
        <v>38</v>
      </c>
      <c r="F921" t="s">
        <v>1</v>
      </c>
      <c r="G921" t="str">
        <f>IFERROR(VLOOKUP(Logs_reseau[[#This Row],[Cell_ID]],'[1]Registre_Maintenance_combine '!A:C,3,FALSE),"Non trouvé")</f>
        <v>Non trouvé</v>
      </c>
      <c r="H921" t="str">
        <f>IFERROR(VLOOKUP(Logs_reseau[[#This Row],[Cell_ID]],'[1]Registre_Maintenance_combine '!A:D,4,FALSE),"Non trouvé")</f>
        <v>Non trouvé</v>
      </c>
      <c r="I921" t="str">
        <f>IFERROR(VLOOKUP(Logs_reseau[[#This Row],[Cell_ID]],'[1]Registre_Maintenance_combine '!A:E,5,FALSE),"Non trouvé")</f>
        <v>Non trouvé</v>
      </c>
      <c r="J921" t="str">
        <f>IFERROR(VLOOKUP(Logs_reseau[[#This Row],[Cell_ID]],'[1]Registre_Maintenance_combine '!A:F,6,FALSE),"Non trouvé")</f>
        <v>Non trouvé</v>
      </c>
    </row>
    <row r="922" spans="1:10" x14ac:dyDescent="0.25">
      <c r="A922" t="str">
        <f>IFERROR(VLOOKUP(Logs_reseau[[#This Row],[Cell_ID]],'[1]Registre_Maintenance_combine '!A:B,2,FALSE),"Non trouvé")</f>
        <v>Kwango</v>
      </c>
      <c r="B922" t="s">
        <v>259</v>
      </c>
      <c r="C922" s="3">
        <v>45219.113194444442</v>
      </c>
      <c r="D922" s="11">
        <f>Logs_reseau[[#This Row],[Duree_Panne_Min]]/1440</f>
        <v>1.3194444444444444E-2</v>
      </c>
      <c r="E922">
        <v>19</v>
      </c>
      <c r="F922" t="s">
        <v>1</v>
      </c>
      <c r="G922">
        <f>IFERROR(VLOOKUP(Logs_reseau[[#This Row],[Cell_ID]],'[1]Registre_Maintenance_combine '!A:C,3,FALSE),"Non trouvé")</f>
        <v>-9.7712979999999998</v>
      </c>
      <c r="H922">
        <f>IFERROR(VLOOKUP(Logs_reseau[[#This Row],[Cell_ID]],'[1]Registre_Maintenance_combine '!A:D,4,FALSE),"Non trouvé")</f>
        <v>19.827895999999999</v>
      </c>
      <c r="I922" t="str">
        <f>IFERROR(VLOOKUP(Logs_reseau[[#This Row],[Cell_ID]],'[1]Registre_Maintenance_combine '!A:E,5,FALSE),"Non trouvé")</f>
        <v>3G</v>
      </c>
      <c r="J922" t="str">
        <f>IFERROR(VLOOKUP(Logs_reseau[[#This Row],[Cell_ID]],'[1]Registre_Maintenance_combine '!A:F,6,FALSE),"Non trouvé")</f>
        <v>ZTE</v>
      </c>
    </row>
    <row r="923" spans="1:10" x14ac:dyDescent="0.25">
      <c r="A923" t="str">
        <f>IFERROR(VLOOKUP(Logs_reseau[[#This Row],[Cell_ID]],'[1]Registre_Maintenance_combine '!A:B,2,FALSE),"Non trouvé")</f>
        <v>Sud-Ubangi</v>
      </c>
      <c r="B923" t="s">
        <v>260</v>
      </c>
      <c r="C923" s="3">
        <v>45227.309027777781</v>
      </c>
      <c r="D923" s="11">
        <f>Logs_reseau[[#This Row],[Duree_Panne_Min]]/1440</f>
        <v>8.1944444444444445E-2</v>
      </c>
      <c r="E923">
        <v>118</v>
      </c>
      <c r="F923" t="s">
        <v>4</v>
      </c>
      <c r="G923">
        <f>IFERROR(VLOOKUP(Logs_reseau[[#This Row],[Cell_ID]],'[1]Registre_Maintenance_combine '!A:C,3,FALSE),"Non trouvé")</f>
        <v>-10.914952</v>
      </c>
      <c r="H923">
        <f>IFERROR(VLOOKUP(Logs_reseau[[#This Row],[Cell_ID]],'[1]Registre_Maintenance_combine '!A:D,4,FALSE),"Non trouvé")</f>
        <v>26.409648000000001</v>
      </c>
      <c r="I923" t="str">
        <f>IFERROR(VLOOKUP(Logs_reseau[[#This Row],[Cell_ID]],'[1]Registre_Maintenance_combine '!A:E,5,FALSE),"Non trouvé")</f>
        <v>4G</v>
      </c>
      <c r="J923" t="str">
        <f>IFERROR(VLOOKUP(Logs_reseau[[#This Row],[Cell_ID]],'[1]Registre_Maintenance_combine '!A:F,6,FALSE),"Non trouvé")</f>
        <v>Huawei</v>
      </c>
    </row>
    <row r="924" spans="1:10" x14ac:dyDescent="0.25">
      <c r="A924" t="str">
        <f>IFERROR(VLOOKUP(Logs_reseau[[#This Row],[Cell_ID]],'[1]Registre_Maintenance_combine '!A:B,2,FALSE),"Non trouvé")</f>
        <v>Nord-Ubangi</v>
      </c>
      <c r="B924" t="s">
        <v>154</v>
      </c>
      <c r="C924" s="3">
        <v>45203.760416666664</v>
      </c>
      <c r="D924" s="11">
        <f>Logs_reseau[[#This Row],[Duree_Panne_Min]]/1440</f>
        <v>1.2500000000000001E-2</v>
      </c>
      <c r="E924">
        <v>18</v>
      </c>
      <c r="F924" t="s">
        <v>4</v>
      </c>
      <c r="G924">
        <f>IFERROR(VLOOKUP(Logs_reseau[[#This Row],[Cell_ID]],'[1]Registre_Maintenance_combine '!A:C,3,FALSE),"Non trouvé")</f>
        <v>0.94539899999999999</v>
      </c>
      <c r="H924">
        <f>IFERROR(VLOOKUP(Logs_reseau[[#This Row],[Cell_ID]],'[1]Registre_Maintenance_combine '!A:D,4,FALSE),"Non trouvé")</f>
        <v>14.401821999999999</v>
      </c>
      <c r="I924" t="str">
        <f>IFERROR(VLOOKUP(Logs_reseau[[#This Row],[Cell_ID]],'[1]Registre_Maintenance_combine '!A:E,5,FALSE),"Non trouvé")</f>
        <v>5G</v>
      </c>
      <c r="J924" t="str">
        <f>IFERROR(VLOOKUP(Logs_reseau[[#This Row],[Cell_ID]],'[1]Registre_Maintenance_combine '!A:F,6,FALSE),"Non trouvé")</f>
        <v>Nokia</v>
      </c>
    </row>
    <row r="925" spans="1:10" x14ac:dyDescent="0.25">
      <c r="A925" t="str">
        <f>IFERROR(VLOOKUP(Logs_reseau[[#This Row],[Cell_ID]],'[1]Registre_Maintenance_combine '!A:B,2,FALSE),"Non trouvé")</f>
        <v>Non trouvé</v>
      </c>
      <c r="B925" t="s">
        <v>261</v>
      </c>
      <c r="C925" s="3">
        <v>45218.793055555558</v>
      </c>
      <c r="D925" s="11">
        <f>Logs_reseau[[#This Row],[Duree_Panne_Min]]/1440</f>
        <v>6.9444444444444448E-2</v>
      </c>
      <c r="E925">
        <v>100</v>
      </c>
      <c r="F925" t="s">
        <v>4</v>
      </c>
      <c r="G925" t="str">
        <f>IFERROR(VLOOKUP(Logs_reseau[[#This Row],[Cell_ID]],'[1]Registre_Maintenance_combine '!A:C,3,FALSE),"Non trouvé")</f>
        <v>Non trouvé</v>
      </c>
      <c r="H925" t="str">
        <f>IFERROR(VLOOKUP(Logs_reseau[[#This Row],[Cell_ID]],'[1]Registre_Maintenance_combine '!A:D,4,FALSE),"Non trouvé")</f>
        <v>Non trouvé</v>
      </c>
      <c r="I925" t="str">
        <f>IFERROR(VLOOKUP(Logs_reseau[[#This Row],[Cell_ID]],'[1]Registre_Maintenance_combine '!A:E,5,FALSE),"Non trouvé")</f>
        <v>Non trouvé</v>
      </c>
      <c r="J925" t="str">
        <f>IFERROR(VLOOKUP(Logs_reseau[[#This Row],[Cell_ID]],'[1]Registre_Maintenance_combine '!A:F,6,FALSE),"Non trouvé")</f>
        <v>Non trouvé</v>
      </c>
    </row>
    <row r="926" spans="1:10" x14ac:dyDescent="0.25">
      <c r="A926" t="str">
        <f>IFERROR(VLOOKUP(Logs_reseau[[#This Row],[Cell_ID]],'[1]Registre_Maintenance_combine '!A:B,2,FALSE),"Non trouvé")</f>
        <v>Ituri</v>
      </c>
      <c r="B926" t="s">
        <v>38</v>
      </c>
      <c r="C926" s="3">
        <v>45219.101388888892</v>
      </c>
      <c r="D926" s="11">
        <f>Logs_reseau[[#This Row],[Duree_Panne_Min]]/1440</f>
        <v>5.2083333333333336E-2</v>
      </c>
      <c r="E926">
        <v>75</v>
      </c>
      <c r="F926" t="s">
        <v>1</v>
      </c>
      <c r="G926">
        <f>IFERROR(VLOOKUP(Logs_reseau[[#This Row],[Cell_ID]],'[1]Registre_Maintenance_combine '!A:C,3,FALSE),"Non trouvé")</f>
        <v>-7.0076900000000002</v>
      </c>
      <c r="H926">
        <f>IFERROR(VLOOKUP(Logs_reseau[[#This Row],[Cell_ID]],'[1]Registre_Maintenance_combine '!A:D,4,FALSE),"Non trouvé")</f>
        <v>27.367121999999998</v>
      </c>
      <c r="I926" t="str">
        <f>IFERROR(VLOOKUP(Logs_reseau[[#This Row],[Cell_ID]],'[1]Registre_Maintenance_combine '!A:E,5,FALSE),"Non trouvé")</f>
        <v>3G</v>
      </c>
      <c r="J926" t="str">
        <f>IFERROR(VLOOKUP(Logs_reseau[[#This Row],[Cell_ID]],'[1]Registre_Maintenance_combine '!A:F,6,FALSE),"Non trouvé")</f>
        <v>Nokia</v>
      </c>
    </row>
    <row r="927" spans="1:10" x14ac:dyDescent="0.25">
      <c r="A927" t="str">
        <f>IFERROR(VLOOKUP(Logs_reseau[[#This Row],[Cell_ID]],'[1]Registre_Maintenance_combine '!A:B,2,FALSE),"Non trouvé")</f>
        <v>Mongala</v>
      </c>
      <c r="B927" t="s">
        <v>262</v>
      </c>
      <c r="C927" s="3">
        <v>45221.775000000001</v>
      </c>
      <c r="D927" s="11">
        <f>Logs_reseau[[#This Row],[Duree_Panne_Min]]/1440</f>
        <v>1.6666666666666666E-2</v>
      </c>
      <c r="E927">
        <v>24</v>
      </c>
      <c r="F927" t="s">
        <v>1</v>
      </c>
      <c r="G927">
        <f>IFERROR(VLOOKUP(Logs_reseau[[#This Row],[Cell_ID]],'[1]Registre_Maintenance_combine '!A:C,3,FALSE),"Non trouvé")</f>
        <v>-11.514188000000001</v>
      </c>
      <c r="H927">
        <f>IFERROR(VLOOKUP(Logs_reseau[[#This Row],[Cell_ID]],'[1]Registre_Maintenance_combine '!A:D,4,FALSE),"Non trouvé")</f>
        <v>15.971181</v>
      </c>
      <c r="I927" t="str">
        <f>IFERROR(VLOOKUP(Logs_reseau[[#This Row],[Cell_ID]],'[1]Registre_Maintenance_combine '!A:E,5,FALSE),"Non trouvé")</f>
        <v>5G</v>
      </c>
      <c r="J927" t="str">
        <f>IFERROR(VLOOKUP(Logs_reseau[[#This Row],[Cell_ID]],'[1]Registre_Maintenance_combine '!A:F,6,FALSE),"Non trouvé")</f>
        <v>Ericsson</v>
      </c>
    </row>
    <row r="928" spans="1:10" x14ac:dyDescent="0.25">
      <c r="A928" t="str">
        <f>IFERROR(VLOOKUP(Logs_reseau[[#This Row],[Cell_ID]],'[1]Registre_Maintenance_combine '!A:B,2,FALSE),"Non trouvé")</f>
        <v>Kasai-Central</v>
      </c>
      <c r="B928" t="s">
        <v>263</v>
      </c>
      <c r="C928" s="3">
        <v>45216.457638888889</v>
      </c>
      <c r="D928" s="11">
        <f>Logs_reseau[[#This Row],[Duree_Panne_Min]]/1440</f>
        <v>2.7083333333333334E-2</v>
      </c>
      <c r="E928">
        <v>39</v>
      </c>
      <c r="F928" t="s">
        <v>1</v>
      </c>
      <c r="G928">
        <f>IFERROR(VLOOKUP(Logs_reseau[[#This Row],[Cell_ID]],'[1]Registre_Maintenance_combine '!A:C,3,FALSE),"Non trouvé")</f>
        <v>-9.5266249999999992</v>
      </c>
      <c r="H928">
        <f>IFERROR(VLOOKUP(Logs_reseau[[#This Row],[Cell_ID]],'[1]Registre_Maintenance_combine '!A:D,4,FALSE),"Non trouvé")</f>
        <v>27.889690999999999</v>
      </c>
      <c r="I928" t="str">
        <f>IFERROR(VLOOKUP(Logs_reseau[[#This Row],[Cell_ID]],'[1]Registre_Maintenance_combine '!A:E,5,FALSE),"Non trouvé")</f>
        <v>4G</v>
      </c>
      <c r="J928" t="str">
        <f>IFERROR(VLOOKUP(Logs_reseau[[#This Row],[Cell_ID]],'[1]Registre_Maintenance_combine '!A:F,6,FALSE),"Non trouvé")</f>
        <v>Ericsson</v>
      </c>
    </row>
    <row r="929" spans="1:10" x14ac:dyDescent="0.25">
      <c r="A929" t="str">
        <f>IFERROR(VLOOKUP(Logs_reseau[[#This Row],[Cell_ID]],'[1]Registre_Maintenance_combine '!A:B,2,FALSE),"Non trouvé")</f>
        <v>Nord-Ubangi</v>
      </c>
      <c r="B929" t="s">
        <v>264</v>
      </c>
      <c r="C929" s="3">
        <v>45208.279166666667</v>
      </c>
      <c r="D929" s="11">
        <f>Logs_reseau[[#This Row],[Duree_Panne_Min]]/1440</f>
        <v>2.8472222222222222E-2</v>
      </c>
      <c r="E929">
        <v>41</v>
      </c>
      <c r="F929" t="s">
        <v>2</v>
      </c>
      <c r="G929">
        <f>IFERROR(VLOOKUP(Logs_reseau[[#This Row],[Cell_ID]],'[1]Registre_Maintenance_combine '!A:C,3,FALSE),"Non trouvé")</f>
        <v>-9.3066320000000005</v>
      </c>
      <c r="H929">
        <f>IFERROR(VLOOKUP(Logs_reseau[[#This Row],[Cell_ID]],'[1]Registre_Maintenance_combine '!A:D,4,FALSE),"Non trouvé")</f>
        <v>20.470889</v>
      </c>
      <c r="I929" t="str">
        <f>IFERROR(VLOOKUP(Logs_reseau[[#This Row],[Cell_ID]],'[1]Registre_Maintenance_combine '!A:E,5,FALSE),"Non trouvé")</f>
        <v>5G</v>
      </c>
      <c r="J929" t="str">
        <f>IFERROR(VLOOKUP(Logs_reseau[[#This Row],[Cell_ID]],'[1]Registre_Maintenance_combine '!A:F,6,FALSE),"Non trouvé")</f>
        <v>ZTE</v>
      </c>
    </row>
    <row r="930" spans="1:10" x14ac:dyDescent="0.25">
      <c r="A930" t="str">
        <f>IFERROR(VLOOKUP(Logs_reseau[[#This Row],[Cell_ID]],'[1]Registre_Maintenance_combine '!A:B,2,FALSE),"Non trouvé")</f>
        <v>Bas-Uele</v>
      </c>
      <c r="B930" t="s">
        <v>265</v>
      </c>
      <c r="C930" s="3">
        <v>45222.427083333336</v>
      </c>
      <c r="D930" s="11">
        <f>Logs_reseau[[#This Row],[Duree_Panne_Min]]/1440</f>
        <v>5.6944444444444443E-2</v>
      </c>
      <c r="E930">
        <v>82</v>
      </c>
      <c r="F930" t="s">
        <v>1</v>
      </c>
      <c r="G930">
        <f>IFERROR(VLOOKUP(Logs_reseau[[#This Row],[Cell_ID]],'[1]Registre_Maintenance_combine '!A:C,3,FALSE),"Non trouvé")</f>
        <v>-4.4697000000000001E-2</v>
      </c>
      <c r="H930">
        <f>IFERROR(VLOOKUP(Logs_reseau[[#This Row],[Cell_ID]],'[1]Registre_Maintenance_combine '!A:D,4,FALSE),"Non trouvé")</f>
        <v>22.943373000000001</v>
      </c>
      <c r="I930" t="str">
        <f>IFERROR(VLOOKUP(Logs_reseau[[#This Row],[Cell_ID]],'[1]Registre_Maintenance_combine '!A:E,5,FALSE),"Non trouvé")</f>
        <v>3G</v>
      </c>
      <c r="J930" t="str">
        <f>IFERROR(VLOOKUP(Logs_reseau[[#This Row],[Cell_ID]],'[1]Registre_Maintenance_combine '!A:F,6,FALSE),"Non trouvé")</f>
        <v>Huawei</v>
      </c>
    </row>
    <row r="931" spans="1:10" x14ac:dyDescent="0.25">
      <c r="A931" t="str">
        <f>IFERROR(VLOOKUP(Logs_reseau[[#This Row],[Cell_ID]],'[1]Registre_Maintenance_combine '!A:B,2,FALSE),"Non trouvé")</f>
        <v>Non trouvé</v>
      </c>
      <c r="B931" t="s">
        <v>153</v>
      </c>
      <c r="C931" s="3">
        <v>45208.505555555559</v>
      </c>
      <c r="D931" s="11">
        <f>Logs_reseau[[#This Row],[Duree_Panne_Min]]/1440</f>
        <v>2.1527777777777778E-2</v>
      </c>
      <c r="E931">
        <v>31</v>
      </c>
      <c r="F931" t="s">
        <v>4</v>
      </c>
      <c r="G931" t="str">
        <f>IFERROR(VLOOKUP(Logs_reseau[[#This Row],[Cell_ID]],'[1]Registre_Maintenance_combine '!A:C,3,FALSE),"Non trouvé")</f>
        <v>Non trouvé</v>
      </c>
      <c r="H931" t="str">
        <f>IFERROR(VLOOKUP(Logs_reseau[[#This Row],[Cell_ID]],'[1]Registre_Maintenance_combine '!A:D,4,FALSE),"Non trouvé")</f>
        <v>Non trouvé</v>
      </c>
      <c r="I931" t="str">
        <f>IFERROR(VLOOKUP(Logs_reseau[[#This Row],[Cell_ID]],'[1]Registre_Maintenance_combine '!A:E,5,FALSE),"Non trouvé")</f>
        <v>Non trouvé</v>
      </c>
      <c r="J931" t="str">
        <f>IFERROR(VLOOKUP(Logs_reseau[[#This Row],[Cell_ID]],'[1]Registre_Maintenance_combine '!A:F,6,FALSE),"Non trouvé")</f>
        <v>Non trouvé</v>
      </c>
    </row>
    <row r="932" spans="1:10" x14ac:dyDescent="0.25">
      <c r="A932" t="str">
        <f>IFERROR(VLOOKUP(Logs_reseau[[#This Row],[Cell_ID]],'[1]Registre_Maintenance_combine '!A:B,2,FALSE),"Non trouvé")</f>
        <v>Sud-Kivu</v>
      </c>
      <c r="B932" t="s">
        <v>266</v>
      </c>
      <c r="C932" s="3">
        <v>45221.84652777778</v>
      </c>
      <c r="D932" s="11">
        <f>Logs_reseau[[#This Row],[Duree_Panne_Min]]/1440</f>
        <v>6.6666666666666666E-2</v>
      </c>
      <c r="E932">
        <v>96</v>
      </c>
      <c r="F932" t="s">
        <v>4</v>
      </c>
      <c r="G932">
        <f>IFERROR(VLOOKUP(Logs_reseau[[#This Row],[Cell_ID]],'[1]Registre_Maintenance_combine '!A:C,3,FALSE),"Non trouvé")</f>
        <v>-5.2526849999999996</v>
      </c>
      <c r="H932">
        <f>IFERROR(VLOOKUP(Logs_reseau[[#This Row],[Cell_ID]],'[1]Registre_Maintenance_combine '!A:D,4,FALSE),"Non trouvé")</f>
        <v>12.374528</v>
      </c>
      <c r="I932" t="str">
        <f>IFERROR(VLOOKUP(Logs_reseau[[#This Row],[Cell_ID]],'[1]Registre_Maintenance_combine '!A:E,5,FALSE),"Non trouvé")</f>
        <v>3G</v>
      </c>
      <c r="J932" t="str">
        <f>IFERROR(VLOOKUP(Logs_reseau[[#This Row],[Cell_ID]],'[1]Registre_Maintenance_combine '!A:F,6,FALSE),"Non trouvé")</f>
        <v>Nokia</v>
      </c>
    </row>
    <row r="933" spans="1:10" x14ac:dyDescent="0.25">
      <c r="A933" t="str">
        <f>IFERROR(VLOOKUP(Logs_reseau[[#This Row],[Cell_ID]],'[1]Registre_Maintenance_combine '!A:B,2,FALSE),"Non trouvé")</f>
        <v>Sud-Ubangi</v>
      </c>
      <c r="B933" t="s">
        <v>132</v>
      </c>
      <c r="C933" s="3">
        <v>45214.457638888889</v>
      </c>
      <c r="D933" s="11">
        <f>Logs_reseau[[#This Row],[Duree_Panne_Min]]/1440</f>
        <v>3.3333333333333333E-2</v>
      </c>
      <c r="E933">
        <v>48</v>
      </c>
      <c r="F933" t="s">
        <v>4</v>
      </c>
      <c r="G933">
        <f>IFERROR(VLOOKUP(Logs_reseau[[#This Row],[Cell_ID]],'[1]Registre_Maintenance_combine '!A:C,3,FALSE),"Non trouvé")</f>
        <v>-9.3652239999999995</v>
      </c>
      <c r="H933">
        <f>IFERROR(VLOOKUP(Logs_reseau[[#This Row],[Cell_ID]],'[1]Registre_Maintenance_combine '!A:D,4,FALSE),"Non trouvé")</f>
        <v>22.593423999999999</v>
      </c>
      <c r="I933" t="str">
        <f>IFERROR(VLOOKUP(Logs_reseau[[#This Row],[Cell_ID]],'[1]Registre_Maintenance_combine '!A:E,5,FALSE),"Non trouvé")</f>
        <v>5G</v>
      </c>
      <c r="J933" t="str">
        <f>IFERROR(VLOOKUP(Logs_reseau[[#This Row],[Cell_ID]],'[1]Registre_Maintenance_combine '!A:F,6,FALSE),"Non trouvé")</f>
        <v>Nokia</v>
      </c>
    </row>
    <row r="934" spans="1:10" x14ac:dyDescent="0.25">
      <c r="A934" t="str">
        <f>IFERROR(VLOOKUP(Logs_reseau[[#This Row],[Cell_ID]],'[1]Registre_Maintenance_combine '!A:B,2,FALSE),"Non trouvé")</f>
        <v>Non trouvé</v>
      </c>
      <c r="B934" t="s">
        <v>44</v>
      </c>
      <c r="C934" s="3">
        <v>45224.083333333336</v>
      </c>
      <c r="D934" s="11">
        <f>Logs_reseau[[#This Row],[Duree_Panne_Min]]/1440</f>
        <v>2.1527777777777778E-2</v>
      </c>
      <c r="E934">
        <v>31</v>
      </c>
      <c r="F934" t="s">
        <v>1</v>
      </c>
      <c r="G934" t="str">
        <f>IFERROR(VLOOKUP(Logs_reseau[[#This Row],[Cell_ID]],'[1]Registre_Maintenance_combine '!A:C,3,FALSE),"Non trouvé")</f>
        <v>Non trouvé</v>
      </c>
      <c r="H934" t="str">
        <f>IFERROR(VLOOKUP(Logs_reseau[[#This Row],[Cell_ID]],'[1]Registre_Maintenance_combine '!A:D,4,FALSE),"Non trouvé")</f>
        <v>Non trouvé</v>
      </c>
      <c r="I934" t="str">
        <f>IFERROR(VLOOKUP(Logs_reseau[[#This Row],[Cell_ID]],'[1]Registre_Maintenance_combine '!A:E,5,FALSE),"Non trouvé")</f>
        <v>Non trouvé</v>
      </c>
      <c r="J934" t="str">
        <f>IFERROR(VLOOKUP(Logs_reseau[[#This Row],[Cell_ID]],'[1]Registre_Maintenance_combine '!A:F,6,FALSE),"Non trouvé")</f>
        <v>Non trouvé</v>
      </c>
    </row>
    <row r="935" spans="1:10" x14ac:dyDescent="0.25">
      <c r="A935" t="str">
        <f>IFERROR(VLOOKUP(Logs_reseau[[#This Row],[Cell_ID]],'[1]Registre_Maintenance_combine '!A:B,2,FALSE),"Non trouvé")</f>
        <v>Non trouvé</v>
      </c>
      <c r="B935" t="s">
        <v>267</v>
      </c>
      <c r="C935" s="3">
        <v>45214.816666666666</v>
      </c>
      <c r="D935" s="11">
        <f>Logs_reseau[[#This Row],[Duree_Panne_Min]]/1440</f>
        <v>6.3888888888888884E-2</v>
      </c>
      <c r="E935">
        <v>92</v>
      </c>
      <c r="F935" t="s">
        <v>4</v>
      </c>
      <c r="G935" t="str">
        <f>IFERROR(VLOOKUP(Logs_reseau[[#This Row],[Cell_ID]],'[1]Registre_Maintenance_combine '!A:C,3,FALSE),"Non trouvé")</f>
        <v>Non trouvé</v>
      </c>
      <c r="H935" t="str">
        <f>IFERROR(VLOOKUP(Logs_reseau[[#This Row],[Cell_ID]],'[1]Registre_Maintenance_combine '!A:D,4,FALSE),"Non trouvé")</f>
        <v>Non trouvé</v>
      </c>
      <c r="I935" t="str">
        <f>IFERROR(VLOOKUP(Logs_reseau[[#This Row],[Cell_ID]],'[1]Registre_Maintenance_combine '!A:E,5,FALSE),"Non trouvé")</f>
        <v>Non trouvé</v>
      </c>
      <c r="J935" t="str">
        <f>IFERROR(VLOOKUP(Logs_reseau[[#This Row],[Cell_ID]],'[1]Registre_Maintenance_combine '!A:F,6,FALSE),"Non trouvé")</f>
        <v>Non trouvé</v>
      </c>
    </row>
    <row r="936" spans="1:10" x14ac:dyDescent="0.25">
      <c r="A936" t="str">
        <f>IFERROR(VLOOKUP(Logs_reseau[[#This Row],[Cell_ID]],'[1]Registre_Maintenance_combine '!A:B,2,FALSE),"Non trouvé")</f>
        <v>Lualaba</v>
      </c>
      <c r="B936" t="s">
        <v>268</v>
      </c>
      <c r="C936" s="3">
        <v>45230.004861111112</v>
      </c>
      <c r="D936" s="11">
        <f>Logs_reseau[[#This Row],[Duree_Panne_Min]]/1440</f>
        <v>4.027777777777778E-2</v>
      </c>
      <c r="E936">
        <v>58</v>
      </c>
      <c r="F936" t="s">
        <v>1</v>
      </c>
      <c r="G936">
        <f>IFERROR(VLOOKUP(Logs_reseau[[#This Row],[Cell_ID]],'[1]Registre_Maintenance_combine '!A:C,3,FALSE),"Non trouvé")</f>
        <v>-7.4608439999999998</v>
      </c>
      <c r="H936">
        <f>IFERROR(VLOOKUP(Logs_reseau[[#This Row],[Cell_ID]],'[1]Registre_Maintenance_combine '!A:D,4,FALSE),"Non trouvé")</f>
        <v>23.268619999999999</v>
      </c>
      <c r="I936" t="str">
        <f>IFERROR(VLOOKUP(Logs_reseau[[#This Row],[Cell_ID]],'[1]Registre_Maintenance_combine '!A:E,5,FALSE),"Non trouvé")</f>
        <v>4G</v>
      </c>
      <c r="J936" t="str">
        <f>IFERROR(VLOOKUP(Logs_reseau[[#This Row],[Cell_ID]],'[1]Registre_Maintenance_combine '!A:F,6,FALSE),"Non trouvé")</f>
        <v>Huawei</v>
      </c>
    </row>
    <row r="937" spans="1:10" x14ac:dyDescent="0.25">
      <c r="A937" t="str">
        <f>IFERROR(VLOOKUP(Logs_reseau[[#This Row],[Cell_ID]],'[1]Registre_Maintenance_combine '!A:B,2,FALSE),"Non trouvé")</f>
        <v>Non trouvé</v>
      </c>
      <c r="B937" t="s">
        <v>269</v>
      </c>
      <c r="C937" s="3">
        <v>45228.34097222222</v>
      </c>
      <c r="D937" s="11">
        <f>Logs_reseau[[#This Row],[Duree_Panne_Min]]/1440</f>
        <v>8.1944444444444445E-2</v>
      </c>
      <c r="E937">
        <v>118</v>
      </c>
      <c r="F937" t="s">
        <v>4</v>
      </c>
      <c r="G937" t="str">
        <f>IFERROR(VLOOKUP(Logs_reseau[[#This Row],[Cell_ID]],'[1]Registre_Maintenance_combine '!A:C,3,FALSE),"Non trouvé")</f>
        <v>Non trouvé</v>
      </c>
      <c r="H937" t="str">
        <f>IFERROR(VLOOKUP(Logs_reseau[[#This Row],[Cell_ID]],'[1]Registre_Maintenance_combine '!A:D,4,FALSE),"Non trouvé")</f>
        <v>Non trouvé</v>
      </c>
      <c r="I937" t="str">
        <f>IFERROR(VLOOKUP(Logs_reseau[[#This Row],[Cell_ID]],'[1]Registre_Maintenance_combine '!A:E,5,FALSE),"Non trouvé")</f>
        <v>Non trouvé</v>
      </c>
      <c r="J937" t="str">
        <f>IFERROR(VLOOKUP(Logs_reseau[[#This Row],[Cell_ID]],'[1]Registre_Maintenance_combine '!A:F,6,FALSE),"Non trouvé")</f>
        <v>Non trouvé</v>
      </c>
    </row>
    <row r="938" spans="1:10" x14ac:dyDescent="0.25">
      <c r="A938" t="str">
        <f>IFERROR(VLOOKUP(Logs_reseau[[#This Row],[Cell_ID]],'[1]Registre_Maintenance_combine '!A:B,2,FALSE),"Non trouvé")</f>
        <v>Non trouvé</v>
      </c>
      <c r="B938" t="s">
        <v>270</v>
      </c>
      <c r="C938" s="3">
        <v>45218.334722222222</v>
      </c>
      <c r="D938" s="11">
        <f>Logs_reseau[[#This Row],[Duree_Panne_Min]]/1440</f>
        <v>5.9027777777777776E-2</v>
      </c>
      <c r="E938">
        <v>85</v>
      </c>
      <c r="F938" t="s">
        <v>4</v>
      </c>
      <c r="G938" t="str">
        <f>IFERROR(VLOOKUP(Logs_reseau[[#This Row],[Cell_ID]],'[1]Registre_Maintenance_combine '!A:C,3,FALSE),"Non trouvé")</f>
        <v>Non trouvé</v>
      </c>
      <c r="H938" t="str">
        <f>IFERROR(VLOOKUP(Logs_reseau[[#This Row],[Cell_ID]],'[1]Registre_Maintenance_combine '!A:D,4,FALSE),"Non trouvé")</f>
        <v>Non trouvé</v>
      </c>
      <c r="I938" t="str">
        <f>IFERROR(VLOOKUP(Logs_reseau[[#This Row],[Cell_ID]],'[1]Registre_Maintenance_combine '!A:E,5,FALSE),"Non trouvé")</f>
        <v>Non trouvé</v>
      </c>
      <c r="J938" t="str">
        <f>IFERROR(VLOOKUP(Logs_reseau[[#This Row],[Cell_ID]],'[1]Registre_Maintenance_combine '!A:F,6,FALSE),"Non trouvé")</f>
        <v>Non trouvé</v>
      </c>
    </row>
    <row r="939" spans="1:10" x14ac:dyDescent="0.25">
      <c r="A939" t="str">
        <f>IFERROR(VLOOKUP(Logs_reseau[[#This Row],[Cell_ID]],'[1]Registre_Maintenance_combine '!A:B,2,FALSE),"Non trouvé")</f>
        <v>Non trouvé</v>
      </c>
      <c r="B939" t="s">
        <v>271</v>
      </c>
      <c r="C939" s="3">
        <v>45203.810416666667</v>
      </c>
      <c r="D939" s="11">
        <f>Logs_reseau[[#This Row],[Duree_Panne_Min]]/1440</f>
        <v>5.4166666666666669E-2</v>
      </c>
      <c r="E939">
        <v>78</v>
      </c>
      <c r="F939" t="s">
        <v>4</v>
      </c>
      <c r="G939" t="str">
        <f>IFERROR(VLOOKUP(Logs_reseau[[#This Row],[Cell_ID]],'[1]Registre_Maintenance_combine '!A:C,3,FALSE),"Non trouvé")</f>
        <v>Non trouvé</v>
      </c>
      <c r="H939" t="str">
        <f>IFERROR(VLOOKUP(Logs_reseau[[#This Row],[Cell_ID]],'[1]Registre_Maintenance_combine '!A:D,4,FALSE),"Non trouvé")</f>
        <v>Non trouvé</v>
      </c>
      <c r="I939" t="str">
        <f>IFERROR(VLOOKUP(Logs_reseau[[#This Row],[Cell_ID]],'[1]Registre_Maintenance_combine '!A:E,5,FALSE),"Non trouvé")</f>
        <v>Non trouvé</v>
      </c>
      <c r="J939" t="str">
        <f>IFERROR(VLOOKUP(Logs_reseau[[#This Row],[Cell_ID]],'[1]Registre_Maintenance_combine '!A:F,6,FALSE),"Non trouvé")</f>
        <v>Non trouvé</v>
      </c>
    </row>
    <row r="940" spans="1:10" x14ac:dyDescent="0.25">
      <c r="A940" t="str">
        <f>IFERROR(VLOOKUP(Logs_reseau[[#This Row],[Cell_ID]],'[1]Registre_Maintenance_combine '!A:B,2,FALSE),"Non trouvé")</f>
        <v>Non trouvé</v>
      </c>
      <c r="B940" t="s">
        <v>272</v>
      </c>
      <c r="C940" s="3">
        <v>45211.993055555555</v>
      </c>
      <c r="D940" s="11">
        <f>Logs_reseau[[#This Row],[Duree_Panne_Min]]/1440</f>
        <v>2.013888888888889E-2</v>
      </c>
      <c r="E940">
        <v>29</v>
      </c>
      <c r="F940" t="s">
        <v>2</v>
      </c>
      <c r="G940" t="str">
        <f>IFERROR(VLOOKUP(Logs_reseau[[#This Row],[Cell_ID]],'[1]Registre_Maintenance_combine '!A:C,3,FALSE),"Non trouvé")</f>
        <v>Non trouvé</v>
      </c>
      <c r="H940" t="str">
        <f>IFERROR(VLOOKUP(Logs_reseau[[#This Row],[Cell_ID]],'[1]Registre_Maintenance_combine '!A:D,4,FALSE),"Non trouvé")</f>
        <v>Non trouvé</v>
      </c>
      <c r="I940" t="str">
        <f>IFERROR(VLOOKUP(Logs_reseau[[#This Row],[Cell_ID]],'[1]Registre_Maintenance_combine '!A:E,5,FALSE),"Non trouvé")</f>
        <v>Non trouvé</v>
      </c>
      <c r="J940" t="str">
        <f>IFERROR(VLOOKUP(Logs_reseau[[#This Row],[Cell_ID]],'[1]Registre_Maintenance_combine '!A:F,6,FALSE),"Non trouvé")</f>
        <v>Non trouvé</v>
      </c>
    </row>
    <row r="941" spans="1:10" x14ac:dyDescent="0.25">
      <c r="A941" t="str">
        <f>IFERROR(VLOOKUP(Logs_reseau[[#This Row],[Cell_ID]],'[1]Registre_Maintenance_combine '!A:B,2,FALSE),"Non trouvé")</f>
        <v>Kinshasa</v>
      </c>
      <c r="B941" t="s">
        <v>273</v>
      </c>
      <c r="C941" s="3">
        <v>45210.568055555559</v>
      </c>
      <c r="D941" s="11">
        <f>Logs_reseau[[#This Row],[Duree_Panne_Min]]/1440</f>
        <v>6.6666666666666666E-2</v>
      </c>
      <c r="E941">
        <v>96</v>
      </c>
      <c r="F941" t="s">
        <v>1</v>
      </c>
      <c r="G941">
        <f>IFERROR(VLOOKUP(Logs_reseau[[#This Row],[Cell_ID]],'[1]Registre_Maintenance_combine '!A:C,3,FALSE),"Non trouvé")</f>
        <v>-5.4126279999999998</v>
      </c>
      <c r="H941">
        <f>IFERROR(VLOOKUP(Logs_reseau[[#This Row],[Cell_ID]],'[1]Registre_Maintenance_combine '!A:D,4,FALSE),"Non trouvé")</f>
        <v>25.498235999999999</v>
      </c>
      <c r="I941" t="str">
        <f>IFERROR(VLOOKUP(Logs_reseau[[#This Row],[Cell_ID]],'[1]Registre_Maintenance_combine '!A:E,5,FALSE),"Non trouvé")</f>
        <v>5G</v>
      </c>
      <c r="J941" t="str">
        <f>IFERROR(VLOOKUP(Logs_reseau[[#This Row],[Cell_ID]],'[1]Registre_Maintenance_combine '!A:F,6,FALSE),"Non trouvé")</f>
        <v>ZTE</v>
      </c>
    </row>
    <row r="942" spans="1:10" x14ac:dyDescent="0.25">
      <c r="A942" t="str">
        <f>IFERROR(VLOOKUP(Logs_reseau[[#This Row],[Cell_ID]],'[1]Registre_Maintenance_combine '!A:B,2,FALSE),"Non trouvé")</f>
        <v>Nord-Kivu</v>
      </c>
      <c r="B942" t="s">
        <v>274</v>
      </c>
      <c r="C942" s="3">
        <v>45216.14166666667</v>
      </c>
      <c r="D942" s="11">
        <f>Logs_reseau[[#This Row],[Duree_Panne_Min]]/1440</f>
        <v>6.5277777777777782E-2</v>
      </c>
      <c r="E942">
        <v>94</v>
      </c>
      <c r="F942" t="s">
        <v>1</v>
      </c>
      <c r="G942">
        <f>IFERROR(VLOOKUP(Logs_reseau[[#This Row],[Cell_ID]],'[1]Registre_Maintenance_combine '!A:C,3,FALSE),"Non trouvé")</f>
        <v>1.8103860000000001</v>
      </c>
      <c r="H942">
        <f>IFERROR(VLOOKUP(Logs_reseau[[#This Row],[Cell_ID]],'[1]Registre_Maintenance_combine '!A:D,4,FALSE),"Non trouvé")</f>
        <v>15.175582</v>
      </c>
      <c r="I942" t="str">
        <f>IFERROR(VLOOKUP(Logs_reseau[[#This Row],[Cell_ID]],'[1]Registre_Maintenance_combine '!A:E,5,FALSE),"Non trouvé")</f>
        <v>3G</v>
      </c>
      <c r="J942" t="str">
        <f>IFERROR(VLOOKUP(Logs_reseau[[#This Row],[Cell_ID]],'[1]Registre_Maintenance_combine '!A:F,6,FALSE),"Non trouvé")</f>
        <v>Huawei</v>
      </c>
    </row>
    <row r="943" spans="1:10" x14ac:dyDescent="0.25">
      <c r="A943" t="str">
        <f>IFERROR(VLOOKUP(Logs_reseau[[#This Row],[Cell_ID]],'[1]Registre_Maintenance_combine '!A:B,2,FALSE),"Non trouvé")</f>
        <v>Non trouvé</v>
      </c>
      <c r="B943" t="s">
        <v>275</v>
      </c>
      <c r="C943" s="3">
        <v>45228.758333333331</v>
      </c>
      <c r="D943" s="11">
        <f>Logs_reseau[[#This Row],[Duree_Panne_Min]]/1440</f>
        <v>3.7499999999999999E-2</v>
      </c>
      <c r="E943">
        <v>54</v>
      </c>
      <c r="F943" t="s">
        <v>1</v>
      </c>
      <c r="G943" t="str">
        <f>IFERROR(VLOOKUP(Logs_reseau[[#This Row],[Cell_ID]],'[1]Registre_Maintenance_combine '!A:C,3,FALSE),"Non trouvé")</f>
        <v>Non trouvé</v>
      </c>
      <c r="H943" t="str">
        <f>IFERROR(VLOOKUP(Logs_reseau[[#This Row],[Cell_ID]],'[1]Registre_Maintenance_combine '!A:D,4,FALSE),"Non trouvé")</f>
        <v>Non trouvé</v>
      </c>
      <c r="I943" t="str">
        <f>IFERROR(VLOOKUP(Logs_reseau[[#This Row],[Cell_ID]],'[1]Registre_Maintenance_combine '!A:E,5,FALSE),"Non trouvé")</f>
        <v>Non trouvé</v>
      </c>
      <c r="J943" t="str">
        <f>IFERROR(VLOOKUP(Logs_reseau[[#This Row],[Cell_ID]],'[1]Registre_Maintenance_combine '!A:F,6,FALSE),"Non trouvé")</f>
        <v>Non trouvé</v>
      </c>
    </row>
    <row r="944" spans="1:10" x14ac:dyDescent="0.25">
      <c r="A944" t="str">
        <f>IFERROR(VLOOKUP(Logs_reseau[[#This Row],[Cell_ID]],'[1]Registre_Maintenance_combine '!A:B,2,FALSE),"Non trouvé")</f>
        <v>Nord-Kivu</v>
      </c>
      <c r="B944" t="s">
        <v>276</v>
      </c>
      <c r="C944" s="3">
        <v>45208.072916666664</v>
      </c>
      <c r="D944" s="11">
        <f>Logs_reseau[[#This Row],[Duree_Panne_Min]]/1440</f>
        <v>4.7222222222222221E-2</v>
      </c>
      <c r="E944">
        <v>68</v>
      </c>
      <c r="F944" t="s">
        <v>1</v>
      </c>
      <c r="G944">
        <f>IFERROR(VLOOKUP(Logs_reseau[[#This Row],[Cell_ID]],'[1]Registre_Maintenance_combine '!A:C,3,FALSE),"Non trouvé")</f>
        <v>1.017161</v>
      </c>
      <c r="H944">
        <f>IFERROR(VLOOKUP(Logs_reseau[[#This Row],[Cell_ID]],'[1]Registre_Maintenance_combine '!A:D,4,FALSE),"Non trouvé")</f>
        <v>16.519689</v>
      </c>
      <c r="I944" t="str">
        <f>IFERROR(VLOOKUP(Logs_reseau[[#This Row],[Cell_ID]],'[1]Registre_Maintenance_combine '!A:E,5,FALSE),"Non trouvé")</f>
        <v>3G</v>
      </c>
      <c r="J944" t="str">
        <f>IFERROR(VLOOKUP(Logs_reseau[[#This Row],[Cell_ID]],'[1]Registre_Maintenance_combine '!A:F,6,FALSE),"Non trouvé")</f>
        <v>Nokia</v>
      </c>
    </row>
    <row r="945" spans="1:10" x14ac:dyDescent="0.25">
      <c r="A945" t="str">
        <f>IFERROR(VLOOKUP(Logs_reseau[[#This Row],[Cell_ID]],'[1]Registre_Maintenance_combine '!A:B,2,FALSE),"Non trouvé")</f>
        <v>Kongo-Central</v>
      </c>
      <c r="B945" t="s">
        <v>204</v>
      </c>
      <c r="C945" s="3">
        <v>45213.022916666669</v>
      </c>
      <c r="D945" s="11">
        <f>Logs_reseau[[#This Row],[Duree_Panne_Min]]/1440</f>
        <v>3.888888888888889E-2</v>
      </c>
      <c r="E945">
        <v>56</v>
      </c>
      <c r="F945" t="s">
        <v>4</v>
      </c>
      <c r="G945">
        <f>IFERROR(VLOOKUP(Logs_reseau[[#This Row],[Cell_ID]],'[1]Registre_Maintenance_combine '!A:C,3,FALSE),"Non trouvé")</f>
        <v>-2.8211520000000001</v>
      </c>
      <c r="H945">
        <f>IFERROR(VLOOKUP(Logs_reseau[[#This Row],[Cell_ID]],'[1]Registre_Maintenance_combine '!A:D,4,FALSE),"Non trouvé")</f>
        <v>20.651419000000001</v>
      </c>
      <c r="I945" t="str">
        <f>IFERROR(VLOOKUP(Logs_reseau[[#This Row],[Cell_ID]],'[1]Registre_Maintenance_combine '!A:E,5,FALSE),"Non trouvé")</f>
        <v>5G</v>
      </c>
      <c r="J945" t="str">
        <f>IFERROR(VLOOKUP(Logs_reseau[[#This Row],[Cell_ID]],'[1]Registre_Maintenance_combine '!A:F,6,FALSE),"Non trouvé")</f>
        <v>Ericsson</v>
      </c>
    </row>
    <row r="946" spans="1:10" x14ac:dyDescent="0.25">
      <c r="A946" t="str">
        <f>IFERROR(VLOOKUP(Logs_reseau[[#This Row],[Cell_ID]],'[1]Registre_Maintenance_combine '!A:B,2,FALSE),"Non trouvé")</f>
        <v>Lomami</v>
      </c>
      <c r="B946" t="s">
        <v>277</v>
      </c>
      <c r="C946" s="3">
        <v>45229.738194444442</v>
      </c>
      <c r="D946" s="11">
        <f>Logs_reseau[[#This Row],[Duree_Panne_Min]]/1440</f>
        <v>2.5000000000000001E-2</v>
      </c>
      <c r="E946">
        <v>36</v>
      </c>
      <c r="F946" t="s">
        <v>2</v>
      </c>
      <c r="G946">
        <f>IFERROR(VLOOKUP(Logs_reseau[[#This Row],[Cell_ID]],'[1]Registre_Maintenance_combine '!A:C,3,FALSE),"Non trouvé")</f>
        <v>-11.218453999999999</v>
      </c>
      <c r="H946">
        <f>IFERROR(VLOOKUP(Logs_reseau[[#This Row],[Cell_ID]],'[1]Registre_Maintenance_combine '!A:D,4,FALSE),"Non trouvé")</f>
        <v>28.230025000000001</v>
      </c>
      <c r="I946" t="str">
        <f>IFERROR(VLOOKUP(Logs_reseau[[#This Row],[Cell_ID]],'[1]Registre_Maintenance_combine '!A:E,5,FALSE),"Non trouvé")</f>
        <v>5G</v>
      </c>
      <c r="J946" t="str">
        <f>IFERROR(VLOOKUP(Logs_reseau[[#This Row],[Cell_ID]],'[1]Registre_Maintenance_combine '!A:F,6,FALSE),"Non trouvé")</f>
        <v>ZTE</v>
      </c>
    </row>
    <row r="947" spans="1:10" x14ac:dyDescent="0.25">
      <c r="A947" t="str">
        <f>IFERROR(VLOOKUP(Logs_reseau[[#This Row],[Cell_ID]],'[1]Registre_Maintenance_combine '!A:B,2,FALSE),"Non trouvé")</f>
        <v>Sankuru</v>
      </c>
      <c r="B947" t="s">
        <v>278</v>
      </c>
      <c r="C947" s="3">
        <v>45223.990972222222</v>
      </c>
      <c r="D947" s="11">
        <f>Logs_reseau[[#This Row],[Duree_Panne_Min]]/1440</f>
        <v>1.5972222222222221E-2</v>
      </c>
      <c r="E947">
        <v>23</v>
      </c>
      <c r="F947" t="s">
        <v>1</v>
      </c>
      <c r="G947">
        <f>IFERROR(VLOOKUP(Logs_reseau[[#This Row],[Cell_ID]],'[1]Registre_Maintenance_combine '!A:C,3,FALSE),"Non trouvé")</f>
        <v>-8.0922239999999999</v>
      </c>
      <c r="H947">
        <f>IFERROR(VLOOKUP(Logs_reseau[[#This Row],[Cell_ID]],'[1]Registre_Maintenance_combine '!A:D,4,FALSE),"Non trouvé")</f>
        <v>15.483708</v>
      </c>
      <c r="I947" t="str">
        <f>IFERROR(VLOOKUP(Logs_reseau[[#This Row],[Cell_ID]],'[1]Registre_Maintenance_combine '!A:E,5,FALSE),"Non trouvé")</f>
        <v>5G</v>
      </c>
      <c r="J947" t="str">
        <f>IFERROR(VLOOKUP(Logs_reseau[[#This Row],[Cell_ID]],'[1]Registre_Maintenance_combine '!A:F,6,FALSE),"Non trouvé")</f>
        <v>Nokia</v>
      </c>
    </row>
    <row r="948" spans="1:10" x14ac:dyDescent="0.25">
      <c r="A948" t="str">
        <f>IFERROR(VLOOKUP(Logs_reseau[[#This Row],[Cell_ID]],'[1]Registre_Maintenance_combine '!A:B,2,FALSE),"Non trouvé")</f>
        <v>Kinshasa</v>
      </c>
      <c r="B948" t="s">
        <v>279</v>
      </c>
      <c r="C948" s="3">
        <v>45221.265972222223</v>
      </c>
      <c r="D948" s="11">
        <f>Logs_reseau[[#This Row],[Duree_Panne_Min]]/1440</f>
        <v>6.1111111111111109E-2</v>
      </c>
      <c r="E948">
        <v>88</v>
      </c>
      <c r="F948" t="s">
        <v>2</v>
      </c>
      <c r="G948">
        <f>IFERROR(VLOOKUP(Logs_reseau[[#This Row],[Cell_ID]],'[1]Registre_Maintenance_combine '!A:C,3,FALSE),"Non trouvé")</f>
        <v>-1.339734</v>
      </c>
      <c r="H948">
        <f>IFERROR(VLOOKUP(Logs_reseau[[#This Row],[Cell_ID]],'[1]Registre_Maintenance_combine '!A:D,4,FALSE),"Non trouvé")</f>
        <v>15.243098</v>
      </c>
      <c r="I948" t="str">
        <f>IFERROR(VLOOKUP(Logs_reseau[[#This Row],[Cell_ID]],'[1]Registre_Maintenance_combine '!A:E,5,FALSE),"Non trouvé")</f>
        <v>3G</v>
      </c>
      <c r="J948" t="str">
        <f>IFERROR(VLOOKUP(Logs_reseau[[#This Row],[Cell_ID]],'[1]Registre_Maintenance_combine '!A:F,6,FALSE),"Non trouvé")</f>
        <v>Nokia</v>
      </c>
    </row>
    <row r="949" spans="1:10" x14ac:dyDescent="0.25">
      <c r="A949" t="str">
        <f>IFERROR(VLOOKUP(Logs_reseau[[#This Row],[Cell_ID]],'[1]Registre_Maintenance_combine '!A:B,2,FALSE),"Non trouvé")</f>
        <v>Non trouvé</v>
      </c>
      <c r="B949" t="s">
        <v>280</v>
      </c>
      <c r="C949" s="3">
        <v>45213.112500000003</v>
      </c>
      <c r="D949" s="11">
        <f>Logs_reseau[[#This Row],[Duree_Panne_Min]]/1440</f>
        <v>6.458333333333334E-2</v>
      </c>
      <c r="E949">
        <v>93</v>
      </c>
      <c r="F949" t="s">
        <v>1</v>
      </c>
      <c r="G949" t="str">
        <f>IFERROR(VLOOKUP(Logs_reseau[[#This Row],[Cell_ID]],'[1]Registre_Maintenance_combine '!A:C,3,FALSE),"Non trouvé")</f>
        <v>Non trouvé</v>
      </c>
      <c r="H949" t="str">
        <f>IFERROR(VLOOKUP(Logs_reseau[[#This Row],[Cell_ID]],'[1]Registre_Maintenance_combine '!A:D,4,FALSE),"Non trouvé")</f>
        <v>Non trouvé</v>
      </c>
      <c r="I949" t="str">
        <f>IFERROR(VLOOKUP(Logs_reseau[[#This Row],[Cell_ID]],'[1]Registre_Maintenance_combine '!A:E,5,FALSE),"Non trouvé")</f>
        <v>Non trouvé</v>
      </c>
      <c r="J949" t="str">
        <f>IFERROR(VLOOKUP(Logs_reseau[[#This Row],[Cell_ID]],'[1]Registre_Maintenance_combine '!A:F,6,FALSE),"Non trouvé")</f>
        <v>Non trouvé</v>
      </c>
    </row>
    <row r="950" spans="1:10" x14ac:dyDescent="0.25">
      <c r="A950" t="str">
        <f>IFERROR(VLOOKUP(Logs_reseau[[#This Row],[Cell_ID]],'[1]Registre_Maintenance_combine '!A:B,2,FALSE),"Non trouvé")</f>
        <v>Kasai-Central</v>
      </c>
      <c r="B950" t="s">
        <v>281</v>
      </c>
      <c r="C950" s="3">
        <v>45229.443749999999</v>
      </c>
      <c r="D950" s="11">
        <f>Logs_reseau[[#This Row],[Duree_Panne_Min]]/1440</f>
        <v>3.472222222222222E-3</v>
      </c>
      <c r="E950">
        <v>5</v>
      </c>
      <c r="F950" t="s">
        <v>1</v>
      </c>
      <c r="G950">
        <f>IFERROR(VLOOKUP(Logs_reseau[[#This Row],[Cell_ID]],'[1]Registre_Maintenance_combine '!A:C,3,FALSE),"Non trouvé")</f>
        <v>-6.6803710000000001</v>
      </c>
      <c r="H950">
        <f>IFERROR(VLOOKUP(Logs_reseau[[#This Row],[Cell_ID]],'[1]Registre_Maintenance_combine '!A:D,4,FALSE),"Non trouvé")</f>
        <v>21.955673000000001</v>
      </c>
      <c r="I950" t="str">
        <f>IFERROR(VLOOKUP(Logs_reseau[[#This Row],[Cell_ID]],'[1]Registre_Maintenance_combine '!A:E,5,FALSE),"Non trouvé")</f>
        <v>4G</v>
      </c>
      <c r="J950" t="str">
        <f>IFERROR(VLOOKUP(Logs_reseau[[#This Row],[Cell_ID]],'[1]Registre_Maintenance_combine '!A:F,6,FALSE),"Non trouvé")</f>
        <v>Nokia</v>
      </c>
    </row>
    <row r="951" spans="1:10" x14ac:dyDescent="0.25">
      <c r="A951" t="str">
        <f>IFERROR(VLOOKUP(Logs_reseau[[#This Row],[Cell_ID]],'[1]Registre_Maintenance_combine '!A:B,2,FALSE),"Non trouvé")</f>
        <v>Non trouvé</v>
      </c>
      <c r="B951" t="s">
        <v>282</v>
      </c>
      <c r="C951" s="3">
        <v>45210.912499999999</v>
      </c>
      <c r="D951" s="11">
        <f>Logs_reseau[[#This Row],[Duree_Panne_Min]]/1440</f>
        <v>8.2638888888888887E-2</v>
      </c>
      <c r="E951">
        <v>119</v>
      </c>
      <c r="F951" t="s">
        <v>4</v>
      </c>
      <c r="G951" t="str">
        <f>IFERROR(VLOOKUP(Logs_reseau[[#This Row],[Cell_ID]],'[1]Registre_Maintenance_combine '!A:C,3,FALSE),"Non trouvé")</f>
        <v>Non trouvé</v>
      </c>
      <c r="H951" t="str">
        <f>IFERROR(VLOOKUP(Logs_reseau[[#This Row],[Cell_ID]],'[1]Registre_Maintenance_combine '!A:D,4,FALSE),"Non trouvé")</f>
        <v>Non trouvé</v>
      </c>
      <c r="I951" t="str">
        <f>IFERROR(VLOOKUP(Logs_reseau[[#This Row],[Cell_ID]],'[1]Registre_Maintenance_combine '!A:E,5,FALSE),"Non trouvé")</f>
        <v>Non trouvé</v>
      </c>
      <c r="J951" t="str">
        <f>IFERROR(VLOOKUP(Logs_reseau[[#This Row],[Cell_ID]],'[1]Registre_Maintenance_combine '!A:F,6,FALSE),"Non trouvé")</f>
        <v>Non trouvé</v>
      </c>
    </row>
    <row r="952" spans="1:10" x14ac:dyDescent="0.25">
      <c r="A952" t="str">
        <f>IFERROR(VLOOKUP(Logs_reseau[[#This Row],[Cell_ID]],'[1]Registre_Maintenance_combine '!A:B,2,FALSE),"Non trouvé")</f>
        <v>Nord-Kivu</v>
      </c>
      <c r="B952" t="s">
        <v>283</v>
      </c>
      <c r="C952" s="3">
        <v>45203.997916666667</v>
      </c>
      <c r="D952" s="11">
        <f>Logs_reseau[[#This Row],[Duree_Panne_Min]]/1440</f>
        <v>7.013888888888889E-2</v>
      </c>
      <c r="E952">
        <v>101</v>
      </c>
      <c r="F952" t="s">
        <v>4</v>
      </c>
      <c r="G952">
        <f>IFERROR(VLOOKUP(Logs_reseau[[#This Row],[Cell_ID]],'[1]Registre_Maintenance_combine '!A:C,3,FALSE),"Non trouvé")</f>
        <v>-6.3148239999999998</v>
      </c>
      <c r="H952">
        <f>IFERROR(VLOOKUP(Logs_reseau[[#This Row],[Cell_ID]],'[1]Registre_Maintenance_combine '!A:D,4,FALSE),"Non trouvé")</f>
        <v>24.507498999999999</v>
      </c>
      <c r="I952" t="str">
        <f>IFERROR(VLOOKUP(Logs_reseau[[#This Row],[Cell_ID]],'[1]Registre_Maintenance_combine '!A:E,5,FALSE),"Non trouvé")</f>
        <v>3G</v>
      </c>
      <c r="J952" t="str">
        <f>IFERROR(VLOOKUP(Logs_reseau[[#This Row],[Cell_ID]],'[1]Registre_Maintenance_combine '!A:F,6,FALSE),"Non trouvé")</f>
        <v>ZTE</v>
      </c>
    </row>
    <row r="953" spans="1:10" x14ac:dyDescent="0.25">
      <c r="A953" t="str">
        <f>IFERROR(VLOOKUP(Logs_reseau[[#This Row],[Cell_ID]],'[1]Registre_Maintenance_combine '!A:B,2,FALSE),"Non trouvé")</f>
        <v>Non trouvé</v>
      </c>
      <c r="B953" t="s">
        <v>284</v>
      </c>
      <c r="C953" s="3">
        <v>45209.679861111108</v>
      </c>
      <c r="D953" s="11">
        <f>Logs_reseau[[#This Row],[Duree_Panne_Min]]/1440</f>
        <v>7.9861111111111105E-2</v>
      </c>
      <c r="E953">
        <v>115</v>
      </c>
      <c r="F953" t="s">
        <v>4</v>
      </c>
      <c r="G953" t="str">
        <f>IFERROR(VLOOKUP(Logs_reseau[[#This Row],[Cell_ID]],'[1]Registre_Maintenance_combine '!A:C,3,FALSE),"Non trouvé")</f>
        <v>Non trouvé</v>
      </c>
      <c r="H953" t="str">
        <f>IFERROR(VLOOKUP(Logs_reseau[[#This Row],[Cell_ID]],'[1]Registre_Maintenance_combine '!A:D,4,FALSE),"Non trouvé")</f>
        <v>Non trouvé</v>
      </c>
      <c r="I953" t="str">
        <f>IFERROR(VLOOKUP(Logs_reseau[[#This Row],[Cell_ID]],'[1]Registre_Maintenance_combine '!A:E,5,FALSE),"Non trouvé")</f>
        <v>Non trouvé</v>
      </c>
      <c r="J953" t="str">
        <f>IFERROR(VLOOKUP(Logs_reseau[[#This Row],[Cell_ID]],'[1]Registre_Maintenance_combine '!A:F,6,FALSE),"Non trouvé")</f>
        <v>Non trouvé</v>
      </c>
    </row>
    <row r="954" spans="1:10" x14ac:dyDescent="0.25">
      <c r="A954" t="str">
        <f>IFERROR(VLOOKUP(Logs_reseau[[#This Row],[Cell_ID]],'[1]Registre_Maintenance_combine '!A:B,2,FALSE),"Non trouvé")</f>
        <v>Non trouvé</v>
      </c>
      <c r="B954" t="s">
        <v>162</v>
      </c>
      <c r="C954" s="3">
        <v>45221.555555555555</v>
      </c>
      <c r="D954" s="11">
        <f>Logs_reseau[[#This Row],[Duree_Panne_Min]]/1440</f>
        <v>7.1527777777777773E-2</v>
      </c>
      <c r="E954">
        <v>103</v>
      </c>
      <c r="F954" t="s">
        <v>2</v>
      </c>
      <c r="G954" t="str">
        <f>IFERROR(VLOOKUP(Logs_reseau[[#This Row],[Cell_ID]],'[1]Registre_Maintenance_combine '!A:C,3,FALSE),"Non trouvé")</f>
        <v>Non trouvé</v>
      </c>
      <c r="H954" t="str">
        <f>IFERROR(VLOOKUP(Logs_reseau[[#This Row],[Cell_ID]],'[1]Registre_Maintenance_combine '!A:D,4,FALSE),"Non trouvé")</f>
        <v>Non trouvé</v>
      </c>
      <c r="I954" t="str">
        <f>IFERROR(VLOOKUP(Logs_reseau[[#This Row],[Cell_ID]],'[1]Registre_Maintenance_combine '!A:E,5,FALSE),"Non trouvé")</f>
        <v>Non trouvé</v>
      </c>
      <c r="J954" t="str">
        <f>IFERROR(VLOOKUP(Logs_reseau[[#This Row],[Cell_ID]],'[1]Registre_Maintenance_combine '!A:F,6,FALSE),"Non trouvé")</f>
        <v>Non trouvé</v>
      </c>
    </row>
    <row r="955" spans="1:10" x14ac:dyDescent="0.25">
      <c r="A955" t="str">
        <f>IFERROR(VLOOKUP(Logs_reseau[[#This Row],[Cell_ID]],'[1]Registre_Maintenance_combine '!A:B,2,FALSE),"Non trouvé")</f>
        <v>Non trouvé</v>
      </c>
      <c r="B955" t="s">
        <v>285</v>
      </c>
      <c r="C955" s="3">
        <v>45212.929166666669</v>
      </c>
      <c r="D955" s="11">
        <f>Logs_reseau[[#This Row],[Duree_Panne_Min]]/1440</f>
        <v>8.1944444444444445E-2</v>
      </c>
      <c r="E955">
        <v>118</v>
      </c>
      <c r="F955" t="s">
        <v>4</v>
      </c>
      <c r="G955" t="str">
        <f>IFERROR(VLOOKUP(Logs_reseau[[#This Row],[Cell_ID]],'[1]Registre_Maintenance_combine '!A:C,3,FALSE),"Non trouvé")</f>
        <v>Non trouvé</v>
      </c>
      <c r="H955" t="str">
        <f>IFERROR(VLOOKUP(Logs_reseau[[#This Row],[Cell_ID]],'[1]Registre_Maintenance_combine '!A:D,4,FALSE),"Non trouvé")</f>
        <v>Non trouvé</v>
      </c>
      <c r="I955" t="str">
        <f>IFERROR(VLOOKUP(Logs_reseau[[#This Row],[Cell_ID]],'[1]Registre_Maintenance_combine '!A:E,5,FALSE),"Non trouvé")</f>
        <v>Non trouvé</v>
      </c>
      <c r="J955" t="str">
        <f>IFERROR(VLOOKUP(Logs_reseau[[#This Row],[Cell_ID]],'[1]Registre_Maintenance_combine '!A:F,6,FALSE),"Non trouvé")</f>
        <v>Non trouvé</v>
      </c>
    </row>
    <row r="956" spans="1:10" x14ac:dyDescent="0.25">
      <c r="A956" t="str">
        <f>IFERROR(VLOOKUP(Logs_reseau[[#This Row],[Cell_ID]],'[1]Registre_Maintenance_combine '!A:B,2,FALSE),"Non trouvé")</f>
        <v>Sud-Kivu</v>
      </c>
      <c r="B956" t="s">
        <v>286</v>
      </c>
      <c r="C956" s="3">
        <v>45217.175000000003</v>
      </c>
      <c r="D956" s="11">
        <f>Logs_reseau[[#This Row],[Duree_Panne_Min]]/1440</f>
        <v>1.2500000000000001E-2</v>
      </c>
      <c r="E956">
        <v>18</v>
      </c>
      <c r="F956" t="s">
        <v>4</v>
      </c>
      <c r="G956">
        <f>IFERROR(VLOOKUP(Logs_reseau[[#This Row],[Cell_ID]],'[1]Registre_Maintenance_combine '!A:C,3,FALSE),"Non trouvé")</f>
        <v>-9.4702129999999993</v>
      </c>
      <c r="H956">
        <f>IFERROR(VLOOKUP(Logs_reseau[[#This Row],[Cell_ID]],'[1]Registre_Maintenance_combine '!A:D,4,FALSE),"Non trouvé")</f>
        <v>12.826158</v>
      </c>
      <c r="I956" t="str">
        <f>IFERROR(VLOOKUP(Logs_reseau[[#This Row],[Cell_ID]],'[1]Registre_Maintenance_combine '!A:E,5,FALSE),"Non trouvé")</f>
        <v>3G</v>
      </c>
      <c r="J956" t="str">
        <f>IFERROR(VLOOKUP(Logs_reseau[[#This Row],[Cell_ID]],'[1]Registre_Maintenance_combine '!A:F,6,FALSE),"Non trouvé")</f>
        <v>Ericsson</v>
      </c>
    </row>
    <row r="957" spans="1:10" x14ac:dyDescent="0.25">
      <c r="A957" t="str">
        <f>IFERROR(VLOOKUP(Logs_reseau[[#This Row],[Cell_ID]],'[1]Registre_Maintenance_combine '!A:B,2,FALSE),"Non trouvé")</f>
        <v>Non trouvé</v>
      </c>
      <c r="B957" t="s">
        <v>287</v>
      </c>
      <c r="C957" s="3">
        <v>45213.89166666667</v>
      </c>
      <c r="D957" s="11">
        <f>Logs_reseau[[#This Row],[Duree_Panne_Min]]/1440</f>
        <v>7.2222222222222215E-2</v>
      </c>
      <c r="E957">
        <v>104</v>
      </c>
      <c r="F957" t="s">
        <v>1</v>
      </c>
      <c r="G957" t="str">
        <f>IFERROR(VLOOKUP(Logs_reseau[[#This Row],[Cell_ID]],'[1]Registre_Maintenance_combine '!A:C,3,FALSE),"Non trouvé")</f>
        <v>Non trouvé</v>
      </c>
      <c r="H957" t="str">
        <f>IFERROR(VLOOKUP(Logs_reseau[[#This Row],[Cell_ID]],'[1]Registre_Maintenance_combine '!A:D,4,FALSE),"Non trouvé")</f>
        <v>Non trouvé</v>
      </c>
      <c r="I957" t="str">
        <f>IFERROR(VLOOKUP(Logs_reseau[[#This Row],[Cell_ID]],'[1]Registre_Maintenance_combine '!A:E,5,FALSE),"Non trouvé")</f>
        <v>Non trouvé</v>
      </c>
      <c r="J957" t="str">
        <f>IFERROR(VLOOKUP(Logs_reseau[[#This Row],[Cell_ID]],'[1]Registre_Maintenance_combine '!A:F,6,FALSE),"Non trouvé")</f>
        <v>Non trouvé</v>
      </c>
    </row>
    <row r="958" spans="1:10" x14ac:dyDescent="0.25">
      <c r="A958" t="str">
        <f>IFERROR(VLOOKUP(Logs_reseau[[#This Row],[Cell_ID]],'[1]Registre_Maintenance_combine '!A:B,2,FALSE),"Non trouvé")</f>
        <v>Non trouvé</v>
      </c>
      <c r="B958" t="s">
        <v>288</v>
      </c>
      <c r="C958" s="3">
        <v>45221.997916666667</v>
      </c>
      <c r="D958" s="11">
        <f>Logs_reseau[[#This Row],[Duree_Panne_Min]]/1440</f>
        <v>4.0972222222222222E-2</v>
      </c>
      <c r="E958">
        <v>59</v>
      </c>
      <c r="F958" t="s">
        <v>1</v>
      </c>
      <c r="G958" t="str">
        <f>IFERROR(VLOOKUP(Logs_reseau[[#This Row],[Cell_ID]],'[1]Registre_Maintenance_combine '!A:C,3,FALSE),"Non trouvé")</f>
        <v>Non trouvé</v>
      </c>
      <c r="H958" t="str">
        <f>IFERROR(VLOOKUP(Logs_reseau[[#This Row],[Cell_ID]],'[1]Registre_Maintenance_combine '!A:D,4,FALSE),"Non trouvé")</f>
        <v>Non trouvé</v>
      </c>
      <c r="I958" t="str">
        <f>IFERROR(VLOOKUP(Logs_reseau[[#This Row],[Cell_ID]],'[1]Registre_Maintenance_combine '!A:E,5,FALSE),"Non trouvé")</f>
        <v>Non trouvé</v>
      </c>
      <c r="J958" t="str">
        <f>IFERROR(VLOOKUP(Logs_reseau[[#This Row],[Cell_ID]],'[1]Registre_Maintenance_combine '!A:F,6,FALSE),"Non trouvé")</f>
        <v>Non trouvé</v>
      </c>
    </row>
    <row r="959" spans="1:10" x14ac:dyDescent="0.25">
      <c r="A959" t="str">
        <f>IFERROR(VLOOKUP(Logs_reseau[[#This Row],[Cell_ID]],'[1]Registre_Maintenance_combine '!A:B,2,FALSE),"Non trouvé")</f>
        <v>Non trouvé</v>
      </c>
      <c r="B959" t="s">
        <v>289</v>
      </c>
      <c r="C959" s="3">
        <v>45205.816666666666</v>
      </c>
      <c r="D959" s="11">
        <f>Logs_reseau[[#This Row],[Duree_Panne_Min]]/1440</f>
        <v>2.2916666666666665E-2</v>
      </c>
      <c r="E959">
        <v>33</v>
      </c>
      <c r="F959" t="s">
        <v>4</v>
      </c>
      <c r="G959" t="str">
        <f>IFERROR(VLOOKUP(Logs_reseau[[#This Row],[Cell_ID]],'[1]Registre_Maintenance_combine '!A:C,3,FALSE),"Non trouvé")</f>
        <v>Non trouvé</v>
      </c>
      <c r="H959" t="str">
        <f>IFERROR(VLOOKUP(Logs_reseau[[#This Row],[Cell_ID]],'[1]Registre_Maintenance_combine '!A:D,4,FALSE),"Non trouvé")</f>
        <v>Non trouvé</v>
      </c>
      <c r="I959" t="str">
        <f>IFERROR(VLOOKUP(Logs_reseau[[#This Row],[Cell_ID]],'[1]Registre_Maintenance_combine '!A:E,5,FALSE),"Non trouvé")</f>
        <v>Non trouvé</v>
      </c>
      <c r="J959" t="str">
        <f>IFERROR(VLOOKUP(Logs_reseau[[#This Row],[Cell_ID]],'[1]Registre_Maintenance_combine '!A:F,6,FALSE),"Non trouvé")</f>
        <v>Non trouvé</v>
      </c>
    </row>
    <row r="960" spans="1:10" x14ac:dyDescent="0.25">
      <c r="A960" t="str">
        <f>IFERROR(VLOOKUP(Logs_reseau[[#This Row],[Cell_ID]],'[1]Registre_Maintenance_combine '!A:B,2,FALSE),"Non trouvé")</f>
        <v>Kwilu</v>
      </c>
      <c r="B960" t="s">
        <v>290</v>
      </c>
      <c r="C960" s="3">
        <v>45209.524305555555</v>
      </c>
      <c r="D960" s="11">
        <f>Logs_reseau[[#This Row],[Duree_Panne_Min]]/1440</f>
        <v>1.8749999999999999E-2</v>
      </c>
      <c r="E960">
        <v>27</v>
      </c>
      <c r="F960" t="s">
        <v>4</v>
      </c>
      <c r="G960">
        <f>IFERROR(VLOOKUP(Logs_reseau[[#This Row],[Cell_ID]],'[1]Registre_Maintenance_combine '!A:C,3,FALSE),"Non trouvé")</f>
        <v>2.4741019999999998</v>
      </c>
      <c r="H960">
        <f>IFERROR(VLOOKUP(Logs_reseau[[#This Row],[Cell_ID]],'[1]Registre_Maintenance_combine '!A:D,4,FALSE),"Non trouvé")</f>
        <v>29.297391000000001</v>
      </c>
      <c r="I960" t="str">
        <f>IFERROR(VLOOKUP(Logs_reseau[[#This Row],[Cell_ID]],'[1]Registre_Maintenance_combine '!A:E,5,FALSE),"Non trouvé")</f>
        <v>4G</v>
      </c>
      <c r="J960" t="str">
        <f>IFERROR(VLOOKUP(Logs_reseau[[#This Row],[Cell_ID]],'[1]Registre_Maintenance_combine '!A:F,6,FALSE),"Non trouvé")</f>
        <v>Ericsson</v>
      </c>
    </row>
    <row r="961" spans="1:10" x14ac:dyDescent="0.25">
      <c r="A961" t="str">
        <f>IFERROR(VLOOKUP(Logs_reseau[[#This Row],[Cell_ID]],'[1]Registre_Maintenance_combine '!A:B,2,FALSE),"Non trouvé")</f>
        <v>Non trouvé</v>
      </c>
      <c r="B961" t="s">
        <v>291</v>
      </c>
      <c r="C961" s="3">
        <v>45226.013194444444</v>
      </c>
      <c r="D961" s="11">
        <f>Logs_reseau[[#This Row],[Duree_Panne_Min]]/1440</f>
        <v>7.4305555555555555E-2</v>
      </c>
      <c r="E961">
        <v>107</v>
      </c>
      <c r="F961" t="s">
        <v>2</v>
      </c>
      <c r="G961" t="str">
        <f>IFERROR(VLOOKUP(Logs_reseau[[#This Row],[Cell_ID]],'[1]Registre_Maintenance_combine '!A:C,3,FALSE),"Non trouvé")</f>
        <v>Non trouvé</v>
      </c>
      <c r="H961" t="str">
        <f>IFERROR(VLOOKUP(Logs_reseau[[#This Row],[Cell_ID]],'[1]Registre_Maintenance_combine '!A:D,4,FALSE),"Non trouvé")</f>
        <v>Non trouvé</v>
      </c>
      <c r="I961" t="str">
        <f>IFERROR(VLOOKUP(Logs_reseau[[#This Row],[Cell_ID]],'[1]Registre_Maintenance_combine '!A:E,5,FALSE),"Non trouvé")</f>
        <v>Non trouvé</v>
      </c>
      <c r="J961" t="str">
        <f>IFERROR(VLOOKUP(Logs_reseau[[#This Row],[Cell_ID]],'[1]Registre_Maintenance_combine '!A:F,6,FALSE),"Non trouvé")</f>
        <v>Non trouvé</v>
      </c>
    </row>
    <row r="962" spans="1:10" x14ac:dyDescent="0.25">
      <c r="A962" t="str">
        <f>IFERROR(VLOOKUP(Logs_reseau[[#This Row],[Cell_ID]],'[1]Registre_Maintenance_combine '!A:B,2,FALSE),"Non trouvé")</f>
        <v>Non trouvé</v>
      </c>
      <c r="B962" t="s">
        <v>292</v>
      </c>
      <c r="C962" s="3">
        <v>45209.268750000003</v>
      </c>
      <c r="D962" s="11">
        <f>Logs_reseau[[#This Row],[Duree_Panne_Min]]/1440</f>
        <v>6.5277777777777782E-2</v>
      </c>
      <c r="E962">
        <v>94</v>
      </c>
      <c r="F962" t="s">
        <v>2</v>
      </c>
      <c r="G962" t="str">
        <f>IFERROR(VLOOKUP(Logs_reseau[[#This Row],[Cell_ID]],'[1]Registre_Maintenance_combine '!A:C,3,FALSE),"Non trouvé")</f>
        <v>Non trouvé</v>
      </c>
      <c r="H962" t="str">
        <f>IFERROR(VLOOKUP(Logs_reseau[[#This Row],[Cell_ID]],'[1]Registre_Maintenance_combine '!A:D,4,FALSE),"Non trouvé")</f>
        <v>Non trouvé</v>
      </c>
      <c r="I962" t="str">
        <f>IFERROR(VLOOKUP(Logs_reseau[[#This Row],[Cell_ID]],'[1]Registre_Maintenance_combine '!A:E,5,FALSE),"Non trouvé")</f>
        <v>Non trouvé</v>
      </c>
      <c r="J962" t="str">
        <f>IFERROR(VLOOKUP(Logs_reseau[[#This Row],[Cell_ID]],'[1]Registre_Maintenance_combine '!A:F,6,FALSE),"Non trouvé")</f>
        <v>Non trouvé</v>
      </c>
    </row>
    <row r="963" spans="1:10" x14ac:dyDescent="0.25">
      <c r="A963" t="str">
        <f>IFERROR(VLOOKUP(Logs_reseau[[#This Row],[Cell_ID]],'[1]Registre_Maintenance_combine '!A:B,2,FALSE),"Non trouvé")</f>
        <v>Nord-Kivu</v>
      </c>
      <c r="B963" t="s">
        <v>249</v>
      </c>
      <c r="C963" s="3">
        <v>45225.776388888888</v>
      </c>
      <c r="D963" s="11">
        <f>Logs_reseau[[#This Row],[Duree_Panne_Min]]/1440</f>
        <v>4.9305555555555554E-2</v>
      </c>
      <c r="E963">
        <v>71</v>
      </c>
      <c r="F963" t="s">
        <v>1</v>
      </c>
      <c r="G963">
        <f>IFERROR(VLOOKUP(Logs_reseau[[#This Row],[Cell_ID]],'[1]Registre_Maintenance_combine '!A:C,3,FALSE),"Non trouvé")</f>
        <v>0.82868600000000003</v>
      </c>
      <c r="H963">
        <f>IFERROR(VLOOKUP(Logs_reseau[[#This Row],[Cell_ID]],'[1]Registre_Maintenance_combine '!A:D,4,FALSE),"Non trouvé")</f>
        <v>26.958843999999999</v>
      </c>
      <c r="I963" t="str">
        <f>IFERROR(VLOOKUP(Logs_reseau[[#This Row],[Cell_ID]],'[1]Registre_Maintenance_combine '!A:E,5,FALSE),"Non trouvé")</f>
        <v>5G</v>
      </c>
      <c r="J963" t="str">
        <f>IFERROR(VLOOKUP(Logs_reseau[[#This Row],[Cell_ID]],'[1]Registre_Maintenance_combine '!A:F,6,FALSE),"Non trouvé")</f>
        <v>ZTE</v>
      </c>
    </row>
    <row r="964" spans="1:10" x14ac:dyDescent="0.25">
      <c r="A964" t="str">
        <f>IFERROR(VLOOKUP(Logs_reseau[[#This Row],[Cell_ID]],'[1]Registre_Maintenance_combine '!A:B,2,FALSE),"Non trouvé")</f>
        <v>Haut-Katanga</v>
      </c>
      <c r="B964" t="s">
        <v>246</v>
      </c>
      <c r="C964" s="3">
        <v>45220.436805555553</v>
      </c>
      <c r="D964" s="11">
        <f>Logs_reseau[[#This Row],[Duree_Panne_Min]]/1440</f>
        <v>4.4444444444444446E-2</v>
      </c>
      <c r="E964">
        <v>64</v>
      </c>
      <c r="F964" t="s">
        <v>2</v>
      </c>
      <c r="G964">
        <f>IFERROR(VLOOKUP(Logs_reseau[[#This Row],[Cell_ID]],'[1]Registre_Maintenance_combine '!A:C,3,FALSE),"Non trouvé")</f>
        <v>-5.5445120000000001</v>
      </c>
      <c r="H964">
        <f>IFERROR(VLOOKUP(Logs_reseau[[#This Row],[Cell_ID]],'[1]Registre_Maintenance_combine '!A:D,4,FALSE),"Non trouvé")</f>
        <v>27.547335</v>
      </c>
      <c r="I964" t="str">
        <f>IFERROR(VLOOKUP(Logs_reseau[[#This Row],[Cell_ID]],'[1]Registre_Maintenance_combine '!A:E,5,FALSE),"Non trouvé")</f>
        <v>4G</v>
      </c>
      <c r="J964" t="str">
        <f>IFERROR(VLOOKUP(Logs_reseau[[#This Row],[Cell_ID]],'[1]Registre_Maintenance_combine '!A:F,6,FALSE),"Non trouvé")</f>
        <v>Ericsson</v>
      </c>
    </row>
    <row r="965" spans="1:10" x14ac:dyDescent="0.25">
      <c r="A965" t="str">
        <f>IFERROR(VLOOKUP(Logs_reseau[[#This Row],[Cell_ID]],'[1]Registre_Maintenance_combine '!A:B,2,FALSE),"Non trouvé")</f>
        <v>Non trouvé</v>
      </c>
      <c r="B965" t="s">
        <v>293</v>
      </c>
      <c r="C965" s="3">
        <v>45214.613194444442</v>
      </c>
      <c r="D965" s="11">
        <f>Logs_reseau[[#This Row],[Duree_Panne_Min]]/1440</f>
        <v>7.6388888888888886E-3</v>
      </c>
      <c r="E965">
        <v>11</v>
      </c>
      <c r="F965" t="s">
        <v>4</v>
      </c>
      <c r="G965" t="str">
        <f>IFERROR(VLOOKUP(Logs_reseau[[#This Row],[Cell_ID]],'[1]Registre_Maintenance_combine '!A:C,3,FALSE),"Non trouvé")</f>
        <v>Non trouvé</v>
      </c>
      <c r="H965" t="str">
        <f>IFERROR(VLOOKUP(Logs_reseau[[#This Row],[Cell_ID]],'[1]Registre_Maintenance_combine '!A:D,4,FALSE),"Non trouvé")</f>
        <v>Non trouvé</v>
      </c>
      <c r="I965" t="str">
        <f>IFERROR(VLOOKUP(Logs_reseau[[#This Row],[Cell_ID]],'[1]Registre_Maintenance_combine '!A:E,5,FALSE),"Non trouvé")</f>
        <v>Non trouvé</v>
      </c>
      <c r="J965" t="str">
        <f>IFERROR(VLOOKUP(Logs_reseau[[#This Row],[Cell_ID]],'[1]Registre_Maintenance_combine '!A:F,6,FALSE),"Non trouvé")</f>
        <v>Non trouvé</v>
      </c>
    </row>
    <row r="966" spans="1:10" x14ac:dyDescent="0.25">
      <c r="A966" t="str">
        <f>IFERROR(VLOOKUP(Logs_reseau[[#This Row],[Cell_ID]],'[1]Registre_Maintenance_combine '!A:B,2,FALSE),"Non trouvé")</f>
        <v>Haut-Uele</v>
      </c>
      <c r="B966" t="s">
        <v>294</v>
      </c>
      <c r="C966" s="3">
        <v>45206.6875</v>
      </c>
      <c r="D966" s="11">
        <f>Logs_reseau[[#This Row],[Duree_Panne_Min]]/1440</f>
        <v>5.2777777777777778E-2</v>
      </c>
      <c r="E966">
        <v>76</v>
      </c>
      <c r="F966" t="s">
        <v>4</v>
      </c>
      <c r="G966">
        <f>IFERROR(VLOOKUP(Logs_reseau[[#This Row],[Cell_ID]],'[1]Registre_Maintenance_combine '!A:C,3,FALSE),"Non trouvé")</f>
        <v>-12.100756000000001</v>
      </c>
      <c r="H966">
        <f>IFERROR(VLOOKUP(Logs_reseau[[#This Row],[Cell_ID]],'[1]Registre_Maintenance_combine '!A:D,4,FALSE),"Non trouvé")</f>
        <v>21.938649999999999</v>
      </c>
      <c r="I966" t="str">
        <f>IFERROR(VLOOKUP(Logs_reseau[[#This Row],[Cell_ID]],'[1]Registre_Maintenance_combine '!A:E,5,FALSE),"Non trouvé")</f>
        <v>4G</v>
      </c>
      <c r="J966" t="str">
        <f>IFERROR(VLOOKUP(Logs_reseau[[#This Row],[Cell_ID]],'[1]Registre_Maintenance_combine '!A:F,6,FALSE),"Non trouvé")</f>
        <v>Huawei</v>
      </c>
    </row>
    <row r="967" spans="1:10" x14ac:dyDescent="0.25">
      <c r="A967" t="str">
        <f>IFERROR(VLOOKUP(Logs_reseau[[#This Row],[Cell_ID]],'[1]Registre_Maintenance_combine '!A:B,2,FALSE),"Non trouvé")</f>
        <v>Tanganyika</v>
      </c>
      <c r="B967" t="s">
        <v>295</v>
      </c>
      <c r="C967" s="3">
        <v>45225.965277777781</v>
      </c>
      <c r="D967" s="11">
        <f>Logs_reseau[[#This Row],[Duree_Panne_Min]]/1440</f>
        <v>2.5000000000000001E-2</v>
      </c>
      <c r="E967">
        <v>36</v>
      </c>
      <c r="F967" t="s">
        <v>1</v>
      </c>
      <c r="G967">
        <f>IFERROR(VLOOKUP(Logs_reseau[[#This Row],[Cell_ID]],'[1]Registre_Maintenance_combine '!A:C,3,FALSE),"Non trouvé")</f>
        <v>-9.002459</v>
      </c>
      <c r="H967">
        <f>IFERROR(VLOOKUP(Logs_reseau[[#This Row],[Cell_ID]],'[1]Registre_Maintenance_combine '!A:D,4,FALSE),"Non trouvé")</f>
        <v>25.182109000000001</v>
      </c>
      <c r="I967" t="str">
        <f>IFERROR(VLOOKUP(Logs_reseau[[#This Row],[Cell_ID]],'[1]Registre_Maintenance_combine '!A:E,5,FALSE),"Non trouvé")</f>
        <v>5G</v>
      </c>
      <c r="J967" t="str">
        <f>IFERROR(VLOOKUP(Logs_reseau[[#This Row],[Cell_ID]],'[1]Registre_Maintenance_combine '!A:F,6,FALSE),"Non trouvé")</f>
        <v>Huawei</v>
      </c>
    </row>
    <row r="968" spans="1:10" x14ac:dyDescent="0.25">
      <c r="A968" t="str">
        <f>IFERROR(VLOOKUP(Logs_reseau[[#This Row],[Cell_ID]],'[1]Registre_Maintenance_combine '!A:B,2,FALSE),"Non trouvé")</f>
        <v>Non trouvé</v>
      </c>
      <c r="B968" t="s">
        <v>296</v>
      </c>
      <c r="C968" s="3">
        <v>45221.095833333333</v>
      </c>
      <c r="D968" s="11">
        <f>Logs_reseau[[#This Row],[Duree_Panne_Min]]/1440</f>
        <v>7.8472222222222221E-2</v>
      </c>
      <c r="E968">
        <v>113</v>
      </c>
      <c r="F968" t="s">
        <v>4</v>
      </c>
      <c r="G968" t="str">
        <f>IFERROR(VLOOKUP(Logs_reseau[[#This Row],[Cell_ID]],'[1]Registre_Maintenance_combine '!A:C,3,FALSE),"Non trouvé")</f>
        <v>Non trouvé</v>
      </c>
      <c r="H968" t="str">
        <f>IFERROR(VLOOKUP(Logs_reseau[[#This Row],[Cell_ID]],'[1]Registre_Maintenance_combine '!A:D,4,FALSE),"Non trouvé")</f>
        <v>Non trouvé</v>
      </c>
      <c r="I968" t="str">
        <f>IFERROR(VLOOKUP(Logs_reseau[[#This Row],[Cell_ID]],'[1]Registre_Maintenance_combine '!A:E,5,FALSE),"Non trouvé")</f>
        <v>Non trouvé</v>
      </c>
      <c r="J968" t="str">
        <f>IFERROR(VLOOKUP(Logs_reseau[[#This Row],[Cell_ID]],'[1]Registre_Maintenance_combine '!A:F,6,FALSE),"Non trouvé")</f>
        <v>Non trouvé</v>
      </c>
    </row>
    <row r="969" spans="1:10" x14ac:dyDescent="0.25">
      <c r="A969" t="str">
        <f>IFERROR(VLOOKUP(Logs_reseau[[#This Row],[Cell_ID]],'[1]Registre_Maintenance_combine '!A:B,2,FALSE),"Non trouvé")</f>
        <v>Kwilu</v>
      </c>
      <c r="B969" t="s">
        <v>297</v>
      </c>
      <c r="C969" s="3">
        <v>45216.902777777781</v>
      </c>
      <c r="D969" s="11">
        <f>Logs_reseau[[#This Row],[Duree_Panne_Min]]/1440</f>
        <v>1.3888888888888888E-2</v>
      </c>
      <c r="E969">
        <v>20</v>
      </c>
      <c r="F969" t="s">
        <v>4</v>
      </c>
      <c r="G969">
        <f>IFERROR(VLOOKUP(Logs_reseau[[#This Row],[Cell_ID]],'[1]Registre_Maintenance_combine '!A:C,3,FALSE),"Non trouvé")</f>
        <v>-4.2408359999999998</v>
      </c>
      <c r="H969">
        <f>IFERROR(VLOOKUP(Logs_reseau[[#This Row],[Cell_ID]],'[1]Registre_Maintenance_combine '!A:D,4,FALSE),"Non trouvé")</f>
        <v>26.210014000000001</v>
      </c>
      <c r="I969" t="str">
        <f>IFERROR(VLOOKUP(Logs_reseau[[#This Row],[Cell_ID]],'[1]Registre_Maintenance_combine '!A:E,5,FALSE),"Non trouvé")</f>
        <v>4G</v>
      </c>
      <c r="J969" t="str">
        <f>IFERROR(VLOOKUP(Logs_reseau[[#This Row],[Cell_ID]],'[1]Registre_Maintenance_combine '!A:F,6,FALSE),"Non trouvé")</f>
        <v>Huawei</v>
      </c>
    </row>
    <row r="970" spans="1:10" x14ac:dyDescent="0.25">
      <c r="A970" t="str">
        <f>IFERROR(VLOOKUP(Logs_reseau[[#This Row],[Cell_ID]],'[1]Registre_Maintenance_combine '!A:B,2,FALSE),"Non trouvé")</f>
        <v>Lomami</v>
      </c>
      <c r="B970" t="s">
        <v>298</v>
      </c>
      <c r="C970" s="3">
        <v>45219.420138888891</v>
      </c>
      <c r="D970" s="11">
        <f>Logs_reseau[[#This Row],[Duree_Panne_Min]]/1440</f>
        <v>4.3749999999999997E-2</v>
      </c>
      <c r="E970">
        <v>63</v>
      </c>
      <c r="F970" t="s">
        <v>4</v>
      </c>
      <c r="G970">
        <f>IFERROR(VLOOKUP(Logs_reseau[[#This Row],[Cell_ID]],'[1]Registre_Maintenance_combine '!A:C,3,FALSE),"Non trouvé")</f>
        <v>-9.9875139999999991</v>
      </c>
      <c r="H970">
        <f>IFERROR(VLOOKUP(Logs_reseau[[#This Row],[Cell_ID]],'[1]Registre_Maintenance_combine '!A:D,4,FALSE),"Non trouvé")</f>
        <v>12.013676999999999</v>
      </c>
      <c r="I970" t="str">
        <f>IFERROR(VLOOKUP(Logs_reseau[[#This Row],[Cell_ID]],'[1]Registre_Maintenance_combine '!A:E,5,FALSE),"Non trouvé")</f>
        <v>3G</v>
      </c>
      <c r="J970" t="str">
        <f>IFERROR(VLOOKUP(Logs_reseau[[#This Row],[Cell_ID]],'[1]Registre_Maintenance_combine '!A:F,6,FALSE),"Non trouvé")</f>
        <v>ZTE</v>
      </c>
    </row>
    <row r="971" spans="1:10" x14ac:dyDescent="0.25">
      <c r="A971" t="str">
        <f>IFERROR(VLOOKUP(Logs_reseau[[#This Row],[Cell_ID]],'[1]Registre_Maintenance_combine '!A:B,2,FALSE),"Non trouvé")</f>
        <v>Nord-Kivu</v>
      </c>
      <c r="B971" t="s">
        <v>299</v>
      </c>
      <c r="C971" s="3">
        <v>45226.321527777778</v>
      </c>
      <c r="D971" s="11">
        <f>Logs_reseau[[#This Row],[Duree_Panne_Min]]/1440</f>
        <v>1.5277777777777777E-2</v>
      </c>
      <c r="E971">
        <v>22</v>
      </c>
      <c r="F971" t="s">
        <v>4</v>
      </c>
      <c r="G971">
        <f>IFERROR(VLOOKUP(Logs_reseau[[#This Row],[Cell_ID]],'[1]Registre_Maintenance_combine '!A:C,3,FALSE),"Non trouvé")</f>
        <v>-10.25074</v>
      </c>
      <c r="H971">
        <f>IFERROR(VLOOKUP(Logs_reseau[[#This Row],[Cell_ID]],'[1]Registre_Maintenance_combine '!A:D,4,FALSE),"Non trouvé")</f>
        <v>26.099086</v>
      </c>
      <c r="I971" t="str">
        <f>IFERROR(VLOOKUP(Logs_reseau[[#This Row],[Cell_ID]],'[1]Registre_Maintenance_combine '!A:E,5,FALSE),"Non trouvé")</f>
        <v>4G</v>
      </c>
      <c r="J971" t="str">
        <f>IFERROR(VLOOKUP(Logs_reseau[[#This Row],[Cell_ID]],'[1]Registre_Maintenance_combine '!A:F,6,FALSE),"Non trouvé")</f>
        <v>Huawei</v>
      </c>
    </row>
    <row r="972" spans="1:10" x14ac:dyDescent="0.25">
      <c r="A972" t="str">
        <f>IFERROR(VLOOKUP(Logs_reseau[[#This Row],[Cell_ID]],'[1]Registre_Maintenance_combine '!A:B,2,FALSE),"Non trouvé")</f>
        <v>Equateur</v>
      </c>
      <c r="B972" t="s">
        <v>300</v>
      </c>
      <c r="C972" s="3">
        <v>45209.32708333333</v>
      </c>
      <c r="D972" s="11">
        <f>Logs_reseau[[#This Row],[Duree_Panne_Min]]/1440</f>
        <v>7.4305555555555555E-2</v>
      </c>
      <c r="E972">
        <v>107</v>
      </c>
      <c r="F972" t="s">
        <v>2</v>
      </c>
      <c r="G972">
        <f>IFERROR(VLOOKUP(Logs_reseau[[#This Row],[Cell_ID]],'[1]Registre_Maintenance_combine '!A:C,3,FALSE),"Non trouvé")</f>
        <v>-5.0402180000000003</v>
      </c>
      <c r="H972">
        <f>IFERROR(VLOOKUP(Logs_reseau[[#This Row],[Cell_ID]],'[1]Registre_Maintenance_combine '!A:D,4,FALSE),"Non trouvé")</f>
        <v>13.892471</v>
      </c>
      <c r="I972" t="str">
        <f>IFERROR(VLOOKUP(Logs_reseau[[#This Row],[Cell_ID]],'[1]Registre_Maintenance_combine '!A:E,5,FALSE),"Non trouvé")</f>
        <v>3G</v>
      </c>
      <c r="J972" t="str">
        <f>IFERROR(VLOOKUP(Logs_reseau[[#This Row],[Cell_ID]],'[1]Registre_Maintenance_combine '!A:F,6,FALSE),"Non trouvé")</f>
        <v>ZTE</v>
      </c>
    </row>
    <row r="973" spans="1:10" x14ac:dyDescent="0.25">
      <c r="A973" t="str">
        <f>IFERROR(VLOOKUP(Logs_reseau[[#This Row],[Cell_ID]],'[1]Registre_Maintenance_combine '!A:B,2,FALSE),"Non trouvé")</f>
        <v>Ituri</v>
      </c>
      <c r="B973" t="s">
        <v>81</v>
      </c>
      <c r="C973" s="3">
        <v>45206.167361111111</v>
      </c>
      <c r="D973" s="11">
        <f>Logs_reseau[[#This Row],[Duree_Panne_Min]]/1440</f>
        <v>4.4444444444444446E-2</v>
      </c>
      <c r="E973">
        <v>64</v>
      </c>
      <c r="F973" t="s">
        <v>2</v>
      </c>
      <c r="G973">
        <f>IFERROR(VLOOKUP(Logs_reseau[[#This Row],[Cell_ID]],'[1]Registre_Maintenance_combine '!A:C,3,FALSE),"Non trouvé")</f>
        <v>0.24202000000000001</v>
      </c>
      <c r="H973">
        <f>IFERROR(VLOOKUP(Logs_reseau[[#This Row],[Cell_ID]],'[1]Registre_Maintenance_combine '!A:D,4,FALSE),"Non trouvé")</f>
        <v>17.396256999999999</v>
      </c>
      <c r="I973" t="str">
        <f>IFERROR(VLOOKUP(Logs_reseau[[#This Row],[Cell_ID]],'[1]Registre_Maintenance_combine '!A:E,5,FALSE),"Non trouvé")</f>
        <v>4G</v>
      </c>
      <c r="J973" t="str">
        <f>IFERROR(VLOOKUP(Logs_reseau[[#This Row],[Cell_ID]],'[1]Registre_Maintenance_combine '!A:F,6,FALSE),"Non trouvé")</f>
        <v>Huawei</v>
      </c>
    </row>
    <row r="974" spans="1:10" x14ac:dyDescent="0.25">
      <c r="A974" t="str">
        <f>IFERROR(VLOOKUP(Logs_reseau[[#This Row],[Cell_ID]],'[1]Registre_Maintenance_combine '!A:B,2,FALSE),"Non trouvé")</f>
        <v>Kasai-Oriental</v>
      </c>
      <c r="B974" t="s">
        <v>301</v>
      </c>
      <c r="C974" s="3">
        <v>45201.3125</v>
      </c>
      <c r="D974" s="11">
        <f>Logs_reseau[[#This Row],[Duree_Panne_Min]]/1440</f>
        <v>6.25E-2</v>
      </c>
      <c r="E974">
        <v>90</v>
      </c>
      <c r="F974" t="s">
        <v>2</v>
      </c>
      <c r="G974">
        <f>IFERROR(VLOOKUP(Logs_reseau[[#This Row],[Cell_ID]],'[1]Registre_Maintenance_combine '!A:C,3,FALSE),"Non trouvé")</f>
        <v>-12.333232000000001</v>
      </c>
      <c r="H974">
        <f>IFERROR(VLOOKUP(Logs_reseau[[#This Row],[Cell_ID]],'[1]Registre_Maintenance_combine '!A:D,4,FALSE),"Non trouvé")</f>
        <v>25.229620000000001</v>
      </c>
      <c r="I974" t="str">
        <f>IFERROR(VLOOKUP(Logs_reseau[[#This Row],[Cell_ID]],'[1]Registre_Maintenance_combine '!A:E,5,FALSE),"Non trouvé")</f>
        <v>5G</v>
      </c>
      <c r="J974" t="str">
        <f>IFERROR(VLOOKUP(Logs_reseau[[#This Row],[Cell_ID]],'[1]Registre_Maintenance_combine '!A:F,6,FALSE),"Non trouvé")</f>
        <v>Nokia</v>
      </c>
    </row>
    <row r="975" spans="1:10" x14ac:dyDescent="0.25">
      <c r="A975" t="str">
        <f>IFERROR(VLOOKUP(Logs_reseau[[#This Row],[Cell_ID]],'[1]Registre_Maintenance_combine '!A:B,2,FALSE),"Non trouvé")</f>
        <v>Lomami</v>
      </c>
      <c r="B975" t="s">
        <v>302</v>
      </c>
      <c r="C975" s="3">
        <v>45219.103472222225</v>
      </c>
      <c r="D975" s="11">
        <f>Logs_reseau[[#This Row],[Duree_Panne_Min]]/1440</f>
        <v>0.05</v>
      </c>
      <c r="E975">
        <v>72</v>
      </c>
      <c r="F975" t="s">
        <v>2</v>
      </c>
      <c r="G975">
        <f>IFERROR(VLOOKUP(Logs_reseau[[#This Row],[Cell_ID]],'[1]Registre_Maintenance_combine '!A:C,3,FALSE),"Non trouvé")</f>
        <v>-5.7035130000000001</v>
      </c>
      <c r="H975">
        <f>IFERROR(VLOOKUP(Logs_reseau[[#This Row],[Cell_ID]],'[1]Registre_Maintenance_combine '!A:D,4,FALSE),"Non trouvé")</f>
        <v>14.331479</v>
      </c>
      <c r="I975" t="str">
        <f>IFERROR(VLOOKUP(Logs_reseau[[#This Row],[Cell_ID]],'[1]Registre_Maintenance_combine '!A:E,5,FALSE),"Non trouvé")</f>
        <v>5G</v>
      </c>
      <c r="J975" t="str">
        <f>IFERROR(VLOOKUP(Logs_reseau[[#This Row],[Cell_ID]],'[1]Registre_Maintenance_combine '!A:F,6,FALSE),"Non trouvé")</f>
        <v>Nokia</v>
      </c>
    </row>
    <row r="976" spans="1:10" x14ac:dyDescent="0.25">
      <c r="A976" t="str">
        <f>IFERROR(VLOOKUP(Logs_reseau[[#This Row],[Cell_ID]],'[1]Registre_Maintenance_combine '!A:B,2,FALSE),"Non trouvé")</f>
        <v>Tshuapa</v>
      </c>
      <c r="B976" t="s">
        <v>303</v>
      </c>
      <c r="C976" s="3">
        <v>45200.51458333333</v>
      </c>
      <c r="D976" s="11">
        <f>Logs_reseau[[#This Row],[Duree_Panne_Min]]/1440</f>
        <v>1.6666666666666666E-2</v>
      </c>
      <c r="E976">
        <v>24</v>
      </c>
      <c r="F976" t="s">
        <v>4</v>
      </c>
      <c r="G976">
        <f>IFERROR(VLOOKUP(Logs_reseau[[#This Row],[Cell_ID]],'[1]Registre_Maintenance_combine '!A:C,3,FALSE),"Non trouvé")</f>
        <v>-11.622688999999999</v>
      </c>
      <c r="H976">
        <f>IFERROR(VLOOKUP(Logs_reseau[[#This Row],[Cell_ID]],'[1]Registre_Maintenance_combine '!A:D,4,FALSE),"Non trouvé")</f>
        <v>18.483874</v>
      </c>
      <c r="I976" t="str">
        <f>IFERROR(VLOOKUP(Logs_reseau[[#This Row],[Cell_ID]],'[1]Registre_Maintenance_combine '!A:E,5,FALSE),"Non trouvé")</f>
        <v>5G</v>
      </c>
      <c r="J976" t="str">
        <f>IFERROR(VLOOKUP(Logs_reseau[[#This Row],[Cell_ID]],'[1]Registre_Maintenance_combine '!A:F,6,FALSE),"Non trouvé")</f>
        <v>ZTE</v>
      </c>
    </row>
    <row r="977" spans="1:10" x14ac:dyDescent="0.25">
      <c r="A977" t="str">
        <f>IFERROR(VLOOKUP(Logs_reseau[[#This Row],[Cell_ID]],'[1]Registre_Maintenance_combine '!A:B,2,FALSE),"Non trouvé")</f>
        <v>Kasai-Central</v>
      </c>
      <c r="B977" t="s">
        <v>304</v>
      </c>
      <c r="C977" s="3">
        <v>45221.910416666666</v>
      </c>
      <c r="D977" s="11">
        <f>Logs_reseau[[#This Row],[Duree_Panne_Min]]/1440</f>
        <v>4.1666666666666664E-2</v>
      </c>
      <c r="E977">
        <v>60</v>
      </c>
      <c r="F977" t="s">
        <v>2</v>
      </c>
      <c r="G977">
        <f>IFERROR(VLOOKUP(Logs_reseau[[#This Row],[Cell_ID]],'[1]Registre_Maintenance_combine '!A:C,3,FALSE),"Non trouvé")</f>
        <v>-10.414493</v>
      </c>
      <c r="H977">
        <f>IFERROR(VLOOKUP(Logs_reseau[[#This Row],[Cell_ID]],'[1]Registre_Maintenance_combine '!A:D,4,FALSE),"Non trouvé")</f>
        <v>12.333356999999999</v>
      </c>
      <c r="I977" t="str">
        <f>IFERROR(VLOOKUP(Logs_reseau[[#This Row],[Cell_ID]],'[1]Registre_Maintenance_combine '!A:E,5,FALSE),"Non trouvé")</f>
        <v>3G</v>
      </c>
      <c r="J977" t="str">
        <f>IFERROR(VLOOKUP(Logs_reseau[[#This Row],[Cell_ID]],'[1]Registre_Maintenance_combine '!A:F,6,FALSE),"Non trouvé")</f>
        <v>Ericsson</v>
      </c>
    </row>
    <row r="978" spans="1:10" x14ac:dyDescent="0.25">
      <c r="A978" t="str">
        <f>IFERROR(VLOOKUP(Logs_reseau[[#This Row],[Cell_ID]],'[1]Registre_Maintenance_combine '!A:B,2,FALSE),"Non trouvé")</f>
        <v>Kongo-Central</v>
      </c>
      <c r="B978" t="s">
        <v>305</v>
      </c>
      <c r="C978" s="3">
        <v>45212.965277777781</v>
      </c>
      <c r="D978" s="11">
        <f>Logs_reseau[[#This Row],[Duree_Panne_Min]]/1440</f>
        <v>1.8749999999999999E-2</v>
      </c>
      <c r="E978">
        <v>27</v>
      </c>
      <c r="F978" t="s">
        <v>4</v>
      </c>
      <c r="G978">
        <f>IFERROR(VLOOKUP(Logs_reseau[[#This Row],[Cell_ID]],'[1]Registre_Maintenance_combine '!A:C,3,FALSE),"Non trouvé")</f>
        <v>0.79124300000000003</v>
      </c>
      <c r="H978">
        <f>IFERROR(VLOOKUP(Logs_reseau[[#This Row],[Cell_ID]],'[1]Registre_Maintenance_combine '!A:D,4,FALSE),"Non trouvé")</f>
        <v>25.273389000000002</v>
      </c>
      <c r="I978" t="str">
        <f>IFERROR(VLOOKUP(Logs_reseau[[#This Row],[Cell_ID]],'[1]Registre_Maintenance_combine '!A:E,5,FALSE),"Non trouvé")</f>
        <v>4G</v>
      </c>
      <c r="J978" t="str">
        <f>IFERROR(VLOOKUP(Logs_reseau[[#This Row],[Cell_ID]],'[1]Registre_Maintenance_combine '!A:F,6,FALSE),"Non trouvé")</f>
        <v>Nokia</v>
      </c>
    </row>
    <row r="979" spans="1:10" x14ac:dyDescent="0.25">
      <c r="A979" t="str">
        <f>IFERROR(VLOOKUP(Logs_reseau[[#This Row],[Cell_ID]],'[1]Registre_Maintenance_combine '!A:B,2,FALSE),"Non trouvé")</f>
        <v>Nord-Ubangi</v>
      </c>
      <c r="B979" t="s">
        <v>306</v>
      </c>
      <c r="C979" s="3">
        <v>45226.623611111114</v>
      </c>
      <c r="D979" s="11">
        <f>Logs_reseau[[#This Row],[Duree_Panne_Min]]/1440</f>
        <v>6.805555555555555E-2</v>
      </c>
      <c r="E979">
        <v>98</v>
      </c>
      <c r="F979" t="s">
        <v>4</v>
      </c>
      <c r="G979">
        <f>IFERROR(VLOOKUP(Logs_reseau[[#This Row],[Cell_ID]],'[1]Registre_Maintenance_combine '!A:C,3,FALSE),"Non trouvé")</f>
        <v>-7.9987219999999999</v>
      </c>
      <c r="H979">
        <f>IFERROR(VLOOKUP(Logs_reseau[[#This Row],[Cell_ID]],'[1]Registre_Maintenance_combine '!A:D,4,FALSE),"Non trouvé")</f>
        <v>12.779335</v>
      </c>
      <c r="I979" t="str">
        <f>IFERROR(VLOOKUP(Logs_reseau[[#This Row],[Cell_ID]],'[1]Registre_Maintenance_combine '!A:E,5,FALSE),"Non trouvé")</f>
        <v>5G</v>
      </c>
      <c r="J979" t="str">
        <f>IFERROR(VLOOKUP(Logs_reseau[[#This Row],[Cell_ID]],'[1]Registre_Maintenance_combine '!A:F,6,FALSE),"Non trouvé")</f>
        <v>Nokia</v>
      </c>
    </row>
    <row r="980" spans="1:10" x14ac:dyDescent="0.25">
      <c r="A980" t="str">
        <f>IFERROR(VLOOKUP(Logs_reseau[[#This Row],[Cell_ID]],'[1]Registre_Maintenance_combine '!A:B,2,FALSE),"Non trouvé")</f>
        <v>Kasai-Central</v>
      </c>
      <c r="B980" t="s">
        <v>304</v>
      </c>
      <c r="C980" s="3">
        <v>45204.81527777778</v>
      </c>
      <c r="D980" s="11">
        <f>Logs_reseau[[#This Row],[Duree_Panne_Min]]/1440</f>
        <v>4.9305555555555554E-2</v>
      </c>
      <c r="E980">
        <v>71</v>
      </c>
      <c r="F980" t="s">
        <v>4</v>
      </c>
      <c r="G980">
        <f>IFERROR(VLOOKUP(Logs_reseau[[#This Row],[Cell_ID]],'[1]Registre_Maintenance_combine '!A:C,3,FALSE),"Non trouvé")</f>
        <v>-10.414493</v>
      </c>
      <c r="H980">
        <f>IFERROR(VLOOKUP(Logs_reseau[[#This Row],[Cell_ID]],'[1]Registre_Maintenance_combine '!A:D,4,FALSE),"Non trouvé")</f>
        <v>12.333356999999999</v>
      </c>
      <c r="I980" t="str">
        <f>IFERROR(VLOOKUP(Logs_reseau[[#This Row],[Cell_ID]],'[1]Registre_Maintenance_combine '!A:E,5,FALSE),"Non trouvé")</f>
        <v>3G</v>
      </c>
      <c r="J980" t="str">
        <f>IFERROR(VLOOKUP(Logs_reseau[[#This Row],[Cell_ID]],'[1]Registre_Maintenance_combine '!A:F,6,FALSE),"Non trouvé")</f>
        <v>Ericsson</v>
      </c>
    </row>
    <row r="981" spans="1:10" x14ac:dyDescent="0.25">
      <c r="A981" t="str">
        <f>IFERROR(VLOOKUP(Logs_reseau[[#This Row],[Cell_ID]],'[1]Registre_Maintenance_combine '!A:B,2,FALSE),"Non trouvé")</f>
        <v>Kinshasa</v>
      </c>
      <c r="B981" t="s">
        <v>307</v>
      </c>
      <c r="C981" s="3">
        <v>45200.525694444441</v>
      </c>
      <c r="D981" s="11">
        <f>Logs_reseau[[#This Row],[Duree_Panne_Min]]/1440</f>
        <v>6.1111111111111109E-2</v>
      </c>
      <c r="E981">
        <v>88</v>
      </c>
      <c r="F981" t="s">
        <v>4</v>
      </c>
      <c r="G981">
        <f>IFERROR(VLOOKUP(Logs_reseau[[#This Row],[Cell_ID]],'[1]Registre_Maintenance_combine '!A:C,3,FALSE),"Non trouvé")</f>
        <v>-1.6097570000000001</v>
      </c>
      <c r="H981">
        <f>IFERROR(VLOOKUP(Logs_reseau[[#This Row],[Cell_ID]],'[1]Registre_Maintenance_combine '!A:D,4,FALSE),"Non trouvé")</f>
        <v>30.661662</v>
      </c>
      <c r="I981" t="str">
        <f>IFERROR(VLOOKUP(Logs_reseau[[#This Row],[Cell_ID]],'[1]Registre_Maintenance_combine '!A:E,5,FALSE),"Non trouvé")</f>
        <v>4G</v>
      </c>
      <c r="J981" t="str">
        <f>IFERROR(VLOOKUP(Logs_reseau[[#This Row],[Cell_ID]],'[1]Registre_Maintenance_combine '!A:F,6,FALSE),"Non trouvé")</f>
        <v>Ericsson</v>
      </c>
    </row>
    <row r="982" spans="1:10" x14ac:dyDescent="0.25">
      <c r="A982" t="str">
        <f>IFERROR(VLOOKUP(Logs_reseau[[#This Row],[Cell_ID]],'[1]Registre_Maintenance_combine '!A:B,2,FALSE),"Non trouvé")</f>
        <v>Non trouvé</v>
      </c>
      <c r="B982" t="s">
        <v>308</v>
      </c>
      <c r="C982" s="3">
        <v>45218.875694444447</v>
      </c>
      <c r="D982" s="11">
        <f>Logs_reseau[[#This Row],[Duree_Panne_Min]]/1440</f>
        <v>2.7083333333333334E-2</v>
      </c>
      <c r="E982">
        <v>39</v>
      </c>
      <c r="F982" t="s">
        <v>1</v>
      </c>
      <c r="G982" t="str">
        <f>IFERROR(VLOOKUP(Logs_reseau[[#This Row],[Cell_ID]],'[1]Registre_Maintenance_combine '!A:C,3,FALSE),"Non trouvé")</f>
        <v>Non trouvé</v>
      </c>
      <c r="H982" t="str">
        <f>IFERROR(VLOOKUP(Logs_reseau[[#This Row],[Cell_ID]],'[1]Registre_Maintenance_combine '!A:D,4,FALSE),"Non trouvé")</f>
        <v>Non trouvé</v>
      </c>
      <c r="I982" t="str">
        <f>IFERROR(VLOOKUP(Logs_reseau[[#This Row],[Cell_ID]],'[1]Registre_Maintenance_combine '!A:E,5,FALSE),"Non trouvé")</f>
        <v>Non trouvé</v>
      </c>
      <c r="J982" t="str">
        <f>IFERROR(VLOOKUP(Logs_reseau[[#This Row],[Cell_ID]],'[1]Registre_Maintenance_combine '!A:F,6,FALSE),"Non trouvé")</f>
        <v>Non trouvé</v>
      </c>
    </row>
    <row r="983" spans="1:10" x14ac:dyDescent="0.25">
      <c r="A983" t="str">
        <f>IFERROR(VLOOKUP(Logs_reseau[[#This Row],[Cell_ID]],'[1]Registre_Maintenance_combine '!A:B,2,FALSE),"Non trouvé")</f>
        <v>Mai-Ndombe</v>
      </c>
      <c r="B983" t="s">
        <v>13</v>
      </c>
      <c r="C983" s="3">
        <v>45202.852083333331</v>
      </c>
      <c r="D983" s="11">
        <f>Logs_reseau[[#This Row],[Duree_Panne_Min]]/1440</f>
        <v>5.7638888888888892E-2</v>
      </c>
      <c r="E983">
        <v>83</v>
      </c>
      <c r="F983" t="s">
        <v>1</v>
      </c>
      <c r="G983">
        <f>IFERROR(VLOOKUP(Logs_reseau[[#This Row],[Cell_ID]],'[1]Registre_Maintenance_combine '!A:C,3,FALSE),"Non trouvé")</f>
        <v>-1.607639</v>
      </c>
      <c r="H983">
        <f>IFERROR(VLOOKUP(Logs_reseau[[#This Row],[Cell_ID]],'[1]Registre_Maintenance_combine '!A:D,4,FALSE),"Non trouvé")</f>
        <v>17.003636</v>
      </c>
      <c r="I983" t="str">
        <f>IFERROR(VLOOKUP(Logs_reseau[[#This Row],[Cell_ID]],'[1]Registre_Maintenance_combine '!A:E,5,FALSE),"Non trouvé")</f>
        <v>4G</v>
      </c>
      <c r="J983" t="str">
        <f>IFERROR(VLOOKUP(Logs_reseau[[#This Row],[Cell_ID]],'[1]Registre_Maintenance_combine '!A:F,6,FALSE),"Non trouvé")</f>
        <v>Ericsson</v>
      </c>
    </row>
    <row r="984" spans="1:10" x14ac:dyDescent="0.25">
      <c r="A984" t="str">
        <f>IFERROR(VLOOKUP(Logs_reseau[[#This Row],[Cell_ID]],'[1]Registre_Maintenance_combine '!A:B,2,FALSE),"Non trouvé")</f>
        <v>Kwilu</v>
      </c>
      <c r="B984" t="s">
        <v>309</v>
      </c>
      <c r="C984" s="3">
        <v>45204.59097222222</v>
      </c>
      <c r="D984" s="11">
        <f>Logs_reseau[[#This Row],[Duree_Panne_Min]]/1440</f>
        <v>7.4999999999999997E-2</v>
      </c>
      <c r="E984">
        <v>108</v>
      </c>
      <c r="F984" t="s">
        <v>2</v>
      </c>
      <c r="G984">
        <f>IFERROR(VLOOKUP(Logs_reseau[[#This Row],[Cell_ID]],'[1]Registre_Maintenance_combine '!A:C,3,FALSE),"Non trouvé")</f>
        <v>-8.5675749999999997</v>
      </c>
      <c r="H984">
        <f>IFERROR(VLOOKUP(Logs_reseau[[#This Row],[Cell_ID]],'[1]Registre_Maintenance_combine '!A:D,4,FALSE),"Non trouvé")</f>
        <v>26.994581</v>
      </c>
      <c r="I984" t="str">
        <f>IFERROR(VLOOKUP(Logs_reseau[[#This Row],[Cell_ID]],'[1]Registre_Maintenance_combine '!A:E,5,FALSE),"Non trouvé")</f>
        <v>3G</v>
      </c>
      <c r="J984" t="str">
        <f>IFERROR(VLOOKUP(Logs_reseau[[#This Row],[Cell_ID]],'[1]Registre_Maintenance_combine '!A:F,6,FALSE),"Non trouvé")</f>
        <v>Nokia</v>
      </c>
    </row>
    <row r="985" spans="1:10" x14ac:dyDescent="0.25">
      <c r="A985" t="str">
        <f>IFERROR(VLOOKUP(Logs_reseau[[#This Row],[Cell_ID]],'[1]Registre_Maintenance_combine '!A:B,2,FALSE),"Non trouvé")</f>
        <v>Non trouvé</v>
      </c>
      <c r="B985" t="s">
        <v>310</v>
      </c>
      <c r="C985" s="3">
        <v>45201.35</v>
      </c>
      <c r="D985" s="11">
        <f>Logs_reseau[[#This Row],[Duree_Panne_Min]]/1440</f>
        <v>5.0694444444444445E-2</v>
      </c>
      <c r="E985">
        <v>73</v>
      </c>
      <c r="F985" t="s">
        <v>1</v>
      </c>
      <c r="G985" t="str">
        <f>IFERROR(VLOOKUP(Logs_reseau[[#This Row],[Cell_ID]],'[1]Registre_Maintenance_combine '!A:C,3,FALSE),"Non trouvé")</f>
        <v>Non trouvé</v>
      </c>
      <c r="H985" t="str">
        <f>IFERROR(VLOOKUP(Logs_reseau[[#This Row],[Cell_ID]],'[1]Registre_Maintenance_combine '!A:D,4,FALSE),"Non trouvé")</f>
        <v>Non trouvé</v>
      </c>
      <c r="I985" t="str">
        <f>IFERROR(VLOOKUP(Logs_reseau[[#This Row],[Cell_ID]],'[1]Registre_Maintenance_combine '!A:E,5,FALSE),"Non trouvé")</f>
        <v>Non trouvé</v>
      </c>
      <c r="J985" t="str">
        <f>IFERROR(VLOOKUP(Logs_reseau[[#This Row],[Cell_ID]],'[1]Registre_Maintenance_combine '!A:F,6,FALSE),"Non trouvé")</f>
        <v>Non trouvé</v>
      </c>
    </row>
    <row r="986" spans="1:10" x14ac:dyDescent="0.25">
      <c r="A986" t="str">
        <f>IFERROR(VLOOKUP(Logs_reseau[[#This Row],[Cell_ID]],'[1]Registre_Maintenance_combine '!A:B,2,FALSE),"Non trouvé")</f>
        <v>Non trouvé</v>
      </c>
      <c r="B986" t="s">
        <v>195</v>
      </c>
      <c r="C986" s="3">
        <v>45210.270138888889</v>
      </c>
      <c r="D986" s="11">
        <f>Logs_reseau[[#This Row],[Duree_Panne_Min]]/1440</f>
        <v>7.2222222222222215E-2</v>
      </c>
      <c r="E986">
        <v>104</v>
      </c>
      <c r="F986" t="s">
        <v>4</v>
      </c>
      <c r="G986" t="str">
        <f>IFERROR(VLOOKUP(Logs_reseau[[#This Row],[Cell_ID]],'[1]Registre_Maintenance_combine '!A:C,3,FALSE),"Non trouvé")</f>
        <v>Non trouvé</v>
      </c>
      <c r="H986" t="str">
        <f>IFERROR(VLOOKUP(Logs_reseau[[#This Row],[Cell_ID]],'[1]Registre_Maintenance_combine '!A:D,4,FALSE),"Non trouvé")</f>
        <v>Non trouvé</v>
      </c>
      <c r="I986" t="str">
        <f>IFERROR(VLOOKUP(Logs_reseau[[#This Row],[Cell_ID]],'[1]Registre_Maintenance_combine '!A:E,5,FALSE),"Non trouvé")</f>
        <v>Non trouvé</v>
      </c>
      <c r="J986" t="str">
        <f>IFERROR(VLOOKUP(Logs_reseau[[#This Row],[Cell_ID]],'[1]Registre_Maintenance_combine '!A:F,6,FALSE),"Non trouvé")</f>
        <v>Non trouvé</v>
      </c>
    </row>
    <row r="987" spans="1:10" x14ac:dyDescent="0.25">
      <c r="A987" t="str">
        <f>IFERROR(VLOOKUP(Logs_reseau[[#This Row],[Cell_ID]],'[1]Registre_Maintenance_combine '!A:B,2,FALSE),"Non trouvé")</f>
        <v>Lualaba</v>
      </c>
      <c r="B987" t="s">
        <v>89</v>
      </c>
      <c r="C987" s="3">
        <v>45210.45</v>
      </c>
      <c r="D987" s="11">
        <f>Logs_reseau[[#This Row],[Duree_Panne_Min]]/1440</f>
        <v>4.583333333333333E-2</v>
      </c>
      <c r="E987">
        <v>66</v>
      </c>
      <c r="F987" t="s">
        <v>1</v>
      </c>
      <c r="G987">
        <f>IFERROR(VLOOKUP(Logs_reseau[[#This Row],[Cell_ID]],'[1]Registre_Maintenance_combine '!A:C,3,FALSE),"Non trouvé")</f>
        <v>-9.7803979999999999</v>
      </c>
      <c r="H987">
        <f>IFERROR(VLOOKUP(Logs_reseau[[#This Row],[Cell_ID]],'[1]Registre_Maintenance_combine '!A:D,4,FALSE),"Non trouvé")</f>
        <v>17.686595000000001</v>
      </c>
      <c r="I987" t="str">
        <f>IFERROR(VLOOKUP(Logs_reseau[[#This Row],[Cell_ID]],'[1]Registre_Maintenance_combine '!A:E,5,FALSE),"Non trouvé")</f>
        <v>4G</v>
      </c>
      <c r="J987" t="str">
        <f>IFERROR(VLOOKUP(Logs_reseau[[#This Row],[Cell_ID]],'[1]Registre_Maintenance_combine '!A:F,6,FALSE),"Non trouvé")</f>
        <v>Ericsson</v>
      </c>
    </row>
    <row r="988" spans="1:10" x14ac:dyDescent="0.25">
      <c r="A988" t="str">
        <f>IFERROR(VLOOKUP(Logs_reseau[[#This Row],[Cell_ID]],'[1]Registre_Maintenance_combine '!A:B,2,FALSE),"Non trouvé")</f>
        <v>Haut-Uele</v>
      </c>
      <c r="B988" t="s">
        <v>311</v>
      </c>
      <c r="C988" s="3">
        <v>45228.511805555558</v>
      </c>
      <c r="D988" s="11">
        <f>Logs_reseau[[#This Row],[Duree_Panne_Min]]/1440</f>
        <v>4.4444444444444446E-2</v>
      </c>
      <c r="E988">
        <v>64</v>
      </c>
      <c r="F988" t="s">
        <v>2</v>
      </c>
      <c r="G988">
        <f>IFERROR(VLOOKUP(Logs_reseau[[#This Row],[Cell_ID]],'[1]Registre_Maintenance_combine '!A:C,3,FALSE),"Non trouvé")</f>
        <v>-4.4351269999999996</v>
      </c>
      <c r="H988">
        <f>IFERROR(VLOOKUP(Logs_reseau[[#This Row],[Cell_ID]],'[1]Registre_Maintenance_combine '!A:D,4,FALSE),"Non trouvé")</f>
        <v>24.825467</v>
      </c>
      <c r="I988" t="str">
        <f>IFERROR(VLOOKUP(Logs_reseau[[#This Row],[Cell_ID]],'[1]Registre_Maintenance_combine '!A:E,5,FALSE),"Non trouvé")</f>
        <v>4G</v>
      </c>
      <c r="J988" t="str">
        <f>IFERROR(VLOOKUP(Logs_reseau[[#This Row],[Cell_ID]],'[1]Registre_Maintenance_combine '!A:F,6,FALSE),"Non trouvé")</f>
        <v>Huawei</v>
      </c>
    </row>
    <row r="989" spans="1:10" x14ac:dyDescent="0.25">
      <c r="A989" t="str">
        <f>IFERROR(VLOOKUP(Logs_reseau[[#This Row],[Cell_ID]],'[1]Registre_Maintenance_combine '!A:B,2,FALSE),"Non trouvé")</f>
        <v>Tanganyika</v>
      </c>
      <c r="B989" t="s">
        <v>312</v>
      </c>
      <c r="C989" s="3">
        <v>45224.552777777775</v>
      </c>
      <c r="D989" s="11">
        <f>Logs_reseau[[#This Row],[Duree_Panne_Min]]/1440</f>
        <v>4.1666666666666664E-2</v>
      </c>
      <c r="E989">
        <v>60</v>
      </c>
      <c r="F989" t="s">
        <v>2</v>
      </c>
      <c r="G989">
        <f>IFERROR(VLOOKUP(Logs_reseau[[#This Row],[Cell_ID]],'[1]Registre_Maintenance_combine '!A:C,3,FALSE),"Non trouvé")</f>
        <v>-10.439686999999999</v>
      </c>
      <c r="H989">
        <f>IFERROR(VLOOKUP(Logs_reseau[[#This Row],[Cell_ID]],'[1]Registre_Maintenance_combine '!A:D,4,FALSE),"Non trouvé")</f>
        <v>20.714210000000001</v>
      </c>
      <c r="I989" t="str">
        <f>IFERROR(VLOOKUP(Logs_reseau[[#This Row],[Cell_ID]],'[1]Registre_Maintenance_combine '!A:E,5,FALSE),"Non trouvé")</f>
        <v>4G</v>
      </c>
      <c r="J989" t="str">
        <f>IFERROR(VLOOKUP(Logs_reseau[[#This Row],[Cell_ID]],'[1]Registre_Maintenance_combine '!A:F,6,FALSE),"Non trouvé")</f>
        <v>ZTE</v>
      </c>
    </row>
    <row r="990" spans="1:10" x14ac:dyDescent="0.25">
      <c r="A990" t="str">
        <f>IFERROR(VLOOKUP(Logs_reseau[[#This Row],[Cell_ID]],'[1]Registre_Maintenance_combine '!A:B,2,FALSE),"Non trouvé")</f>
        <v>Tshuapa</v>
      </c>
      <c r="B990" t="s">
        <v>313</v>
      </c>
      <c r="C990" s="3">
        <v>45226.104166666664</v>
      </c>
      <c r="D990" s="11">
        <f>Logs_reseau[[#This Row],[Duree_Panne_Min]]/1440</f>
        <v>7.6388888888888895E-2</v>
      </c>
      <c r="E990">
        <v>110</v>
      </c>
      <c r="F990" t="s">
        <v>2</v>
      </c>
      <c r="G990">
        <f>IFERROR(VLOOKUP(Logs_reseau[[#This Row],[Cell_ID]],'[1]Registre_Maintenance_combine '!A:C,3,FALSE),"Non trouvé")</f>
        <v>-2.3677800000000002</v>
      </c>
      <c r="H990">
        <f>IFERROR(VLOOKUP(Logs_reseau[[#This Row],[Cell_ID]],'[1]Registre_Maintenance_combine '!A:D,4,FALSE),"Non trouvé")</f>
        <v>18.790323999999998</v>
      </c>
      <c r="I990" t="str">
        <f>IFERROR(VLOOKUP(Logs_reseau[[#This Row],[Cell_ID]],'[1]Registre_Maintenance_combine '!A:E,5,FALSE),"Non trouvé")</f>
        <v>5G</v>
      </c>
      <c r="J990" t="str">
        <f>IFERROR(VLOOKUP(Logs_reseau[[#This Row],[Cell_ID]],'[1]Registre_Maintenance_combine '!A:F,6,FALSE),"Non trouvé")</f>
        <v>Huawei</v>
      </c>
    </row>
    <row r="991" spans="1:10" x14ac:dyDescent="0.25">
      <c r="A991" t="str">
        <f>IFERROR(VLOOKUP(Logs_reseau[[#This Row],[Cell_ID]],'[1]Registre_Maintenance_combine '!A:B,2,FALSE),"Non trouvé")</f>
        <v>Non trouvé</v>
      </c>
      <c r="B991" t="s">
        <v>226</v>
      </c>
      <c r="C991" s="3">
        <v>45200.981944444444</v>
      </c>
      <c r="D991" s="11">
        <f>Logs_reseau[[#This Row],[Duree_Panne_Min]]/1440</f>
        <v>6.805555555555555E-2</v>
      </c>
      <c r="E991">
        <v>98</v>
      </c>
      <c r="F991" t="s">
        <v>1</v>
      </c>
      <c r="G991" t="str">
        <f>IFERROR(VLOOKUP(Logs_reseau[[#This Row],[Cell_ID]],'[1]Registre_Maintenance_combine '!A:C,3,FALSE),"Non trouvé")</f>
        <v>Non trouvé</v>
      </c>
      <c r="H991" t="str">
        <f>IFERROR(VLOOKUP(Logs_reseau[[#This Row],[Cell_ID]],'[1]Registre_Maintenance_combine '!A:D,4,FALSE),"Non trouvé")</f>
        <v>Non trouvé</v>
      </c>
      <c r="I991" t="str">
        <f>IFERROR(VLOOKUP(Logs_reseau[[#This Row],[Cell_ID]],'[1]Registre_Maintenance_combine '!A:E,5,FALSE),"Non trouvé")</f>
        <v>Non trouvé</v>
      </c>
      <c r="J991" t="str">
        <f>IFERROR(VLOOKUP(Logs_reseau[[#This Row],[Cell_ID]],'[1]Registre_Maintenance_combine '!A:F,6,FALSE),"Non trouvé")</f>
        <v>Non trouvé</v>
      </c>
    </row>
    <row r="992" spans="1:10" x14ac:dyDescent="0.25">
      <c r="A992" t="str">
        <f>IFERROR(VLOOKUP(Logs_reseau[[#This Row],[Cell_ID]],'[1]Registre_Maintenance_combine '!A:B,2,FALSE),"Non trouvé")</f>
        <v>Haut-Katanga</v>
      </c>
      <c r="B992" t="s">
        <v>314</v>
      </c>
      <c r="C992" s="3">
        <v>45201.468055555553</v>
      </c>
      <c r="D992" s="11">
        <f>Logs_reseau[[#This Row],[Duree_Panne_Min]]/1440</f>
        <v>5.5555555555555552E-2</v>
      </c>
      <c r="E992">
        <v>80</v>
      </c>
      <c r="F992" t="s">
        <v>1</v>
      </c>
      <c r="G992">
        <f>IFERROR(VLOOKUP(Logs_reseau[[#This Row],[Cell_ID]],'[1]Registre_Maintenance_combine '!A:C,3,FALSE),"Non trouvé")</f>
        <v>-3.3890790000000002</v>
      </c>
      <c r="H992">
        <f>IFERROR(VLOOKUP(Logs_reseau[[#This Row],[Cell_ID]],'[1]Registre_Maintenance_combine '!A:D,4,FALSE),"Non trouvé")</f>
        <v>18.374571</v>
      </c>
      <c r="I992" t="str">
        <f>IFERROR(VLOOKUP(Logs_reseau[[#This Row],[Cell_ID]],'[1]Registre_Maintenance_combine '!A:E,5,FALSE),"Non trouvé")</f>
        <v>5G</v>
      </c>
      <c r="J992" t="str">
        <f>IFERROR(VLOOKUP(Logs_reseau[[#This Row],[Cell_ID]],'[1]Registre_Maintenance_combine '!A:F,6,FALSE),"Non trouvé")</f>
        <v>ZTE</v>
      </c>
    </row>
    <row r="993" spans="1:10" x14ac:dyDescent="0.25">
      <c r="A993" t="str">
        <f>IFERROR(VLOOKUP(Logs_reseau[[#This Row],[Cell_ID]],'[1]Registre_Maintenance_combine '!A:B,2,FALSE),"Non trouvé")</f>
        <v>Non trouvé</v>
      </c>
      <c r="B993" t="s">
        <v>315</v>
      </c>
      <c r="C993" s="3">
        <v>45220.117361111108</v>
      </c>
      <c r="D993" s="11">
        <f>Logs_reseau[[#This Row],[Duree_Panne_Min]]/1440</f>
        <v>2.7083333333333334E-2</v>
      </c>
      <c r="E993">
        <v>39</v>
      </c>
      <c r="F993" t="s">
        <v>1</v>
      </c>
      <c r="G993" t="str">
        <f>IFERROR(VLOOKUP(Logs_reseau[[#This Row],[Cell_ID]],'[1]Registre_Maintenance_combine '!A:C,3,FALSE),"Non trouvé")</f>
        <v>Non trouvé</v>
      </c>
      <c r="H993" t="str">
        <f>IFERROR(VLOOKUP(Logs_reseau[[#This Row],[Cell_ID]],'[1]Registre_Maintenance_combine '!A:D,4,FALSE),"Non trouvé")</f>
        <v>Non trouvé</v>
      </c>
      <c r="I993" t="str">
        <f>IFERROR(VLOOKUP(Logs_reseau[[#This Row],[Cell_ID]],'[1]Registre_Maintenance_combine '!A:E,5,FALSE),"Non trouvé")</f>
        <v>Non trouvé</v>
      </c>
      <c r="J993" t="str">
        <f>IFERROR(VLOOKUP(Logs_reseau[[#This Row],[Cell_ID]],'[1]Registre_Maintenance_combine '!A:F,6,FALSE),"Non trouvé")</f>
        <v>Non trouvé</v>
      </c>
    </row>
    <row r="994" spans="1:10" x14ac:dyDescent="0.25">
      <c r="A994" t="str">
        <f>IFERROR(VLOOKUP(Logs_reseau[[#This Row],[Cell_ID]],'[1]Registre_Maintenance_combine '!A:B,2,FALSE),"Non trouvé")</f>
        <v>Non trouvé</v>
      </c>
      <c r="B994" t="s">
        <v>233</v>
      </c>
      <c r="C994" s="3">
        <v>45230.834722222222</v>
      </c>
      <c r="D994" s="11">
        <f>Logs_reseau[[#This Row],[Duree_Panne_Min]]/1440</f>
        <v>3.1944444444444442E-2</v>
      </c>
      <c r="E994">
        <v>46</v>
      </c>
      <c r="F994" t="s">
        <v>2</v>
      </c>
      <c r="G994" t="str">
        <f>IFERROR(VLOOKUP(Logs_reseau[[#This Row],[Cell_ID]],'[1]Registre_Maintenance_combine '!A:C,3,FALSE),"Non trouvé")</f>
        <v>Non trouvé</v>
      </c>
      <c r="H994" t="str">
        <f>IFERROR(VLOOKUP(Logs_reseau[[#This Row],[Cell_ID]],'[1]Registre_Maintenance_combine '!A:D,4,FALSE),"Non trouvé")</f>
        <v>Non trouvé</v>
      </c>
      <c r="I994" t="str">
        <f>IFERROR(VLOOKUP(Logs_reseau[[#This Row],[Cell_ID]],'[1]Registre_Maintenance_combine '!A:E,5,FALSE),"Non trouvé")</f>
        <v>Non trouvé</v>
      </c>
      <c r="J994" t="str">
        <f>IFERROR(VLOOKUP(Logs_reseau[[#This Row],[Cell_ID]],'[1]Registre_Maintenance_combine '!A:F,6,FALSE),"Non trouvé")</f>
        <v>Non trouvé</v>
      </c>
    </row>
    <row r="995" spans="1:10" x14ac:dyDescent="0.25">
      <c r="A995" t="str">
        <f>IFERROR(VLOOKUP(Logs_reseau[[#This Row],[Cell_ID]],'[1]Registre_Maintenance_combine '!A:B,2,FALSE),"Non trouvé")</f>
        <v>Kwango</v>
      </c>
      <c r="B995" t="s">
        <v>259</v>
      </c>
      <c r="C995" s="3">
        <v>45224.010416666664</v>
      </c>
      <c r="D995" s="11">
        <f>Logs_reseau[[#This Row],[Duree_Panne_Min]]/1440</f>
        <v>7.9166666666666663E-2</v>
      </c>
      <c r="E995">
        <v>114</v>
      </c>
      <c r="F995" t="s">
        <v>4</v>
      </c>
      <c r="G995">
        <f>IFERROR(VLOOKUP(Logs_reseau[[#This Row],[Cell_ID]],'[1]Registre_Maintenance_combine '!A:C,3,FALSE),"Non trouvé")</f>
        <v>-9.7712979999999998</v>
      </c>
      <c r="H995">
        <f>IFERROR(VLOOKUP(Logs_reseau[[#This Row],[Cell_ID]],'[1]Registre_Maintenance_combine '!A:D,4,FALSE),"Non trouvé")</f>
        <v>19.827895999999999</v>
      </c>
      <c r="I995" t="str">
        <f>IFERROR(VLOOKUP(Logs_reseau[[#This Row],[Cell_ID]],'[1]Registre_Maintenance_combine '!A:E,5,FALSE),"Non trouvé")</f>
        <v>3G</v>
      </c>
      <c r="J995" t="str">
        <f>IFERROR(VLOOKUP(Logs_reseau[[#This Row],[Cell_ID]],'[1]Registre_Maintenance_combine '!A:F,6,FALSE),"Non trouvé")</f>
        <v>ZTE</v>
      </c>
    </row>
    <row r="996" spans="1:10" x14ac:dyDescent="0.25">
      <c r="A996" t="str">
        <f>IFERROR(VLOOKUP(Logs_reseau[[#This Row],[Cell_ID]],'[1]Registre_Maintenance_combine '!A:B,2,FALSE),"Non trouvé")</f>
        <v>Kasai-Central</v>
      </c>
      <c r="B996" t="s">
        <v>316</v>
      </c>
      <c r="C996" s="3">
        <v>45206.027083333334</v>
      </c>
      <c r="D996" s="11">
        <f>Logs_reseau[[#This Row],[Duree_Panne_Min]]/1440</f>
        <v>2.5000000000000001E-2</v>
      </c>
      <c r="E996">
        <v>36</v>
      </c>
      <c r="F996" t="s">
        <v>4</v>
      </c>
      <c r="G996">
        <f>IFERROR(VLOOKUP(Logs_reseau[[#This Row],[Cell_ID]],'[1]Registre_Maintenance_combine '!A:C,3,FALSE),"Non trouvé")</f>
        <v>-3.111418</v>
      </c>
      <c r="H996">
        <f>IFERROR(VLOOKUP(Logs_reseau[[#This Row],[Cell_ID]],'[1]Registre_Maintenance_combine '!A:D,4,FALSE),"Non trouvé")</f>
        <v>14.144854</v>
      </c>
      <c r="I996" t="str">
        <f>IFERROR(VLOOKUP(Logs_reseau[[#This Row],[Cell_ID]],'[1]Registre_Maintenance_combine '!A:E,5,FALSE),"Non trouvé")</f>
        <v>4G</v>
      </c>
      <c r="J996" t="str">
        <f>IFERROR(VLOOKUP(Logs_reseau[[#This Row],[Cell_ID]],'[1]Registre_Maintenance_combine '!A:F,6,FALSE),"Non trouvé")</f>
        <v>ZTE</v>
      </c>
    </row>
    <row r="997" spans="1:10" x14ac:dyDescent="0.25">
      <c r="A997" t="str">
        <f>IFERROR(VLOOKUP(Logs_reseau[[#This Row],[Cell_ID]],'[1]Registre_Maintenance_combine '!A:B,2,FALSE),"Non trouvé")</f>
        <v>Nord-Ubangi</v>
      </c>
      <c r="B997" t="s">
        <v>317</v>
      </c>
      <c r="C997" s="3">
        <v>45204.297222222223</v>
      </c>
      <c r="D997" s="11">
        <f>Logs_reseau[[#This Row],[Duree_Panne_Min]]/1440</f>
        <v>7.7083333333333337E-2</v>
      </c>
      <c r="E997">
        <v>111</v>
      </c>
      <c r="F997" t="s">
        <v>2</v>
      </c>
      <c r="G997">
        <f>IFERROR(VLOOKUP(Logs_reseau[[#This Row],[Cell_ID]],'[1]Registre_Maintenance_combine '!A:C,3,FALSE),"Non trouvé")</f>
        <v>-1.342476</v>
      </c>
      <c r="H997">
        <f>IFERROR(VLOOKUP(Logs_reseau[[#This Row],[Cell_ID]],'[1]Registre_Maintenance_combine '!A:D,4,FALSE),"Non trouvé")</f>
        <v>15.986086</v>
      </c>
      <c r="I997" t="str">
        <f>IFERROR(VLOOKUP(Logs_reseau[[#This Row],[Cell_ID]],'[1]Registre_Maintenance_combine '!A:E,5,FALSE),"Non trouvé")</f>
        <v>4G</v>
      </c>
      <c r="J997" t="str">
        <f>IFERROR(VLOOKUP(Logs_reseau[[#This Row],[Cell_ID]],'[1]Registre_Maintenance_combine '!A:F,6,FALSE),"Non trouvé")</f>
        <v>Ericsson</v>
      </c>
    </row>
    <row r="998" spans="1:10" x14ac:dyDescent="0.25">
      <c r="A998" t="str">
        <f>IFERROR(VLOOKUP(Logs_reseau[[#This Row],[Cell_ID]],'[1]Registre_Maintenance_combine '!A:B,2,FALSE),"Non trouvé")</f>
        <v>Non trouvé</v>
      </c>
      <c r="B998" t="s">
        <v>318</v>
      </c>
      <c r="C998" s="3">
        <v>45215.879861111112</v>
      </c>
      <c r="D998" s="11">
        <f>Logs_reseau[[#This Row],[Duree_Panne_Min]]/1440</f>
        <v>1.1111111111111112E-2</v>
      </c>
      <c r="E998">
        <v>16</v>
      </c>
      <c r="F998" t="s">
        <v>2</v>
      </c>
      <c r="G998" t="str">
        <f>IFERROR(VLOOKUP(Logs_reseau[[#This Row],[Cell_ID]],'[1]Registre_Maintenance_combine '!A:C,3,FALSE),"Non trouvé")</f>
        <v>Non trouvé</v>
      </c>
      <c r="H998" t="str">
        <f>IFERROR(VLOOKUP(Logs_reseau[[#This Row],[Cell_ID]],'[1]Registre_Maintenance_combine '!A:D,4,FALSE),"Non trouvé")</f>
        <v>Non trouvé</v>
      </c>
      <c r="I998" t="str">
        <f>IFERROR(VLOOKUP(Logs_reseau[[#This Row],[Cell_ID]],'[1]Registre_Maintenance_combine '!A:E,5,FALSE),"Non trouvé")</f>
        <v>Non trouvé</v>
      </c>
      <c r="J998" t="str">
        <f>IFERROR(VLOOKUP(Logs_reseau[[#This Row],[Cell_ID]],'[1]Registre_Maintenance_combine '!A:F,6,FALSE),"Non trouvé")</f>
        <v>Non trouvé</v>
      </c>
    </row>
    <row r="999" spans="1:10" x14ac:dyDescent="0.25">
      <c r="A999" t="str">
        <f>IFERROR(VLOOKUP(Logs_reseau[[#This Row],[Cell_ID]],'[1]Registre_Maintenance_combine '!A:B,2,FALSE),"Non trouvé")</f>
        <v>Haut-Uele</v>
      </c>
      <c r="B999" t="s">
        <v>319</v>
      </c>
      <c r="C999" s="3">
        <v>45218.270138888889</v>
      </c>
      <c r="D999" s="11">
        <f>Logs_reseau[[#This Row],[Duree_Panne_Min]]/1440</f>
        <v>2.7777777777777776E-2</v>
      </c>
      <c r="E999">
        <v>40</v>
      </c>
      <c r="F999" t="s">
        <v>2</v>
      </c>
      <c r="G999">
        <f>IFERROR(VLOOKUP(Logs_reseau[[#This Row],[Cell_ID]],'[1]Registre_Maintenance_combine '!A:C,3,FALSE),"Non trouvé")</f>
        <v>-1.8045979999999999</v>
      </c>
      <c r="H999">
        <f>IFERROR(VLOOKUP(Logs_reseau[[#This Row],[Cell_ID]],'[1]Registre_Maintenance_combine '!A:D,4,FALSE),"Non trouvé")</f>
        <v>12.511096999999999</v>
      </c>
      <c r="I999" t="str">
        <f>IFERROR(VLOOKUP(Logs_reseau[[#This Row],[Cell_ID]],'[1]Registre_Maintenance_combine '!A:E,5,FALSE),"Non trouvé")</f>
        <v>3G</v>
      </c>
      <c r="J999" t="str">
        <f>IFERROR(VLOOKUP(Logs_reseau[[#This Row],[Cell_ID]],'[1]Registre_Maintenance_combine '!A:F,6,FALSE),"Non trouvé")</f>
        <v>Huawei</v>
      </c>
    </row>
    <row r="1000" spans="1:10" x14ac:dyDescent="0.25">
      <c r="A1000" t="str">
        <f>IFERROR(VLOOKUP(Logs_reseau[[#This Row],[Cell_ID]],'[1]Registre_Maintenance_combine '!A:B,2,FALSE),"Non trouvé")</f>
        <v>Non trouvé</v>
      </c>
      <c r="B1000" t="s">
        <v>320</v>
      </c>
      <c r="C1000" s="3">
        <v>45222.367361111108</v>
      </c>
      <c r="D1000" s="11">
        <f>Logs_reseau[[#This Row],[Duree_Panne_Min]]/1440</f>
        <v>8.1250000000000003E-2</v>
      </c>
      <c r="E1000">
        <v>117</v>
      </c>
      <c r="F1000" t="s">
        <v>2</v>
      </c>
      <c r="G1000" t="str">
        <f>IFERROR(VLOOKUP(Logs_reseau[[#This Row],[Cell_ID]],'[1]Registre_Maintenance_combine '!A:C,3,FALSE),"Non trouvé")</f>
        <v>Non trouvé</v>
      </c>
      <c r="H1000" t="str">
        <f>IFERROR(VLOOKUP(Logs_reseau[[#This Row],[Cell_ID]],'[1]Registre_Maintenance_combine '!A:D,4,FALSE),"Non trouvé")</f>
        <v>Non trouvé</v>
      </c>
      <c r="I1000" t="str">
        <f>IFERROR(VLOOKUP(Logs_reseau[[#This Row],[Cell_ID]],'[1]Registre_Maintenance_combine '!A:E,5,FALSE),"Non trouvé")</f>
        <v>Non trouvé</v>
      </c>
      <c r="J1000" t="str">
        <f>IFERROR(VLOOKUP(Logs_reseau[[#This Row],[Cell_ID]],'[1]Registre_Maintenance_combine '!A:F,6,FALSE),"Non trouvé")</f>
        <v>Non trouvé</v>
      </c>
    </row>
    <row r="1001" spans="1:10" x14ac:dyDescent="0.25">
      <c r="A1001" t="str">
        <f>IFERROR(VLOOKUP(Logs_reseau[[#This Row],[Cell_ID]],'[1]Registre_Maintenance_combine '!A:B,2,FALSE),"Non trouvé")</f>
        <v>Nord-Kivu</v>
      </c>
      <c r="B1001" t="s">
        <v>321</v>
      </c>
      <c r="C1001" s="3">
        <v>45211.234722222223</v>
      </c>
      <c r="D1001" s="11">
        <f>Logs_reseau[[#This Row],[Duree_Panne_Min]]/1440</f>
        <v>4.3055555555555555E-2</v>
      </c>
      <c r="E1001">
        <v>62</v>
      </c>
      <c r="F1001" t="s">
        <v>4</v>
      </c>
      <c r="G1001">
        <f>IFERROR(VLOOKUP(Logs_reseau[[#This Row],[Cell_ID]],'[1]Registre_Maintenance_combine '!A:C,3,FALSE),"Non trouvé")</f>
        <v>-2.3102109999999998</v>
      </c>
      <c r="H1001">
        <f>IFERROR(VLOOKUP(Logs_reseau[[#This Row],[Cell_ID]],'[1]Registre_Maintenance_combine '!A:D,4,FALSE),"Non trouvé")</f>
        <v>12.362488000000001</v>
      </c>
      <c r="I1001" t="str">
        <f>IFERROR(VLOOKUP(Logs_reseau[[#This Row],[Cell_ID]],'[1]Registre_Maintenance_combine '!A:E,5,FALSE),"Non trouvé")</f>
        <v>5G</v>
      </c>
      <c r="J1001" t="str">
        <f>IFERROR(VLOOKUP(Logs_reseau[[#This Row],[Cell_ID]],'[1]Registre_Maintenance_combine '!A:F,6,FALSE),"Non trouvé")</f>
        <v>Nokia</v>
      </c>
    </row>
    <row r="1002" spans="1:10" x14ac:dyDescent="0.25">
      <c r="A1002" t="str">
        <f>IFERROR(VLOOKUP(Logs_reseau[[#This Row],[Cell_ID]],'[1]Registre_Maintenance_combine '!A:B,2,FALSE),"Non trouvé")</f>
        <v>Non trouvé</v>
      </c>
      <c r="B1002" t="s">
        <v>20</v>
      </c>
      <c r="C1002" s="3">
        <v>45219.989583333336</v>
      </c>
      <c r="D1002" s="11">
        <f>Logs_reseau[[#This Row],[Duree_Panne_Min]]/1440</f>
        <v>2.5000000000000001E-2</v>
      </c>
      <c r="E1002">
        <v>36</v>
      </c>
      <c r="F1002" t="s">
        <v>1</v>
      </c>
      <c r="G1002" t="str">
        <f>IFERROR(VLOOKUP(Logs_reseau[[#This Row],[Cell_ID]],'[1]Registre_Maintenance_combine '!A:C,3,FALSE),"Non trouvé")</f>
        <v>Non trouvé</v>
      </c>
      <c r="H1002" t="str">
        <f>IFERROR(VLOOKUP(Logs_reseau[[#This Row],[Cell_ID]],'[1]Registre_Maintenance_combine '!A:D,4,FALSE),"Non trouvé")</f>
        <v>Non trouvé</v>
      </c>
      <c r="I1002" t="str">
        <f>IFERROR(VLOOKUP(Logs_reseau[[#This Row],[Cell_ID]],'[1]Registre_Maintenance_combine '!A:E,5,FALSE),"Non trouvé")</f>
        <v>Non trouvé</v>
      </c>
      <c r="J1002" t="str">
        <f>IFERROR(VLOOKUP(Logs_reseau[[#This Row],[Cell_ID]],'[1]Registre_Maintenance_combine '!A:F,6,FALSE),"Non trouvé")</f>
        <v>Non trouvé</v>
      </c>
    </row>
    <row r="1003" spans="1:10" x14ac:dyDescent="0.25">
      <c r="A1003" t="str">
        <f>IFERROR(VLOOKUP(Logs_reseau[[#This Row],[Cell_ID]],'[1]Registre_Maintenance_combine '!A:B,2,FALSE),"Non trouvé")</f>
        <v>Tshopo</v>
      </c>
      <c r="B1003" t="s">
        <v>97</v>
      </c>
      <c r="C1003" s="3">
        <v>45203.22152777778</v>
      </c>
      <c r="D1003" s="11">
        <f>Logs_reseau[[#This Row],[Duree_Panne_Min]]/1440</f>
        <v>7.013888888888889E-2</v>
      </c>
      <c r="E1003">
        <v>101</v>
      </c>
      <c r="F1003" t="s">
        <v>1</v>
      </c>
      <c r="G1003">
        <f>IFERROR(VLOOKUP(Logs_reseau[[#This Row],[Cell_ID]],'[1]Registre_Maintenance_combine '!A:C,3,FALSE),"Non trouvé")</f>
        <v>3.0603760000000002</v>
      </c>
      <c r="H1003">
        <f>IFERROR(VLOOKUP(Logs_reseau[[#This Row],[Cell_ID]],'[1]Registre_Maintenance_combine '!A:D,4,FALSE),"Non trouvé")</f>
        <v>19.708034000000001</v>
      </c>
      <c r="I1003" t="str">
        <f>IFERROR(VLOOKUP(Logs_reseau[[#This Row],[Cell_ID]],'[1]Registre_Maintenance_combine '!A:E,5,FALSE),"Non trouvé")</f>
        <v>3G</v>
      </c>
      <c r="J1003" t="str">
        <f>IFERROR(VLOOKUP(Logs_reseau[[#This Row],[Cell_ID]],'[1]Registre_Maintenance_combine '!A:F,6,FALSE),"Non trouvé")</f>
        <v>ZTE</v>
      </c>
    </row>
    <row r="1004" spans="1:10" x14ac:dyDescent="0.25">
      <c r="A1004" t="str">
        <f>IFERROR(VLOOKUP(Logs_reseau[[#This Row],[Cell_ID]],'[1]Registre_Maintenance_combine '!A:B,2,FALSE),"Non trouvé")</f>
        <v>Maniema</v>
      </c>
      <c r="B1004" t="s">
        <v>322</v>
      </c>
      <c r="C1004" s="3">
        <v>45203.750694444447</v>
      </c>
      <c r="D1004" s="11">
        <f>Logs_reseau[[#This Row],[Duree_Panne_Min]]/1440</f>
        <v>4.4444444444444446E-2</v>
      </c>
      <c r="E1004">
        <v>64</v>
      </c>
      <c r="F1004" t="s">
        <v>4</v>
      </c>
      <c r="G1004">
        <f>IFERROR(VLOOKUP(Logs_reseau[[#This Row],[Cell_ID]],'[1]Registre_Maintenance_combine '!A:C,3,FALSE),"Non trouvé")</f>
        <v>-4.6818410000000004</v>
      </c>
      <c r="H1004">
        <f>IFERROR(VLOOKUP(Logs_reseau[[#This Row],[Cell_ID]],'[1]Registre_Maintenance_combine '!A:D,4,FALSE),"Non trouvé")</f>
        <v>17.541618</v>
      </c>
      <c r="I1004" t="str">
        <f>IFERROR(VLOOKUP(Logs_reseau[[#This Row],[Cell_ID]],'[1]Registre_Maintenance_combine '!A:E,5,FALSE),"Non trouvé")</f>
        <v>4G</v>
      </c>
      <c r="J1004" t="str">
        <f>IFERROR(VLOOKUP(Logs_reseau[[#This Row],[Cell_ID]],'[1]Registre_Maintenance_combine '!A:F,6,FALSE),"Non trouvé")</f>
        <v>Ericsson</v>
      </c>
    </row>
    <row r="1005" spans="1:10" x14ac:dyDescent="0.25">
      <c r="A1005" t="str">
        <f>IFERROR(VLOOKUP(Logs_reseau[[#This Row],[Cell_ID]],'[1]Registre_Maintenance_combine '!A:B,2,FALSE),"Non trouvé")</f>
        <v>Non trouvé</v>
      </c>
      <c r="B1005" t="s">
        <v>323</v>
      </c>
      <c r="C1005" s="3">
        <v>45229.4</v>
      </c>
      <c r="D1005" s="11">
        <f>Logs_reseau[[#This Row],[Duree_Panne_Min]]/1440</f>
        <v>5.347222222222222E-2</v>
      </c>
      <c r="E1005">
        <v>77</v>
      </c>
      <c r="F1005" t="s">
        <v>1</v>
      </c>
      <c r="G1005" t="str">
        <f>IFERROR(VLOOKUP(Logs_reseau[[#This Row],[Cell_ID]],'[1]Registre_Maintenance_combine '!A:C,3,FALSE),"Non trouvé")</f>
        <v>Non trouvé</v>
      </c>
      <c r="H1005" t="str">
        <f>IFERROR(VLOOKUP(Logs_reseau[[#This Row],[Cell_ID]],'[1]Registre_Maintenance_combine '!A:D,4,FALSE),"Non trouvé")</f>
        <v>Non trouvé</v>
      </c>
      <c r="I1005" t="str">
        <f>IFERROR(VLOOKUP(Logs_reseau[[#This Row],[Cell_ID]],'[1]Registre_Maintenance_combine '!A:E,5,FALSE),"Non trouvé")</f>
        <v>Non trouvé</v>
      </c>
      <c r="J1005" t="str">
        <f>IFERROR(VLOOKUP(Logs_reseau[[#This Row],[Cell_ID]],'[1]Registre_Maintenance_combine '!A:F,6,FALSE),"Non trouvé")</f>
        <v>Non trouvé</v>
      </c>
    </row>
    <row r="1006" spans="1:10" x14ac:dyDescent="0.25">
      <c r="A1006" t="str">
        <f>IFERROR(VLOOKUP(Logs_reseau[[#This Row],[Cell_ID]],'[1]Registre_Maintenance_combine '!A:B,2,FALSE),"Non trouvé")</f>
        <v>Sud-Kivu</v>
      </c>
      <c r="B1006" t="s">
        <v>324</v>
      </c>
      <c r="C1006" s="3">
        <v>45221.517361111109</v>
      </c>
      <c r="D1006" s="11">
        <f>Logs_reseau[[#This Row],[Duree_Panne_Min]]/1440</f>
        <v>5.7638888888888892E-2</v>
      </c>
      <c r="E1006">
        <v>83</v>
      </c>
      <c r="F1006" t="s">
        <v>4</v>
      </c>
      <c r="G1006">
        <f>IFERROR(VLOOKUP(Logs_reseau[[#This Row],[Cell_ID]],'[1]Registre_Maintenance_combine '!A:C,3,FALSE),"Non trouvé")</f>
        <v>-2.9651529999999999</v>
      </c>
      <c r="H1006">
        <f>IFERROR(VLOOKUP(Logs_reseau[[#This Row],[Cell_ID]],'[1]Registre_Maintenance_combine '!A:D,4,FALSE),"Non trouvé")</f>
        <v>29.79908</v>
      </c>
      <c r="I1006" t="str">
        <f>IFERROR(VLOOKUP(Logs_reseau[[#This Row],[Cell_ID]],'[1]Registre_Maintenance_combine '!A:E,5,FALSE),"Non trouvé")</f>
        <v>4G</v>
      </c>
      <c r="J1006" t="str">
        <f>IFERROR(VLOOKUP(Logs_reseau[[#This Row],[Cell_ID]],'[1]Registre_Maintenance_combine '!A:F,6,FALSE),"Non trouvé")</f>
        <v>Ericsson</v>
      </c>
    </row>
    <row r="1007" spans="1:10" x14ac:dyDescent="0.25">
      <c r="A1007" t="str">
        <f>IFERROR(VLOOKUP(Logs_reseau[[#This Row],[Cell_ID]],'[1]Registre_Maintenance_combine '!A:B,2,FALSE),"Non trouvé")</f>
        <v>Non trouvé</v>
      </c>
      <c r="B1007" t="s">
        <v>325</v>
      </c>
      <c r="C1007" s="3">
        <v>45230.925000000003</v>
      </c>
      <c r="D1007" s="11">
        <f>Logs_reseau[[#This Row],[Duree_Panne_Min]]/1440</f>
        <v>6.25E-2</v>
      </c>
      <c r="E1007">
        <v>90</v>
      </c>
      <c r="F1007" t="s">
        <v>1</v>
      </c>
      <c r="G1007" t="str">
        <f>IFERROR(VLOOKUP(Logs_reseau[[#This Row],[Cell_ID]],'[1]Registre_Maintenance_combine '!A:C,3,FALSE),"Non trouvé")</f>
        <v>Non trouvé</v>
      </c>
      <c r="H1007" t="str">
        <f>IFERROR(VLOOKUP(Logs_reseau[[#This Row],[Cell_ID]],'[1]Registre_Maintenance_combine '!A:D,4,FALSE),"Non trouvé")</f>
        <v>Non trouvé</v>
      </c>
      <c r="I1007" t="str">
        <f>IFERROR(VLOOKUP(Logs_reseau[[#This Row],[Cell_ID]],'[1]Registre_Maintenance_combine '!A:E,5,FALSE),"Non trouvé")</f>
        <v>Non trouvé</v>
      </c>
      <c r="J1007" t="str">
        <f>IFERROR(VLOOKUP(Logs_reseau[[#This Row],[Cell_ID]],'[1]Registre_Maintenance_combine '!A:F,6,FALSE),"Non trouvé")</f>
        <v>Non trouvé</v>
      </c>
    </row>
    <row r="1008" spans="1:10" x14ac:dyDescent="0.25">
      <c r="A1008" t="str">
        <f>IFERROR(VLOOKUP(Logs_reseau[[#This Row],[Cell_ID]],'[1]Registre_Maintenance_combine '!A:B,2,FALSE),"Non trouvé")</f>
        <v>Maniema</v>
      </c>
      <c r="B1008" t="s">
        <v>326</v>
      </c>
      <c r="C1008" s="3">
        <v>45202.780555555553</v>
      </c>
      <c r="D1008" s="11">
        <f>Logs_reseau[[#This Row],[Duree_Panne_Min]]/1440</f>
        <v>3.6805555555555557E-2</v>
      </c>
      <c r="E1008">
        <v>53</v>
      </c>
      <c r="F1008" t="s">
        <v>4</v>
      </c>
      <c r="G1008">
        <f>IFERROR(VLOOKUP(Logs_reseau[[#This Row],[Cell_ID]],'[1]Registre_Maintenance_combine '!A:C,3,FALSE),"Non trouvé")</f>
        <v>-2.3743210000000001</v>
      </c>
      <c r="H1008">
        <f>IFERROR(VLOOKUP(Logs_reseau[[#This Row],[Cell_ID]],'[1]Registre_Maintenance_combine '!A:D,4,FALSE),"Non trouvé")</f>
        <v>22.399491000000001</v>
      </c>
      <c r="I1008" t="str">
        <f>IFERROR(VLOOKUP(Logs_reseau[[#This Row],[Cell_ID]],'[1]Registre_Maintenance_combine '!A:E,5,FALSE),"Non trouvé")</f>
        <v>5G</v>
      </c>
      <c r="J1008" t="str">
        <f>IFERROR(VLOOKUP(Logs_reseau[[#This Row],[Cell_ID]],'[1]Registre_Maintenance_combine '!A:F,6,FALSE),"Non trouvé")</f>
        <v>Ericsson</v>
      </c>
    </row>
    <row r="1009" spans="1:10" x14ac:dyDescent="0.25">
      <c r="A1009" t="str">
        <f>IFERROR(VLOOKUP(Logs_reseau[[#This Row],[Cell_ID]],'[1]Registre_Maintenance_combine '!A:B,2,FALSE),"Non trouvé")</f>
        <v>Non trouvé</v>
      </c>
      <c r="B1009" t="s">
        <v>327</v>
      </c>
      <c r="C1009" s="3">
        <v>45226.84375</v>
      </c>
      <c r="D1009" s="11">
        <f>Logs_reseau[[#This Row],[Duree_Panne_Min]]/1440</f>
        <v>3.3333333333333333E-2</v>
      </c>
      <c r="E1009">
        <v>48</v>
      </c>
      <c r="F1009" t="s">
        <v>1</v>
      </c>
      <c r="G1009" t="str">
        <f>IFERROR(VLOOKUP(Logs_reseau[[#This Row],[Cell_ID]],'[1]Registre_Maintenance_combine '!A:C,3,FALSE),"Non trouvé")</f>
        <v>Non trouvé</v>
      </c>
      <c r="H1009" t="str">
        <f>IFERROR(VLOOKUP(Logs_reseau[[#This Row],[Cell_ID]],'[1]Registre_Maintenance_combine '!A:D,4,FALSE),"Non trouvé")</f>
        <v>Non trouvé</v>
      </c>
      <c r="I1009" t="str">
        <f>IFERROR(VLOOKUP(Logs_reseau[[#This Row],[Cell_ID]],'[1]Registre_Maintenance_combine '!A:E,5,FALSE),"Non trouvé")</f>
        <v>Non trouvé</v>
      </c>
      <c r="J1009" t="str">
        <f>IFERROR(VLOOKUP(Logs_reseau[[#This Row],[Cell_ID]],'[1]Registre_Maintenance_combine '!A:F,6,FALSE),"Non trouvé")</f>
        <v>Non trouvé</v>
      </c>
    </row>
    <row r="1010" spans="1:10" x14ac:dyDescent="0.25">
      <c r="A1010" t="str">
        <f>IFERROR(VLOOKUP(Logs_reseau[[#This Row],[Cell_ID]],'[1]Registre_Maintenance_combine '!A:B,2,FALSE),"Non trouvé")</f>
        <v>Tshuapa</v>
      </c>
      <c r="B1010" t="s">
        <v>328</v>
      </c>
      <c r="C1010" s="3">
        <v>45203.950694444444</v>
      </c>
      <c r="D1010" s="11">
        <f>Logs_reseau[[#This Row],[Duree_Panne_Min]]/1440</f>
        <v>5.5555555555555558E-3</v>
      </c>
      <c r="E1010">
        <v>8</v>
      </c>
      <c r="F1010" t="s">
        <v>2</v>
      </c>
      <c r="G1010">
        <f>IFERROR(VLOOKUP(Logs_reseau[[#This Row],[Cell_ID]],'[1]Registre_Maintenance_combine '!A:C,3,FALSE),"Non trouvé")</f>
        <v>-0.79406600000000005</v>
      </c>
      <c r="H1010">
        <f>IFERROR(VLOOKUP(Logs_reseau[[#This Row],[Cell_ID]],'[1]Registre_Maintenance_combine '!A:D,4,FALSE),"Non trouvé")</f>
        <v>12.534793000000001</v>
      </c>
      <c r="I1010" t="str">
        <f>IFERROR(VLOOKUP(Logs_reseau[[#This Row],[Cell_ID]],'[1]Registre_Maintenance_combine '!A:E,5,FALSE),"Non trouvé")</f>
        <v>3G</v>
      </c>
      <c r="J1010" t="str">
        <f>IFERROR(VLOOKUP(Logs_reseau[[#This Row],[Cell_ID]],'[1]Registre_Maintenance_combine '!A:F,6,FALSE),"Non trouvé")</f>
        <v>Huawei</v>
      </c>
    </row>
    <row r="1011" spans="1:10" x14ac:dyDescent="0.25">
      <c r="A1011" t="str">
        <f>IFERROR(VLOOKUP(Logs_reseau[[#This Row],[Cell_ID]],'[1]Registre_Maintenance_combine '!A:B,2,FALSE),"Non trouvé")</f>
        <v>Sud-Ubangi</v>
      </c>
      <c r="B1011" t="s">
        <v>329</v>
      </c>
      <c r="C1011" s="3">
        <v>45209.901388888888</v>
      </c>
      <c r="D1011" s="11">
        <f>Logs_reseau[[#This Row],[Duree_Panne_Min]]/1440</f>
        <v>4.7222222222222221E-2</v>
      </c>
      <c r="E1011">
        <v>68</v>
      </c>
      <c r="F1011" t="s">
        <v>2</v>
      </c>
      <c r="G1011">
        <f>IFERROR(VLOOKUP(Logs_reseau[[#This Row],[Cell_ID]],'[1]Registre_Maintenance_combine '!A:C,3,FALSE),"Non trouvé")</f>
        <v>-8.3241560000000003</v>
      </c>
      <c r="H1011">
        <f>IFERROR(VLOOKUP(Logs_reseau[[#This Row],[Cell_ID]],'[1]Registre_Maintenance_combine '!A:D,4,FALSE),"Non trouvé")</f>
        <v>19.543866000000001</v>
      </c>
      <c r="I1011" t="str">
        <f>IFERROR(VLOOKUP(Logs_reseau[[#This Row],[Cell_ID]],'[1]Registre_Maintenance_combine '!A:E,5,FALSE),"Non trouvé")</f>
        <v>4G</v>
      </c>
      <c r="J1011" t="str">
        <f>IFERROR(VLOOKUP(Logs_reseau[[#This Row],[Cell_ID]],'[1]Registre_Maintenance_combine '!A:F,6,FALSE),"Non trouvé")</f>
        <v>ZTE</v>
      </c>
    </row>
    <row r="1012" spans="1:10" x14ac:dyDescent="0.25">
      <c r="A1012" t="str">
        <f>IFERROR(VLOOKUP(Logs_reseau[[#This Row],[Cell_ID]],'[1]Registre_Maintenance_combine '!A:B,2,FALSE),"Non trouvé")</f>
        <v>Non trouvé</v>
      </c>
      <c r="B1012" t="s">
        <v>330</v>
      </c>
      <c r="C1012" s="3">
        <v>45225.159722222219</v>
      </c>
      <c r="D1012" s="11">
        <f>Logs_reseau[[#This Row],[Duree_Panne_Min]]/1440</f>
        <v>7.8472222222222221E-2</v>
      </c>
      <c r="E1012">
        <v>113</v>
      </c>
      <c r="F1012" t="s">
        <v>1</v>
      </c>
      <c r="G1012" t="str">
        <f>IFERROR(VLOOKUP(Logs_reseau[[#This Row],[Cell_ID]],'[1]Registre_Maintenance_combine '!A:C,3,FALSE),"Non trouvé")</f>
        <v>Non trouvé</v>
      </c>
      <c r="H1012" t="str">
        <f>IFERROR(VLOOKUP(Logs_reseau[[#This Row],[Cell_ID]],'[1]Registre_Maintenance_combine '!A:D,4,FALSE),"Non trouvé")</f>
        <v>Non trouvé</v>
      </c>
      <c r="I1012" t="str">
        <f>IFERROR(VLOOKUP(Logs_reseau[[#This Row],[Cell_ID]],'[1]Registre_Maintenance_combine '!A:E,5,FALSE),"Non trouvé")</f>
        <v>Non trouvé</v>
      </c>
      <c r="J1012" t="str">
        <f>IFERROR(VLOOKUP(Logs_reseau[[#This Row],[Cell_ID]],'[1]Registre_Maintenance_combine '!A:F,6,FALSE),"Non trouvé")</f>
        <v>Non trouvé</v>
      </c>
    </row>
    <row r="1013" spans="1:10" x14ac:dyDescent="0.25">
      <c r="A1013" t="str">
        <f>IFERROR(VLOOKUP(Logs_reseau[[#This Row],[Cell_ID]],'[1]Registre_Maintenance_combine '!A:B,2,FALSE),"Non trouvé")</f>
        <v>Non trouvé</v>
      </c>
      <c r="B1013" t="s">
        <v>331</v>
      </c>
      <c r="C1013" s="3">
        <v>45218.056944444441</v>
      </c>
      <c r="D1013" s="11">
        <f>Logs_reseau[[#This Row],[Duree_Panne_Min]]/1440</f>
        <v>3.1944444444444442E-2</v>
      </c>
      <c r="E1013">
        <v>46</v>
      </c>
      <c r="F1013" t="s">
        <v>4</v>
      </c>
      <c r="G1013" t="str">
        <f>IFERROR(VLOOKUP(Logs_reseau[[#This Row],[Cell_ID]],'[1]Registre_Maintenance_combine '!A:C,3,FALSE),"Non trouvé")</f>
        <v>Non trouvé</v>
      </c>
      <c r="H1013" t="str">
        <f>IFERROR(VLOOKUP(Logs_reseau[[#This Row],[Cell_ID]],'[1]Registre_Maintenance_combine '!A:D,4,FALSE),"Non trouvé")</f>
        <v>Non trouvé</v>
      </c>
      <c r="I1013" t="str">
        <f>IFERROR(VLOOKUP(Logs_reseau[[#This Row],[Cell_ID]],'[1]Registre_Maintenance_combine '!A:E,5,FALSE),"Non trouvé")</f>
        <v>Non trouvé</v>
      </c>
      <c r="J1013" t="str">
        <f>IFERROR(VLOOKUP(Logs_reseau[[#This Row],[Cell_ID]],'[1]Registre_Maintenance_combine '!A:F,6,FALSE),"Non trouvé")</f>
        <v>Non trouvé</v>
      </c>
    </row>
    <row r="1014" spans="1:10" x14ac:dyDescent="0.25">
      <c r="A1014" t="str">
        <f>IFERROR(VLOOKUP(Logs_reseau[[#This Row],[Cell_ID]],'[1]Registre_Maintenance_combine '!A:B,2,FALSE),"Non trouvé")</f>
        <v>Non trouvé</v>
      </c>
      <c r="B1014" t="s">
        <v>332</v>
      </c>
      <c r="C1014" s="3">
        <v>45217.570833333331</v>
      </c>
      <c r="D1014" s="11">
        <f>Logs_reseau[[#This Row],[Duree_Panne_Min]]/1440</f>
        <v>1.9444444444444445E-2</v>
      </c>
      <c r="E1014">
        <v>28</v>
      </c>
      <c r="F1014" t="s">
        <v>1</v>
      </c>
      <c r="G1014" t="str">
        <f>IFERROR(VLOOKUP(Logs_reseau[[#This Row],[Cell_ID]],'[1]Registre_Maintenance_combine '!A:C,3,FALSE),"Non trouvé")</f>
        <v>Non trouvé</v>
      </c>
      <c r="H1014" t="str">
        <f>IFERROR(VLOOKUP(Logs_reseau[[#This Row],[Cell_ID]],'[1]Registre_Maintenance_combine '!A:D,4,FALSE),"Non trouvé")</f>
        <v>Non trouvé</v>
      </c>
      <c r="I1014" t="str">
        <f>IFERROR(VLOOKUP(Logs_reseau[[#This Row],[Cell_ID]],'[1]Registre_Maintenance_combine '!A:E,5,FALSE),"Non trouvé")</f>
        <v>Non trouvé</v>
      </c>
      <c r="J1014" t="str">
        <f>IFERROR(VLOOKUP(Logs_reseau[[#This Row],[Cell_ID]],'[1]Registre_Maintenance_combine '!A:F,6,FALSE),"Non trouvé")</f>
        <v>Non trouvé</v>
      </c>
    </row>
    <row r="1015" spans="1:10" x14ac:dyDescent="0.25">
      <c r="A1015" t="str">
        <f>IFERROR(VLOOKUP(Logs_reseau[[#This Row],[Cell_ID]],'[1]Registre_Maintenance_combine '!A:B,2,FALSE),"Non trouvé")</f>
        <v>Non trouvé</v>
      </c>
      <c r="B1015" t="s">
        <v>222</v>
      </c>
      <c r="C1015" s="3">
        <v>45211.105555555558</v>
      </c>
      <c r="D1015" s="11">
        <f>Logs_reseau[[#This Row],[Duree_Panne_Min]]/1440</f>
        <v>4.6527777777777779E-2</v>
      </c>
      <c r="E1015">
        <v>67</v>
      </c>
      <c r="F1015" t="s">
        <v>1</v>
      </c>
      <c r="G1015" t="str">
        <f>IFERROR(VLOOKUP(Logs_reseau[[#This Row],[Cell_ID]],'[1]Registre_Maintenance_combine '!A:C,3,FALSE),"Non trouvé")</f>
        <v>Non trouvé</v>
      </c>
      <c r="H1015" t="str">
        <f>IFERROR(VLOOKUP(Logs_reseau[[#This Row],[Cell_ID]],'[1]Registre_Maintenance_combine '!A:D,4,FALSE),"Non trouvé")</f>
        <v>Non trouvé</v>
      </c>
      <c r="I1015" t="str">
        <f>IFERROR(VLOOKUP(Logs_reseau[[#This Row],[Cell_ID]],'[1]Registre_Maintenance_combine '!A:E,5,FALSE),"Non trouvé")</f>
        <v>Non trouvé</v>
      </c>
      <c r="J1015" t="str">
        <f>IFERROR(VLOOKUP(Logs_reseau[[#This Row],[Cell_ID]],'[1]Registre_Maintenance_combine '!A:F,6,FALSE),"Non trouvé")</f>
        <v>Non trouvé</v>
      </c>
    </row>
    <row r="1016" spans="1:10" x14ac:dyDescent="0.25">
      <c r="A1016" t="str">
        <f>IFERROR(VLOOKUP(Logs_reseau[[#This Row],[Cell_ID]],'[1]Registre_Maintenance_combine '!A:B,2,FALSE),"Non trouvé")</f>
        <v>Kinshasa</v>
      </c>
      <c r="B1016" t="s">
        <v>333</v>
      </c>
      <c r="C1016" s="3">
        <v>45220.416666666664</v>
      </c>
      <c r="D1016" s="11">
        <f>Logs_reseau[[#This Row],[Duree_Panne_Min]]/1440</f>
        <v>2.2222222222222223E-2</v>
      </c>
      <c r="E1016">
        <v>32</v>
      </c>
      <c r="F1016" t="s">
        <v>2</v>
      </c>
      <c r="G1016">
        <f>IFERROR(VLOOKUP(Logs_reseau[[#This Row],[Cell_ID]],'[1]Registre_Maintenance_combine '!A:C,3,FALSE),"Non trouvé")</f>
        <v>-11.991020000000001</v>
      </c>
      <c r="H1016">
        <f>IFERROR(VLOOKUP(Logs_reseau[[#This Row],[Cell_ID]],'[1]Registre_Maintenance_combine '!A:D,4,FALSE),"Non trouvé")</f>
        <v>22.514747</v>
      </c>
      <c r="I1016" t="str">
        <f>IFERROR(VLOOKUP(Logs_reseau[[#This Row],[Cell_ID]],'[1]Registre_Maintenance_combine '!A:E,5,FALSE),"Non trouvé")</f>
        <v>5G</v>
      </c>
      <c r="J1016" t="str">
        <f>IFERROR(VLOOKUP(Logs_reseau[[#This Row],[Cell_ID]],'[1]Registre_Maintenance_combine '!A:F,6,FALSE),"Non trouvé")</f>
        <v>ZTE</v>
      </c>
    </row>
    <row r="1017" spans="1:10" x14ac:dyDescent="0.25">
      <c r="A1017" t="str">
        <f>IFERROR(VLOOKUP(Logs_reseau[[#This Row],[Cell_ID]],'[1]Registre_Maintenance_combine '!A:B,2,FALSE),"Non trouvé")</f>
        <v>Tshopo</v>
      </c>
      <c r="B1017" t="s">
        <v>334</v>
      </c>
      <c r="C1017" s="3">
        <v>45227.577777777777</v>
      </c>
      <c r="D1017" s="11">
        <f>Logs_reseau[[#This Row],[Duree_Panne_Min]]/1440</f>
        <v>3.4722222222222224E-2</v>
      </c>
      <c r="E1017">
        <v>50</v>
      </c>
      <c r="F1017" t="s">
        <v>4</v>
      </c>
      <c r="G1017">
        <f>IFERROR(VLOOKUP(Logs_reseau[[#This Row],[Cell_ID]],'[1]Registre_Maintenance_combine '!A:C,3,FALSE),"Non trouvé")</f>
        <v>-4.5603610000000003</v>
      </c>
      <c r="H1017">
        <f>IFERROR(VLOOKUP(Logs_reseau[[#This Row],[Cell_ID]],'[1]Registre_Maintenance_combine '!A:D,4,FALSE),"Non trouvé")</f>
        <v>24.113918999999999</v>
      </c>
      <c r="I1017" t="str">
        <f>IFERROR(VLOOKUP(Logs_reseau[[#This Row],[Cell_ID]],'[1]Registre_Maintenance_combine '!A:E,5,FALSE),"Non trouvé")</f>
        <v>5G</v>
      </c>
      <c r="J1017" t="str">
        <f>IFERROR(VLOOKUP(Logs_reseau[[#This Row],[Cell_ID]],'[1]Registre_Maintenance_combine '!A:F,6,FALSE),"Non trouvé")</f>
        <v>ZTE</v>
      </c>
    </row>
    <row r="1018" spans="1:10" x14ac:dyDescent="0.25">
      <c r="A1018" t="str">
        <f>IFERROR(VLOOKUP(Logs_reseau[[#This Row],[Cell_ID]],'[1]Registre_Maintenance_combine '!A:B,2,FALSE),"Non trouvé")</f>
        <v>Non trouvé</v>
      </c>
      <c r="B1018" t="s">
        <v>335</v>
      </c>
      <c r="C1018" s="3">
        <v>45215.143750000003</v>
      </c>
      <c r="D1018" s="11">
        <f>Logs_reseau[[#This Row],[Duree_Panne_Min]]/1440</f>
        <v>7.4305555555555555E-2</v>
      </c>
      <c r="E1018">
        <v>107</v>
      </c>
      <c r="F1018" t="s">
        <v>2</v>
      </c>
      <c r="G1018" t="str">
        <f>IFERROR(VLOOKUP(Logs_reseau[[#This Row],[Cell_ID]],'[1]Registre_Maintenance_combine '!A:C,3,FALSE),"Non trouvé")</f>
        <v>Non trouvé</v>
      </c>
      <c r="H1018" t="str">
        <f>IFERROR(VLOOKUP(Logs_reseau[[#This Row],[Cell_ID]],'[1]Registre_Maintenance_combine '!A:D,4,FALSE),"Non trouvé")</f>
        <v>Non trouvé</v>
      </c>
      <c r="I1018" t="str">
        <f>IFERROR(VLOOKUP(Logs_reseau[[#This Row],[Cell_ID]],'[1]Registre_Maintenance_combine '!A:E,5,FALSE),"Non trouvé")</f>
        <v>Non trouvé</v>
      </c>
      <c r="J1018" t="str">
        <f>IFERROR(VLOOKUP(Logs_reseau[[#This Row],[Cell_ID]],'[1]Registre_Maintenance_combine '!A:F,6,FALSE),"Non trouvé")</f>
        <v>Non trouvé</v>
      </c>
    </row>
    <row r="1019" spans="1:10" x14ac:dyDescent="0.25">
      <c r="A1019" t="str">
        <f>IFERROR(VLOOKUP(Logs_reseau[[#This Row],[Cell_ID]],'[1]Registre_Maintenance_combine '!A:B,2,FALSE),"Non trouvé")</f>
        <v>Nord-Kivu</v>
      </c>
      <c r="B1019" t="s">
        <v>336</v>
      </c>
      <c r="C1019" s="3">
        <v>45230.486111111109</v>
      </c>
      <c r="D1019" s="11">
        <f>Logs_reseau[[#This Row],[Duree_Panne_Min]]/1440</f>
        <v>2.6388888888888889E-2</v>
      </c>
      <c r="E1019">
        <v>38</v>
      </c>
      <c r="F1019" t="s">
        <v>1</v>
      </c>
      <c r="G1019">
        <f>IFERROR(VLOOKUP(Logs_reseau[[#This Row],[Cell_ID]],'[1]Registre_Maintenance_combine '!A:C,3,FALSE),"Non trouvé")</f>
        <v>-12.336202</v>
      </c>
      <c r="H1019">
        <f>IFERROR(VLOOKUP(Logs_reseau[[#This Row],[Cell_ID]],'[1]Registre_Maintenance_combine '!A:D,4,FALSE),"Non trouvé")</f>
        <v>13.693683999999999</v>
      </c>
      <c r="I1019" t="str">
        <f>IFERROR(VLOOKUP(Logs_reseau[[#This Row],[Cell_ID]],'[1]Registre_Maintenance_combine '!A:E,5,FALSE),"Non trouvé")</f>
        <v>5G</v>
      </c>
      <c r="J1019" t="str">
        <f>IFERROR(VLOOKUP(Logs_reseau[[#This Row],[Cell_ID]],'[1]Registre_Maintenance_combine '!A:F,6,FALSE),"Non trouvé")</f>
        <v>Huawei</v>
      </c>
    </row>
    <row r="1020" spans="1:10" x14ac:dyDescent="0.25">
      <c r="A1020" t="str">
        <f>IFERROR(VLOOKUP(Logs_reseau[[#This Row],[Cell_ID]],'[1]Registre_Maintenance_combine '!A:B,2,FALSE),"Non trouvé")</f>
        <v>Bas-Uele</v>
      </c>
      <c r="B1020" t="s">
        <v>337</v>
      </c>
      <c r="C1020" s="3">
        <v>45228.614583333336</v>
      </c>
      <c r="D1020" s="11">
        <f>Logs_reseau[[#This Row],[Duree_Panne_Min]]/1440</f>
        <v>3.3333333333333333E-2</v>
      </c>
      <c r="E1020">
        <v>48</v>
      </c>
      <c r="F1020" t="s">
        <v>2</v>
      </c>
      <c r="G1020">
        <f>IFERROR(VLOOKUP(Logs_reseau[[#This Row],[Cell_ID]],'[1]Registre_Maintenance_combine '!A:C,3,FALSE),"Non trouvé")</f>
        <v>-3.6945459999999999</v>
      </c>
      <c r="H1020">
        <f>IFERROR(VLOOKUP(Logs_reseau[[#This Row],[Cell_ID]],'[1]Registre_Maintenance_combine '!A:D,4,FALSE),"Non trouvé")</f>
        <v>16.809108999999999</v>
      </c>
      <c r="I1020" t="str">
        <f>IFERROR(VLOOKUP(Logs_reseau[[#This Row],[Cell_ID]],'[1]Registre_Maintenance_combine '!A:E,5,FALSE),"Non trouvé")</f>
        <v>5G</v>
      </c>
      <c r="J1020" t="str">
        <f>IFERROR(VLOOKUP(Logs_reseau[[#This Row],[Cell_ID]],'[1]Registre_Maintenance_combine '!A:F,6,FALSE),"Non trouvé")</f>
        <v>ZTE</v>
      </c>
    </row>
    <row r="1021" spans="1:10" x14ac:dyDescent="0.25">
      <c r="A1021" t="str">
        <f>IFERROR(VLOOKUP(Logs_reseau[[#This Row],[Cell_ID]],'[1]Registre_Maintenance_combine '!A:B,2,FALSE),"Non trouvé")</f>
        <v>Non trouvé</v>
      </c>
      <c r="B1021" t="s">
        <v>338</v>
      </c>
      <c r="C1021" s="3">
        <v>45215.597916666666</v>
      </c>
      <c r="D1021" s="11">
        <f>Logs_reseau[[#This Row],[Duree_Panne_Min]]/1440</f>
        <v>4.8611111111111112E-3</v>
      </c>
      <c r="E1021">
        <v>7</v>
      </c>
      <c r="F1021" t="s">
        <v>4</v>
      </c>
      <c r="G1021" t="str">
        <f>IFERROR(VLOOKUP(Logs_reseau[[#This Row],[Cell_ID]],'[1]Registre_Maintenance_combine '!A:C,3,FALSE),"Non trouvé")</f>
        <v>Non trouvé</v>
      </c>
      <c r="H1021" t="str">
        <f>IFERROR(VLOOKUP(Logs_reseau[[#This Row],[Cell_ID]],'[1]Registre_Maintenance_combine '!A:D,4,FALSE),"Non trouvé")</f>
        <v>Non trouvé</v>
      </c>
      <c r="I1021" t="str">
        <f>IFERROR(VLOOKUP(Logs_reseau[[#This Row],[Cell_ID]],'[1]Registre_Maintenance_combine '!A:E,5,FALSE),"Non trouvé")</f>
        <v>Non trouvé</v>
      </c>
      <c r="J1021" t="str">
        <f>IFERROR(VLOOKUP(Logs_reseau[[#This Row],[Cell_ID]],'[1]Registre_Maintenance_combine '!A:F,6,FALSE),"Non trouvé")</f>
        <v>Non trouvé</v>
      </c>
    </row>
    <row r="1022" spans="1:10" x14ac:dyDescent="0.25">
      <c r="A1022" t="str">
        <f>IFERROR(VLOOKUP(Logs_reseau[[#This Row],[Cell_ID]],'[1]Registre_Maintenance_combine '!A:B,2,FALSE),"Non trouvé")</f>
        <v>Kasai</v>
      </c>
      <c r="B1022" t="s">
        <v>225</v>
      </c>
      <c r="C1022" s="3">
        <v>45205.052777777775</v>
      </c>
      <c r="D1022" s="11">
        <f>Logs_reseau[[#This Row],[Duree_Panne_Min]]/1440</f>
        <v>7.0833333333333331E-2</v>
      </c>
      <c r="E1022">
        <v>102</v>
      </c>
      <c r="F1022" t="s">
        <v>2</v>
      </c>
      <c r="G1022">
        <f>IFERROR(VLOOKUP(Logs_reseau[[#This Row],[Cell_ID]],'[1]Registre_Maintenance_combine '!A:C,3,FALSE),"Non trouvé")</f>
        <v>-4.9789079999999997</v>
      </c>
      <c r="H1022">
        <f>IFERROR(VLOOKUP(Logs_reseau[[#This Row],[Cell_ID]],'[1]Registre_Maintenance_combine '!A:D,4,FALSE),"Non trouvé")</f>
        <v>28.506295000000001</v>
      </c>
      <c r="I1022" t="str">
        <f>IFERROR(VLOOKUP(Logs_reseau[[#This Row],[Cell_ID]],'[1]Registre_Maintenance_combine '!A:E,5,FALSE),"Non trouvé")</f>
        <v>4G</v>
      </c>
      <c r="J1022" t="str">
        <f>IFERROR(VLOOKUP(Logs_reseau[[#This Row],[Cell_ID]],'[1]Registre_Maintenance_combine '!A:F,6,FALSE),"Non trouvé")</f>
        <v>Huawei</v>
      </c>
    </row>
    <row r="1023" spans="1:10" x14ac:dyDescent="0.25">
      <c r="A1023" t="str">
        <f>IFERROR(VLOOKUP(Logs_reseau[[#This Row],[Cell_ID]],'[1]Registre_Maintenance_combine '!A:B,2,FALSE),"Non trouvé")</f>
        <v>Non trouvé</v>
      </c>
      <c r="B1023" t="s">
        <v>120</v>
      </c>
      <c r="C1023" s="3">
        <v>45230.629861111112</v>
      </c>
      <c r="D1023" s="11">
        <f>Logs_reseau[[#This Row],[Duree_Panne_Min]]/1440</f>
        <v>6.3194444444444442E-2</v>
      </c>
      <c r="E1023">
        <v>91</v>
      </c>
      <c r="F1023" t="s">
        <v>1</v>
      </c>
      <c r="G1023" t="str">
        <f>IFERROR(VLOOKUP(Logs_reseau[[#This Row],[Cell_ID]],'[1]Registre_Maintenance_combine '!A:C,3,FALSE),"Non trouvé")</f>
        <v>Non trouvé</v>
      </c>
      <c r="H1023" t="str">
        <f>IFERROR(VLOOKUP(Logs_reseau[[#This Row],[Cell_ID]],'[1]Registre_Maintenance_combine '!A:D,4,FALSE),"Non trouvé")</f>
        <v>Non trouvé</v>
      </c>
      <c r="I1023" t="str">
        <f>IFERROR(VLOOKUP(Logs_reseau[[#This Row],[Cell_ID]],'[1]Registre_Maintenance_combine '!A:E,5,FALSE),"Non trouvé")</f>
        <v>Non trouvé</v>
      </c>
      <c r="J1023" t="str">
        <f>IFERROR(VLOOKUP(Logs_reseau[[#This Row],[Cell_ID]],'[1]Registre_Maintenance_combine '!A:F,6,FALSE),"Non trouvé")</f>
        <v>Non trouvé</v>
      </c>
    </row>
    <row r="1024" spans="1:10" x14ac:dyDescent="0.25">
      <c r="A1024" t="str">
        <f>IFERROR(VLOOKUP(Logs_reseau[[#This Row],[Cell_ID]],'[1]Registre_Maintenance_combine '!A:B,2,FALSE),"Non trouvé")</f>
        <v>Lomami</v>
      </c>
      <c r="B1024" t="s">
        <v>339</v>
      </c>
      <c r="C1024" s="3">
        <v>45226.100694444445</v>
      </c>
      <c r="D1024" s="11">
        <f>Logs_reseau[[#This Row],[Duree_Panne_Min]]/1440</f>
        <v>7.6388888888888895E-2</v>
      </c>
      <c r="E1024">
        <v>110</v>
      </c>
      <c r="F1024" t="s">
        <v>2</v>
      </c>
      <c r="G1024">
        <f>IFERROR(VLOOKUP(Logs_reseau[[#This Row],[Cell_ID]],'[1]Registre_Maintenance_combine '!A:C,3,FALSE),"Non trouvé")</f>
        <v>-2.2681789999999999</v>
      </c>
      <c r="H1024">
        <f>IFERROR(VLOOKUP(Logs_reseau[[#This Row],[Cell_ID]],'[1]Registre_Maintenance_combine '!A:D,4,FALSE),"Non trouvé")</f>
        <v>25.699068</v>
      </c>
      <c r="I1024" t="str">
        <f>IFERROR(VLOOKUP(Logs_reseau[[#This Row],[Cell_ID]],'[1]Registre_Maintenance_combine '!A:E,5,FALSE),"Non trouvé")</f>
        <v>3G</v>
      </c>
      <c r="J1024" t="str">
        <f>IFERROR(VLOOKUP(Logs_reseau[[#This Row],[Cell_ID]],'[1]Registre_Maintenance_combine '!A:F,6,FALSE),"Non trouvé")</f>
        <v>ZTE</v>
      </c>
    </row>
    <row r="1025" spans="1:10" x14ac:dyDescent="0.25">
      <c r="A1025" t="str">
        <f>IFERROR(VLOOKUP(Logs_reseau[[#This Row],[Cell_ID]],'[1]Registre_Maintenance_combine '!A:B,2,FALSE),"Non trouvé")</f>
        <v>Non trouvé</v>
      </c>
      <c r="B1025" t="s">
        <v>340</v>
      </c>
      <c r="C1025" s="3">
        <v>45215.10833333333</v>
      </c>
      <c r="D1025" s="11">
        <f>Logs_reseau[[#This Row],[Duree_Panne_Min]]/1440</f>
        <v>2.7083333333333334E-2</v>
      </c>
      <c r="E1025">
        <v>39</v>
      </c>
      <c r="F1025" t="s">
        <v>4</v>
      </c>
      <c r="G1025" t="str">
        <f>IFERROR(VLOOKUP(Logs_reseau[[#This Row],[Cell_ID]],'[1]Registre_Maintenance_combine '!A:C,3,FALSE),"Non trouvé")</f>
        <v>Non trouvé</v>
      </c>
      <c r="H1025" t="str">
        <f>IFERROR(VLOOKUP(Logs_reseau[[#This Row],[Cell_ID]],'[1]Registre_Maintenance_combine '!A:D,4,FALSE),"Non trouvé")</f>
        <v>Non trouvé</v>
      </c>
      <c r="I1025" t="str">
        <f>IFERROR(VLOOKUP(Logs_reseau[[#This Row],[Cell_ID]],'[1]Registre_Maintenance_combine '!A:E,5,FALSE),"Non trouvé")</f>
        <v>Non trouvé</v>
      </c>
      <c r="J1025" t="str">
        <f>IFERROR(VLOOKUP(Logs_reseau[[#This Row],[Cell_ID]],'[1]Registre_Maintenance_combine '!A:F,6,FALSE),"Non trouvé")</f>
        <v>Non trouvé</v>
      </c>
    </row>
    <row r="1026" spans="1:10" x14ac:dyDescent="0.25">
      <c r="A1026" t="str">
        <f>IFERROR(VLOOKUP(Logs_reseau[[#This Row],[Cell_ID]],'[1]Registre_Maintenance_combine '!A:B,2,FALSE),"Non trouvé")</f>
        <v>Kinshasa</v>
      </c>
      <c r="B1026" t="s">
        <v>341</v>
      </c>
      <c r="C1026" s="3">
        <v>45220.877083333333</v>
      </c>
      <c r="D1026" s="11">
        <f>Logs_reseau[[#This Row],[Duree_Panne_Min]]/1440</f>
        <v>5.4166666666666669E-2</v>
      </c>
      <c r="E1026">
        <v>78</v>
      </c>
      <c r="F1026" t="s">
        <v>1</v>
      </c>
      <c r="G1026">
        <f>IFERROR(VLOOKUP(Logs_reseau[[#This Row],[Cell_ID]],'[1]Registre_Maintenance_combine '!A:C,3,FALSE),"Non trouvé")</f>
        <v>-7.5418399999999997</v>
      </c>
      <c r="H1026">
        <f>IFERROR(VLOOKUP(Logs_reseau[[#This Row],[Cell_ID]],'[1]Registre_Maintenance_combine '!A:D,4,FALSE),"Non trouvé")</f>
        <v>16.931206</v>
      </c>
      <c r="I1026" t="str">
        <f>IFERROR(VLOOKUP(Logs_reseau[[#This Row],[Cell_ID]],'[1]Registre_Maintenance_combine '!A:E,5,FALSE),"Non trouvé")</f>
        <v>3G</v>
      </c>
      <c r="J1026" t="str">
        <f>IFERROR(VLOOKUP(Logs_reseau[[#This Row],[Cell_ID]],'[1]Registre_Maintenance_combine '!A:F,6,FALSE),"Non trouvé")</f>
        <v>Nokia</v>
      </c>
    </row>
    <row r="1027" spans="1:10" x14ac:dyDescent="0.25">
      <c r="A1027" t="str">
        <f>IFERROR(VLOOKUP(Logs_reseau[[#This Row],[Cell_ID]],'[1]Registre_Maintenance_combine '!A:B,2,FALSE),"Non trouvé")</f>
        <v>Non trouvé</v>
      </c>
      <c r="B1027" t="s">
        <v>342</v>
      </c>
      <c r="C1027" s="3">
        <v>45204.20208333333</v>
      </c>
      <c r="D1027" s="11">
        <f>Logs_reseau[[#This Row],[Duree_Panne_Min]]/1440</f>
        <v>6.9444444444444441E-3</v>
      </c>
      <c r="E1027">
        <v>10</v>
      </c>
      <c r="F1027" t="s">
        <v>1</v>
      </c>
      <c r="G1027" t="str">
        <f>IFERROR(VLOOKUP(Logs_reseau[[#This Row],[Cell_ID]],'[1]Registre_Maintenance_combine '!A:C,3,FALSE),"Non trouvé")</f>
        <v>Non trouvé</v>
      </c>
      <c r="H1027" t="str">
        <f>IFERROR(VLOOKUP(Logs_reseau[[#This Row],[Cell_ID]],'[1]Registre_Maintenance_combine '!A:D,4,FALSE),"Non trouvé")</f>
        <v>Non trouvé</v>
      </c>
      <c r="I1027" t="str">
        <f>IFERROR(VLOOKUP(Logs_reseau[[#This Row],[Cell_ID]],'[1]Registre_Maintenance_combine '!A:E,5,FALSE),"Non trouvé")</f>
        <v>Non trouvé</v>
      </c>
      <c r="J1027" t="str">
        <f>IFERROR(VLOOKUP(Logs_reseau[[#This Row],[Cell_ID]],'[1]Registre_Maintenance_combine '!A:F,6,FALSE),"Non trouvé")</f>
        <v>Non trouvé</v>
      </c>
    </row>
    <row r="1028" spans="1:10" x14ac:dyDescent="0.25">
      <c r="A1028" t="str">
        <f>IFERROR(VLOOKUP(Logs_reseau[[#This Row],[Cell_ID]],'[1]Registre_Maintenance_combine '!A:B,2,FALSE),"Non trouvé")</f>
        <v>Kasai-Central</v>
      </c>
      <c r="B1028" t="s">
        <v>343</v>
      </c>
      <c r="C1028" s="3">
        <v>45218.378472222219</v>
      </c>
      <c r="D1028" s="11">
        <f>Logs_reseau[[#This Row],[Duree_Panne_Min]]/1440</f>
        <v>7.0833333333333331E-2</v>
      </c>
      <c r="E1028">
        <v>102</v>
      </c>
      <c r="F1028" t="s">
        <v>1</v>
      </c>
      <c r="G1028">
        <f>IFERROR(VLOOKUP(Logs_reseau[[#This Row],[Cell_ID]],'[1]Registre_Maintenance_combine '!A:C,3,FALSE),"Non trouvé")</f>
        <v>-4.4451280000000004</v>
      </c>
      <c r="H1028">
        <f>IFERROR(VLOOKUP(Logs_reseau[[#This Row],[Cell_ID]],'[1]Registre_Maintenance_combine '!A:D,4,FALSE),"Non trouvé")</f>
        <v>16.536944999999999</v>
      </c>
      <c r="I1028" t="str">
        <f>IFERROR(VLOOKUP(Logs_reseau[[#This Row],[Cell_ID]],'[1]Registre_Maintenance_combine '!A:E,5,FALSE),"Non trouvé")</f>
        <v>4G</v>
      </c>
      <c r="J1028" t="str">
        <f>IFERROR(VLOOKUP(Logs_reseau[[#This Row],[Cell_ID]],'[1]Registre_Maintenance_combine '!A:F,6,FALSE),"Non trouvé")</f>
        <v>Ericsson</v>
      </c>
    </row>
    <row r="1029" spans="1:10" x14ac:dyDescent="0.25">
      <c r="A1029" t="str">
        <f>IFERROR(VLOOKUP(Logs_reseau[[#This Row],[Cell_ID]],'[1]Registre_Maintenance_combine '!A:B,2,FALSE),"Non trouvé")</f>
        <v>Lualaba</v>
      </c>
      <c r="B1029" t="s">
        <v>344</v>
      </c>
      <c r="C1029" s="3">
        <v>45207.149305555555</v>
      </c>
      <c r="D1029" s="11">
        <f>Logs_reseau[[#This Row],[Duree_Panne_Min]]/1440</f>
        <v>7.013888888888889E-2</v>
      </c>
      <c r="E1029">
        <v>101</v>
      </c>
      <c r="F1029" t="s">
        <v>4</v>
      </c>
      <c r="G1029">
        <f>IFERROR(VLOOKUP(Logs_reseau[[#This Row],[Cell_ID]],'[1]Registre_Maintenance_combine '!A:C,3,FALSE),"Non trouvé")</f>
        <v>-10.872631999999999</v>
      </c>
      <c r="H1029">
        <f>IFERROR(VLOOKUP(Logs_reseau[[#This Row],[Cell_ID]],'[1]Registre_Maintenance_combine '!A:D,4,FALSE),"Non trouvé")</f>
        <v>12.773279</v>
      </c>
      <c r="I1029" t="str">
        <f>IFERROR(VLOOKUP(Logs_reseau[[#This Row],[Cell_ID]],'[1]Registre_Maintenance_combine '!A:E,5,FALSE),"Non trouvé")</f>
        <v>3G</v>
      </c>
      <c r="J1029" t="str">
        <f>IFERROR(VLOOKUP(Logs_reseau[[#This Row],[Cell_ID]],'[1]Registre_Maintenance_combine '!A:F,6,FALSE),"Non trouvé")</f>
        <v>ZTE</v>
      </c>
    </row>
    <row r="1030" spans="1:10" x14ac:dyDescent="0.25">
      <c r="A1030" t="str">
        <f>IFERROR(VLOOKUP(Logs_reseau[[#This Row],[Cell_ID]],'[1]Registre_Maintenance_combine '!A:B,2,FALSE),"Non trouvé")</f>
        <v>Mai-Ndombe</v>
      </c>
      <c r="B1030" t="s">
        <v>3</v>
      </c>
      <c r="C1030" s="3">
        <v>45224.568055555559</v>
      </c>
      <c r="D1030" s="11">
        <f>Logs_reseau[[#This Row],[Duree_Panne_Min]]/1440</f>
        <v>1.8749999999999999E-2</v>
      </c>
      <c r="E1030">
        <v>27</v>
      </c>
      <c r="F1030" t="s">
        <v>1</v>
      </c>
      <c r="G1030">
        <f>IFERROR(VLOOKUP(Logs_reseau[[#This Row],[Cell_ID]],'[1]Registre_Maintenance_combine '!A:C,3,FALSE),"Non trouvé")</f>
        <v>-10.442425</v>
      </c>
      <c r="H1030">
        <f>IFERROR(VLOOKUP(Logs_reseau[[#This Row],[Cell_ID]],'[1]Registre_Maintenance_combine '!A:D,4,FALSE),"Non trouvé")</f>
        <v>23.243632000000002</v>
      </c>
      <c r="I1030" t="str">
        <f>IFERROR(VLOOKUP(Logs_reseau[[#This Row],[Cell_ID]],'[1]Registre_Maintenance_combine '!A:E,5,FALSE),"Non trouvé")</f>
        <v>4G</v>
      </c>
      <c r="J1030" t="str">
        <f>IFERROR(VLOOKUP(Logs_reseau[[#This Row],[Cell_ID]],'[1]Registre_Maintenance_combine '!A:F,6,FALSE),"Non trouvé")</f>
        <v>Nokia</v>
      </c>
    </row>
    <row r="1031" spans="1:10" x14ac:dyDescent="0.25">
      <c r="A1031" t="str">
        <f>IFERROR(VLOOKUP(Logs_reseau[[#This Row],[Cell_ID]],'[1]Registre_Maintenance_combine '!A:B,2,FALSE),"Non trouvé")</f>
        <v>Tshuapa</v>
      </c>
      <c r="B1031" t="s">
        <v>345</v>
      </c>
      <c r="C1031" s="3">
        <v>45219.801388888889</v>
      </c>
      <c r="D1031" s="11">
        <f>Logs_reseau[[#This Row],[Duree_Panne_Min]]/1440</f>
        <v>4.5138888888888888E-2</v>
      </c>
      <c r="E1031">
        <v>65</v>
      </c>
      <c r="F1031" t="s">
        <v>2</v>
      </c>
      <c r="G1031">
        <f>IFERROR(VLOOKUP(Logs_reseau[[#This Row],[Cell_ID]],'[1]Registre_Maintenance_combine '!A:C,3,FALSE),"Non trouvé")</f>
        <v>0.52897499999999997</v>
      </c>
      <c r="H1031">
        <f>IFERROR(VLOOKUP(Logs_reseau[[#This Row],[Cell_ID]],'[1]Registre_Maintenance_combine '!A:D,4,FALSE),"Non trouvé")</f>
        <v>13.849651</v>
      </c>
      <c r="I1031" t="str">
        <f>IFERROR(VLOOKUP(Logs_reseau[[#This Row],[Cell_ID]],'[1]Registre_Maintenance_combine '!A:E,5,FALSE),"Non trouvé")</f>
        <v>3G</v>
      </c>
      <c r="J1031" t="str">
        <f>IFERROR(VLOOKUP(Logs_reseau[[#This Row],[Cell_ID]],'[1]Registre_Maintenance_combine '!A:F,6,FALSE),"Non trouvé")</f>
        <v>ZTE</v>
      </c>
    </row>
    <row r="1032" spans="1:10" x14ac:dyDescent="0.25">
      <c r="A1032" t="str">
        <f>IFERROR(VLOOKUP(Logs_reseau[[#This Row],[Cell_ID]],'[1]Registre_Maintenance_combine '!A:B,2,FALSE),"Non trouvé")</f>
        <v>Non trouvé</v>
      </c>
      <c r="B1032" t="s">
        <v>346</v>
      </c>
      <c r="C1032" s="3">
        <v>45224.683333333334</v>
      </c>
      <c r="D1032" s="11">
        <f>Logs_reseau[[#This Row],[Duree_Panne_Min]]/1440</f>
        <v>4.9305555555555554E-2</v>
      </c>
      <c r="E1032">
        <v>71</v>
      </c>
      <c r="F1032" t="s">
        <v>1</v>
      </c>
      <c r="G1032" t="str">
        <f>IFERROR(VLOOKUP(Logs_reseau[[#This Row],[Cell_ID]],'[1]Registre_Maintenance_combine '!A:C,3,FALSE),"Non trouvé")</f>
        <v>Non trouvé</v>
      </c>
      <c r="H1032" t="str">
        <f>IFERROR(VLOOKUP(Logs_reseau[[#This Row],[Cell_ID]],'[1]Registre_Maintenance_combine '!A:D,4,FALSE),"Non trouvé")</f>
        <v>Non trouvé</v>
      </c>
      <c r="I1032" t="str">
        <f>IFERROR(VLOOKUP(Logs_reseau[[#This Row],[Cell_ID]],'[1]Registre_Maintenance_combine '!A:E,5,FALSE),"Non trouvé")</f>
        <v>Non trouvé</v>
      </c>
      <c r="J1032" t="str">
        <f>IFERROR(VLOOKUP(Logs_reseau[[#This Row],[Cell_ID]],'[1]Registre_Maintenance_combine '!A:F,6,FALSE),"Non trouvé")</f>
        <v>Non trouvé</v>
      </c>
    </row>
    <row r="1033" spans="1:10" x14ac:dyDescent="0.25">
      <c r="A1033" t="str">
        <f>IFERROR(VLOOKUP(Logs_reseau[[#This Row],[Cell_ID]],'[1]Registre_Maintenance_combine '!A:B,2,FALSE),"Non trouvé")</f>
        <v>Non trouvé</v>
      </c>
      <c r="B1033" t="s">
        <v>347</v>
      </c>
      <c r="C1033" s="3">
        <v>45214.59652777778</v>
      </c>
      <c r="D1033" s="11">
        <f>Logs_reseau[[#This Row],[Duree_Panne_Min]]/1440</f>
        <v>6.1111111111111109E-2</v>
      </c>
      <c r="E1033">
        <v>88</v>
      </c>
      <c r="F1033" t="s">
        <v>4</v>
      </c>
      <c r="G1033" t="str">
        <f>IFERROR(VLOOKUP(Logs_reseau[[#This Row],[Cell_ID]],'[1]Registre_Maintenance_combine '!A:C,3,FALSE),"Non trouvé")</f>
        <v>Non trouvé</v>
      </c>
      <c r="H1033" t="str">
        <f>IFERROR(VLOOKUP(Logs_reseau[[#This Row],[Cell_ID]],'[1]Registre_Maintenance_combine '!A:D,4,FALSE),"Non trouvé")</f>
        <v>Non trouvé</v>
      </c>
      <c r="I1033" t="str">
        <f>IFERROR(VLOOKUP(Logs_reseau[[#This Row],[Cell_ID]],'[1]Registre_Maintenance_combine '!A:E,5,FALSE),"Non trouvé")</f>
        <v>Non trouvé</v>
      </c>
      <c r="J1033" t="str">
        <f>IFERROR(VLOOKUP(Logs_reseau[[#This Row],[Cell_ID]],'[1]Registre_Maintenance_combine '!A:F,6,FALSE),"Non trouvé")</f>
        <v>Non trouvé</v>
      </c>
    </row>
    <row r="1034" spans="1:10" x14ac:dyDescent="0.25">
      <c r="A1034" t="str">
        <f>IFERROR(VLOOKUP(Logs_reseau[[#This Row],[Cell_ID]],'[1]Registre_Maintenance_combine '!A:B,2,FALSE),"Non trouvé")</f>
        <v>Non trouvé</v>
      </c>
      <c r="B1034" t="s">
        <v>348</v>
      </c>
      <c r="C1034" s="3">
        <v>45227.768750000003</v>
      </c>
      <c r="D1034" s="11">
        <f>Logs_reseau[[#This Row],[Duree_Panne_Min]]/1440</f>
        <v>4.2361111111111113E-2</v>
      </c>
      <c r="E1034">
        <v>61</v>
      </c>
      <c r="F1034" t="s">
        <v>2</v>
      </c>
      <c r="G1034" t="str">
        <f>IFERROR(VLOOKUP(Logs_reseau[[#This Row],[Cell_ID]],'[1]Registre_Maintenance_combine '!A:C,3,FALSE),"Non trouvé")</f>
        <v>Non trouvé</v>
      </c>
      <c r="H1034" t="str">
        <f>IFERROR(VLOOKUP(Logs_reseau[[#This Row],[Cell_ID]],'[1]Registre_Maintenance_combine '!A:D,4,FALSE),"Non trouvé")</f>
        <v>Non trouvé</v>
      </c>
      <c r="I1034" t="str">
        <f>IFERROR(VLOOKUP(Logs_reseau[[#This Row],[Cell_ID]],'[1]Registre_Maintenance_combine '!A:E,5,FALSE),"Non trouvé")</f>
        <v>Non trouvé</v>
      </c>
      <c r="J1034" t="str">
        <f>IFERROR(VLOOKUP(Logs_reseau[[#This Row],[Cell_ID]],'[1]Registre_Maintenance_combine '!A:F,6,FALSE),"Non trouvé")</f>
        <v>Non trouvé</v>
      </c>
    </row>
    <row r="1035" spans="1:10" x14ac:dyDescent="0.25">
      <c r="A1035" t="str">
        <f>IFERROR(VLOOKUP(Logs_reseau[[#This Row],[Cell_ID]],'[1]Registre_Maintenance_combine '!A:B,2,FALSE),"Non trouvé")</f>
        <v>Lualaba</v>
      </c>
      <c r="B1035" t="s">
        <v>349</v>
      </c>
      <c r="C1035" s="3">
        <v>45209.777083333334</v>
      </c>
      <c r="D1035" s="11">
        <f>Logs_reseau[[#This Row],[Duree_Panne_Min]]/1440</f>
        <v>2.7777777777777776E-2</v>
      </c>
      <c r="E1035">
        <v>40</v>
      </c>
      <c r="F1035" t="s">
        <v>4</v>
      </c>
      <c r="G1035">
        <f>IFERROR(VLOOKUP(Logs_reseau[[#This Row],[Cell_ID]],'[1]Registre_Maintenance_combine '!A:C,3,FALSE),"Non trouvé")</f>
        <v>-9.5243310000000001</v>
      </c>
      <c r="H1035">
        <f>IFERROR(VLOOKUP(Logs_reseau[[#This Row],[Cell_ID]],'[1]Registre_Maintenance_combine '!A:D,4,FALSE),"Non trouvé")</f>
        <v>30.541212000000002</v>
      </c>
      <c r="I1035" t="str">
        <f>IFERROR(VLOOKUP(Logs_reseau[[#This Row],[Cell_ID]],'[1]Registre_Maintenance_combine '!A:E,5,FALSE),"Non trouvé")</f>
        <v>3G</v>
      </c>
      <c r="J1035" t="str">
        <f>IFERROR(VLOOKUP(Logs_reseau[[#This Row],[Cell_ID]],'[1]Registre_Maintenance_combine '!A:F,6,FALSE),"Non trouvé")</f>
        <v>Ericsson</v>
      </c>
    </row>
    <row r="1036" spans="1:10" x14ac:dyDescent="0.25">
      <c r="A1036" t="str">
        <f>IFERROR(VLOOKUP(Logs_reseau[[#This Row],[Cell_ID]],'[1]Registre_Maintenance_combine '!A:B,2,FALSE),"Non trouvé")</f>
        <v>Mai-Ndombe</v>
      </c>
      <c r="B1036" t="s">
        <v>57</v>
      </c>
      <c r="C1036" s="3">
        <v>45201.824305555558</v>
      </c>
      <c r="D1036" s="11">
        <f>Logs_reseau[[#This Row],[Duree_Panne_Min]]/1440</f>
        <v>1.9444444444444445E-2</v>
      </c>
      <c r="E1036">
        <v>28</v>
      </c>
      <c r="F1036" t="s">
        <v>2</v>
      </c>
      <c r="G1036">
        <f>IFERROR(VLOOKUP(Logs_reseau[[#This Row],[Cell_ID]],'[1]Registre_Maintenance_combine '!A:C,3,FALSE),"Non trouvé")</f>
        <v>-9.3652280000000001</v>
      </c>
      <c r="H1036">
        <f>IFERROR(VLOOKUP(Logs_reseau[[#This Row],[Cell_ID]],'[1]Registre_Maintenance_combine '!A:D,4,FALSE),"Non trouvé")</f>
        <v>18.674116000000001</v>
      </c>
      <c r="I1036" t="str">
        <f>IFERROR(VLOOKUP(Logs_reseau[[#This Row],[Cell_ID]],'[1]Registre_Maintenance_combine '!A:E,5,FALSE),"Non trouvé")</f>
        <v>4G</v>
      </c>
      <c r="J1036" t="str">
        <f>IFERROR(VLOOKUP(Logs_reseau[[#This Row],[Cell_ID]],'[1]Registre_Maintenance_combine '!A:F,6,FALSE),"Non trouvé")</f>
        <v>Huawei</v>
      </c>
    </row>
    <row r="1037" spans="1:10" x14ac:dyDescent="0.25">
      <c r="A1037" t="str">
        <f>IFERROR(VLOOKUP(Logs_reseau[[#This Row],[Cell_ID]],'[1]Registre_Maintenance_combine '!A:B,2,FALSE),"Non trouvé")</f>
        <v>Non trouvé</v>
      </c>
      <c r="B1037" t="s">
        <v>192</v>
      </c>
      <c r="C1037" s="3">
        <v>45203.277777777781</v>
      </c>
      <c r="D1037" s="11">
        <f>Logs_reseau[[#This Row],[Duree_Panne_Min]]/1440</f>
        <v>5.486111111111111E-2</v>
      </c>
      <c r="E1037">
        <v>79</v>
      </c>
      <c r="F1037" t="s">
        <v>2</v>
      </c>
      <c r="G1037" t="str">
        <f>IFERROR(VLOOKUP(Logs_reseau[[#This Row],[Cell_ID]],'[1]Registre_Maintenance_combine '!A:C,3,FALSE),"Non trouvé")</f>
        <v>Non trouvé</v>
      </c>
      <c r="H1037" t="str">
        <f>IFERROR(VLOOKUP(Logs_reseau[[#This Row],[Cell_ID]],'[1]Registre_Maintenance_combine '!A:D,4,FALSE),"Non trouvé")</f>
        <v>Non trouvé</v>
      </c>
      <c r="I1037" t="str">
        <f>IFERROR(VLOOKUP(Logs_reseau[[#This Row],[Cell_ID]],'[1]Registre_Maintenance_combine '!A:E,5,FALSE),"Non trouvé")</f>
        <v>Non trouvé</v>
      </c>
      <c r="J1037" t="str">
        <f>IFERROR(VLOOKUP(Logs_reseau[[#This Row],[Cell_ID]],'[1]Registre_Maintenance_combine '!A:F,6,FALSE),"Non trouvé")</f>
        <v>Non trouvé</v>
      </c>
    </row>
    <row r="1038" spans="1:10" x14ac:dyDescent="0.25">
      <c r="A1038" t="str">
        <f>IFERROR(VLOOKUP(Logs_reseau[[#This Row],[Cell_ID]],'[1]Registre_Maintenance_combine '!A:B,2,FALSE),"Non trouvé")</f>
        <v>Maniema</v>
      </c>
      <c r="B1038" t="s">
        <v>350</v>
      </c>
      <c r="C1038" s="3">
        <v>45206.362500000003</v>
      </c>
      <c r="D1038" s="11">
        <f>Logs_reseau[[#This Row],[Duree_Panne_Min]]/1440</f>
        <v>4.1666666666666664E-2</v>
      </c>
      <c r="E1038">
        <v>60</v>
      </c>
      <c r="F1038" t="s">
        <v>4</v>
      </c>
      <c r="G1038">
        <f>IFERROR(VLOOKUP(Logs_reseau[[#This Row],[Cell_ID]],'[1]Registre_Maintenance_combine '!A:C,3,FALSE),"Non trouvé")</f>
        <v>-4.2645619999999997</v>
      </c>
      <c r="H1038">
        <f>IFERROR(VLOOKUP(Logs_reseau[[#This Row],[Cell_ID]],'[1]Registre_Maintenance_combine '!A:D,4,FALSE),"Non trouvé")</f>
        <v>18.960726000000001</v>
      </c>
      <c r="I1038" t="str">
        <f>IFERROR(VLOOKUP(Logs_reseau[[#This Row],[Cell_ID]],'[1]Registre_Maintenance_combine '!A:E,5,FALSE),"Non trouvé")</f>
        <v>4G</v>
      </c>
      <c r="J1038" t="str">
        <f>IFERROR(VLOOKUP(Logs_reseau[[#This Row],[Cell_ID]],'[1]Registre_Maintenance_combine '!A:F,6,FALSE),"Non trouvé")</f>
        <v>Huawei</v>
      </c>
    </row>
    <row r="1039" spans="1:10" x14ac:dyDescent="0.25">
      <c r="A1039" t="str">
        <f>IFERROR(VLOOKUP(Logs_reseau[[#This Row],[Cell_ID]],'[1]Registre_Maintenance_combine '!A:B,2,FALSE),"Non trouvé")</f>
        <v>Haut-Lomami</v>
      </c>
      <c r="B1039" t="s">
        <v>351</v>
      </c>
      <c r="C1039" s="3">
        <v>45202.21875</v>
      </c>
      <c r="D1039" s="11">
        <f>Logs_reseau[[#This Row],[Duree_Panne_Min]]/1440</f>
        <v>5.9722222222222225E-2</v>
      </c>
      <c r="E1039">
        <v>86</v>
      </c>
      <c r="F1039" t="s">
        <v>4</v>
      </c>
      <c r="G1039">
        <f>IFERROR(VLOOKUP(Logs_reseau[[#This Row],[Cell_ID]],'[1]Registre_Maintenance_combine '!A:C,3,FALSE),"Non trouvé")</f>
        <v>-12.112682</v>
      </c>
      <c r="H1039">
        <f>IFERROR(VLOOKUP(Logs_reseau[[#This Row],[Cell_ID]],'[1]Registre_Maintenance_combine '!A:D,4,FALSE),"Non trouvé")</f>
        <v>19.972052000000001</v>
      </c>
      <c r="I1039" t="str">
        <f>IFERROR(VLOOKUP(Logs_reseau[[#This Row],[Cell_ID]],'[1]Registre_Maintenance_combine '!A:E,5,FALSE),"Non trouvé")</f>
        <v>4G</v>
      </c>
      <c r="J1039" t="str">
        <f>IFERROR(VLOOKUP(Logs_reseau[[#This Row],[Cell_ID]],'[1]Registre_Maintenance_combine '!A:F,6,FALSE),"Non trouvé")</f>
        <v>Huawei</v>
      </c>
    </row>
    <row r="1040" spans="1:10" x14ac:dyDescent="0.25">
      <c r="A1040" t="str">
        <f>IFERROR(VLOOKUP(Logs_reseau[[#This Row],[Cell_ID]],'[1]Registre_Maintenance_combine '!A:B,2,FALSE),"Non trouvé")</f>
        <v>Non trouvé</v>
      </c>
      <c r="B1040" t="s">
        <v>352</v>
      </c>
      <c r="C1040" s="3">
        <v>45205.711111111108</v>
      </c>
      <c r="D1040" s="11">
        <f>Logs_reseau[[#This Row],[Duree_Panne_Min]]/1440</f>
        <v>7.5694444444444439E-2</v>
      </c>
      <c r="E1040">
        <v>109</v>
      </c>
      <c r="F1040" t="s">
        <v>4</v>
      </c>
      <c r="G1040" t="str">
        <f>IFERROR(VLOOKUP(Logs_reseau[[#This Row],[Cell_ID]],'[1]Registre_Maintenance_combine '!A:C,3,FALSE),"Non trouvé")</f>
        <v>Non trouvé</v>
      </c>
      <c r="H1040" t="str">
        <f>IFERROR(VLOOKUP(Logs_reseau[[#This Row],[Cell_ID]],'[1]Registre_Maintenance_combine '!A:D,4,FALSE),"Non trouvé")</f>
        <v>Non trouvé</v>
      </c>
      <c r="I1040" t="str">
        <f>IFERROR(VLOOKUP(Logs_reseau[[#This Row],[Cell_ID]],'[1]Registre_Maintenance_combine '!A:E,5,FALSE),"Non trouvé")</f>
        <v>Non trouvé</v>
      </c>
      <c r="J1040" t="str">
        <f>IFERROR(VLOOKUP(Logs_reseau[[#This Row],[Cell_ID]],'[1]Registre_Maintenance_combine '!A:F,6,FALSE),"Non trouvé")</f>
        <v>Non trouvé</v>
      </c>
    </row>
    <row r="1041" spans="1:10" x14ac:dyDescent="0.25">
      <c r="A1041" t="str">
        <f>IFERROR(VLOOKUP(Logs_reseau[[#This Row],[Cell_ID]],'[1]Registre_Maintenance_combine '!A:B,2,FALSE),"Non trouvé")</f>
        <v>Bas-Uele</v>
      </c>
      <c r="B1041" t="s">
        <v>353</v>
      </c>
      <c r="C1041" s="3">
        <v>45205.018055555556</v>
      </c>
      <c r="D1041" s="11">
        <f>Logs_reseau[[#This Row],[Duree_Panne_Min]]/1440</f>
        <v>4.6527777777777779E-2</v>
      </c>
      <c r="E1041">
        <v>67</v>
      </c>
      <c r="F1041" t="s">
        <v>4</v>
      </c>
      <c r="G1041">
        <f>IFERROR(VLOOKUP(Logs_reseau[[#This Row],[Cell_ID]],'[1]Registre_Maintenance_combine '!A:C,3,FALSE),"Non trouvé")</f>
        <v>1.5278670000000001</v>
      </c>
      <c r="H1041">
        <f>IFERROR(VLOOKUP(Logs_reseau[[#This Row],[Cell_ID]],'[1]Registre_Maintenance_combine '!A:D,4,FALSE),"Non trouvé")</f>
        <v>13.899388999999999</v>
      </c>
      <c r="I1041" t="str">
        <f>IFERROR(VLOOKUP(Logs_reseau[[#This Row],[Cell_ID]],'[1]Registre_Maintenance_combine '!A:E,5,FALSE),"Non trouvé")</f>
        <v>3G</v>
      </c>
      <c r="J1041" t="str">
        <f>IFERROR(VLOOKUP(Logs_reseau[[#This Row],[Cell_ID]],'[1]Registre_Maintenance_combine '!A:F,6,FALSE),"Non trouvé")</f>
        <v>Huawei</v>
      </c>
    </row>
    <row r="1042" spans="1:10" x14ac:dyDescent="0.25">
      <c r="A1042" t="str">
        <f>IFERROR(VLOOKUP(Logs_reseau[[#This Row],[Cell_ID]],'[1]Registre_Maintenance_combine '!A:B,2,FALSE),"Non trouvé")</f>
        <v>Haut-Lomami</v>
      </c>
      <c r="B1042" t="s">
        <v>354</v>
      </c>
      <c r="C1042" s="3">
        <v>45214.943055555559</v>
      </c>
      <c r="D1042" s="11">
        <f>Logs_reseau[[#This Row],[Duree_Panne_Min]]/1440</f>
        <v>1.1111111111111112E-2</v>
      </c>
      <c r="E1042">
        <v>16</v>
      </c>
      <c r="F1042" t="s">
        <v>1</v>
      </c>
      <c r="G1042">
        <f>IFERROR(VLOOKUP(Logs_reseau[[#This Row],[Cell_ID]],'[1]Registre_Maintenance_combine '!A:C,3,FALSE),"Non trouvé")</f>
        <v>1.210869</v>
      </c>
      <c r="H1042">
        <f>IFERROR(VLOOKUP(Logs_reseau[[#This Row],[Cell_ID]],'[1]Registre_Maintenance_combine '!A:D,4,FALSE),"Non trouvé")</f>
        <v>25.598741</v>
      </c>
      <c r="I1042" t="str">
        <f>IFERROR(VLOOKUP(Logs_reseau[[#This Row],[Cell_ID]],'[1]Registre_Maintenance_combine '!A:E,5,FALSE),"Non trouvé")</f>
        <v>4G</v>
      </c>
      <c r="J1042" t="str">
        <f>IFERROR(VLOOKUP(Logs_reseau[[#This Row],[Cell_ID]],'[1]Registre_Maintenance_combine '!A:F,6,FALSE),"Non trouvé")</f>
        <v>Ericsson</v>
      </c>
    </row>
    <row r="1043" spans="1:10" x14ac:dyDescent="0.25">
      <c r="A1043" t="str">
        <f>IFERROR(VLOOKUP(Logs_reseau[[#This Row],[Cell_ID]],'[1]Registre_Maintenance_combine '!A:B,2,FALSE),"Non trouvé")</f>
        <v>Lomami</v>
      </c>
      <c r="B1043" t="s">
        <v>212</v>
      </c>
      <c r="C1043" s="3">
        <v>45215.376388888886</v>
      </c>
      <c r="D1043" s="11">
        <f>Logs_reseau[[#This Row],[Duree_Panne_Min]]/1440</f>
        <v>4.5138888888888888E-2</v>
      </c>
      <c r="E1043">
        <v>65</v>
      </c>
      <c r="F1043" t="s">
        <v>4</v>
      </c>
      <c r="G1043">
        <f>IFERROR(VLOOKUP(Logs_reseau[[#This Row],[Cell_ID]],'[1]Registre_Maintenance_combine '!A:C,3,FALSE),"Non trouvé")</f>
        <v>-2.2371569999999998</v>
      </c>
      <c r="H1043">
        <f>IFERROR(VLOOKUP(Logs_reseau[[#This Row],[Cell_ID]],'[1]Registre_Maintenance_combine '!A:D,4,FALSE),"Non trouvé")</f>
        <v>25.926188</v>
      </c>
      <c r="I1043" t="str">
        <f>IFERROR(VLOOKUP(Logs_reseau[[#This Row],[Cell_ID]],'[1]Registre_Maintenance_combine '!A:E,5,FALSE),"Non trouvé")</f>
        <v>3G</v>
      </c>
      <c r="J1043" t="str">
        <f>IFERROR(VLOOKUP(Logs_reseau[[#This Row],[Cell_ID]],'[1]Registre_Maintenance_combine '!A:F,6,FALSE),"Non trouvé")</f>
        <v>Nokia</v>
      </c>
    </row>
    <row r="1044" spans="1:10" x14ac:dyDescent="0.25">
      <c r="A1044" t="str">
        <f>IFERROR(VLOOKUP(Logs_reseau[[#This Row],[Cell_ID]],'[1]Registre_Maintenance_combine '!A:B,2,FALSE),"Non trouvé")</f>
        <v>Non trouvé</v>
      </c>
      <c r="B1044" t="s">
        <v>252</v>
      </c>
      <c r="C1044" s="3">
        <v>45207.40625</v>
      </c>
      <c r="D1044" s="11">
        <f>Logs_reseau[[#This Row],[Duree_Panne_Min]]/1440</f>
        <v>3.4027777777777775E-2</v>
      </c>
      <c r="E1044">
        <v>49</v>
      </c>
      <c r="F1044" t="s">
        <v>2</v>
      </c>
      <c r="G1044" t="str">
        <f>IFERROR(VLOOKUP(Logs_reseau[[#This Row],[Cell_ID]],'[1]Registre_Maintenance_combine '!A:C,3,FALSE),"Non trouvé")</f>
        <v>Non trouvé</v>
      </c>
      <c r="H1044" t="str">
        <f>IFERROR(VLOOKUP(Logs_reseau[[#This Row],[Cell_ID]],'[1]Registre_Maintenance_combine '!A:D,4,FALSE),"Non trouvé")</f>
        <v>Non trouvé</v>
      </c>
      <c r="I1044" t="str">
        <f>IFERROR(VLOOKUP(Logs_reseau[[#This Row],[Cell_ID]],'[1]Registre_Maintenance_combine '!A:E,5,FALSE),"Non trouvé")</f>
        <v>Non trouvé</v>
      </c>
      <c r="J1044" t="str">
        <f>IFERROR(VLOOKUP(Logs_reseau[[#This Row],[Cell_ID]],'[1]Registre_Maintenance_combine '!A:F,6,FALSE),"Non trouvé")</f>
        <v>Non trouvé</v>
      </c>
    </row>
    <row r="1045" spans="1:10" x14ac:dyDescent="0.25">
      <c r="A1045" t="str">
        <f>IFERROR(VLOOKUP(Logs_reseau[[#This Row],[Cell_ID]],'[1]Registre_Maintenance_combine '!A:B,2,FALSE),"Non trouvé")</f>
        <v>Non trouvé</v>
      </c>
      <c r="B1045" t="s">
        <v>355</v>
      </c>
      <c r="C1045" s="3">
        <v>45209.954861111109</v>
      </c>
      <c r="D1045" s="11">
        <f>Logs_reseau[[#This Row],[Duree_Panne_Min]]/1440</f>
        <v>3.9583333333333331E-2</v>
      </c>
      <c r="E1045">
        <v>57</v>
      </c>
      <c r="F1045" t="s">
        <v>1</v>
      </c>
      <c r="G1045" t="str">
        <f>IFERROR(VLOOKUP(Logs_reseau[[#This Row],[Cell_ID]],'[1]Registre_Maintenance_combine '!A:C,3,FALSE),"Non trouvé")</f>
        <v>Non trouvé</v>
      </c>
      <c r="H1045" t="str">
        <f>IFERROR(VLOOKUP(Logs_reseau[[#This Row],[Cell_ID]],'[1]Registre_Maintenance_combine '!A:D,4,FALSE),"Non trouvé")</f>
        <v>Non trouvé</v>
      </c>
      <c r="I1045" t="str">
        <f>IFERROR(VLOOKUP(Logs_reseau[[#This Row],[Cell_ID]],'[1]Registre_Maintenance_combine '!A:E,5,FALSE),"Non trouvé")</f>
        <v>Non trouvé</v>
      </c>
      <c r="J1045" t="str">
        <f>IFERROR(VLOOKUP(Logs_reseau[[#This Row],[Cell_ID]],'[1]Registre_Maintenance_combine '!A:F,6,FALSE),"Non trouvé")</f>
        <v>Non trouvé</v>
      </c>
    </row>
    <row r="1046" spans="1:10" x14ac:dyDescent="0.25">
      <c r="A1046" t="str">
        <f>IFERROR(VLOOKUP(Logs_reseau[[#This Row],[Cell_ID]],'[1]Registre_Maintenance_combine '!A:B,2,FALSE),"Non trouvé")</f>
        <v>Non trouvé</v>
      </c>
      <c r="B1046" t="s">
        <v>54</v>
      </c>
      <c r="C1046" s="3">
        <v>45214.113194444442</v>
      </c>
      <c r="D1046" s="11">
        <f>Logs_reseau[[#This Row],[Duree_Panne_Min]]/1440</f>
        <v>3.2638888888888891E-2</v>
      </c>
      <c r="E1046">
        <v>47</v>
      </c>
      <c r="F1046" t="s">
        <v>4</v>
      </c>
      <c r="G1046" t="str">
        <f>IFERROR(VLOOKUP(Logs_reseau[[#This Row],[Cell_ID]],'[1]Registre_Maintenance_combine '!A:C,3,FALSE),"Non trouvé")</f>
        <v>Non trouvé</v>
      </c>
      <c r="H1046" t="str">
        <f>IFERROR(VLOOKUP(Logs_reseau[[#This Row],[Cell_ID]],'[1]Registre_Maintenance_combine '!A:D,4,FALSE),"Non trouvé")</f>
        <v>Non trouvé</v>
      </c>
      <c r="I1046" t="str">
        <f>IFERROR(VLOOKUP(Logs_reseau[[#This Row],[Cell_ID]],'[1]Registre_Maintenance_combine '!A:E,5,FALSE),"Non trouvé")</f>
        <v>Non trouvé</v>
      </c>
      <c r="J1046" t="str">
        <f>IFERROR(VLOOKUP(Logs_reseau[[#This Row],[Cell_ID]],'[1]Registre_Maintenance_combine '!A:F,6,FALSE),"Non trouvé")</f>
        <v>Non trouvé</v>
      </c>
    </row>
    <row r="1047" spans="1:10" x14ac:dyDescent="0.25">
      <c r="A1047" t="str">
        <f>IFERROR(VLOOKUP(Logs_reseau[[#This Row],[Cell_ID]],'[1]Registre_Maintenance_combine '!A:B,2,FALSE),"Non trouvé")</f>
        <v>Tanganyika</v>
      </c>
      <c r="B1047" t="s">
        <v>356</v>
      </c>
      <c r="C1047" s="3">
        <v>45207.368055555555</v>
      </c>
      <c r="D1047" s="11">
        <f>Logs_reseau[[#This Row],[Duree_Panne_Min]]/1440</f>
        <v>3.1944444444444442E-2</v>
      </c>
      <c r="E1047">
        <v>46</v>
      </c>
      <c r="F1047" t="s">
        <v>1</v>
      </c>
      <c r="G1047">
        <f>IFERROR(VLOOKUP(Logs_reseau[[#This Row],[Cell_ID]],'[1]Registre_Maintenance_combine '!A:C,3,FALSE),"Non trouvé")</f>
        <v>-10.481026999999999</v>
      </c>
      <c r="H1047">
        <f>IFERROR(VLOOKUP(Logs_reseau[[#This Row],[Cell_ID]],'[1]Registre_Maintenance_combine '!A:D,4,FALSE),"Non trouvé")</f>
        <v>18.160464000000001</v>
      </c>
      <c r="I1047" t="str">
        <f>IFERROR(VLOOKUP(Logs_reseau[[#This Row],[Cell_ID]],'[1]Registre_Maintenance_combine '!A:E,5,FALSE),"Non trouvé")</f>
        <v>5G</v>
      </c>
      <c r="J1047" t="str">
        <f>IFERROR(VLOOKUP(Logs_reseau[[#This Row],[Cell_ID]],'[1]Registre_Maintenance_combine '!A:F,6,FALSE),"Non trouvé")</f>
        <v>Huawei</v>
      </c>
    </row>
    <row r="1048" spans="1:10" x14ac:dyDescent="0.25">
      <c r="A1048" t="str">
        <f>IFERROR(VLOOKUP(Logs_reseau[[#This Row],[Cell_ID]],'[1]Registre_Maintenance_combine '!A:B,2,FALSE),"Non trouvé")</f>
        <v>Non trouvé</v>
      </c>
      <c r="B1048" t="s">
        <v>357</v>
      </c>
      <c r="C1048" s="3">
        <v>45225.859027777777</v>
      </c>
      <c r="D1048" s="11">
        <f>Logs_reseau[[#This Row],[Duree_Panne_Min]]/1440</f>
        <v>6.25E-2</v>
      </c>
      <c r="E1048">
        <v>90</v>
      </c>
      <c r="F1048" t="s">
        <v>2</v>
      </c>
      <c r="G1048" t="str">
        <f>IFERROR(VLOOKUP(Logs_reseau[[#This Row],[Cell_ID]],'[1]Registre_Maintenance_combine '!A:C,3,FALSE),"Non trouvé")</f>
        <v>Non trouvé</v>
      </c>
      <c r="H1048" t="str">
        <f>IFERROR(VLOOKUP(Logs_reseau[[#This Row],[Cell_ID]],'[1]Registre_Maintenance_combine '!A:D,4,FALSE),"Non trouvé")</f>
        <v>Non trouvé</v>
      </c>
      <c r="I1048" t="str">
        <f>IFERROR(VLOOKUP(Logs_reseau[[#This Row],[Cell_ID]],'[1]Registre_Maintenance_combine '!A:E,5,FALSE),"Non trouvé")</f>
        <v>Non trouvé</v>
      </c>
      <c r="J1048" t="str">
        <f>IFERROR(VLOOKUP(Logs_reseau[[#This Row],[Cell_ID]],'[1]Registre_Maintenance_combine '!A:F,6,FALSE),"Non trouvé")</f>
        <v>Non trouvé</v>
      </c>
    </row>
    <row r="1049" spans="1:10" x14ac:dyDescent="0.25">
      <c r="A1049" t="str">
        <f>IFERROR(VLOOKUP(Logs_reseau[[#This Row],[Cell_ID]],'[1]Registre_Maintenance_combine '!A:B,2,FALSE),"Non trouvé")</f>
        <v>Nord-Kivu</v>
      </c>
      <c r="B1049" t="s">
        <v>358</v>
      </c>
      <c r="C1049" s="3">
        <v>45221.268750000003</v>
      </c>
      <c r="D1049" s="11">
        <f>Logs_reseau[[#This Row],[Duree_Panne_Min]]/1440</f>
        <v>1.2500000000000001E-2</v>
      </c>
      <c r="E1049">
        <v>18</v>
      </c>
      <c r="F1049" t="s">
        <v>2</v>
      </c>
      <c r="G1049">
        <f>IFERROR(VLOOKUP(Logs_reseau[[#This Row],[Cell_ID]],'[1]Registre_Maintenance_combine '!A:C,3,FALSE),"Non trouvé")</f>
        <v>-1.8555980000000001</v>
      </c>
      <c r="H1049">
        <f>IFERROR(VLOOKUP(Logs_reseau[[#This Row],[Cell_ID]],'[1]Registre_Maintenance_combine '!A:D,4,FALSE),"Non trouvé")</f>
        <v>30.421918000000002</v>
      </c>
      <c r="I1049" t="str">
        <f>IFERROR(VLOOKUP(Logs_reseau[[#This Row],[Cell_ID]],'[1]Registre_Maintenance_combine '!A:E,5,FALSE),"Non trouvé")</f>
        <v>3G</v>
      </c>
      <c r="J1049" t="str">
        <f>IFERROR(VLOOKUP(Logs_reseau[[#This Row],[Cell_ID]],'[1]Registre_Maintenance_combine '!A:F,6,FALSE),"Non trouvé")</f>
        <v>ZTE</v>
      </c>
    </row>
    <row r="1050" spans="1:10" x14ac:dyDescent="0.25">
      <c r="A1050" t="str">
        <f>IFERROR(VLOOKUP(Logs_reseau[[#This Row],[Cell_ID]],'[1]Registre_Maintenance_combine '!A:B,2,FALSE),"Non trouvé")</f>
        <v>Non trouvé</v>
      </c>
      <c r="B1050" t="s">
        <v>136</v>
      </c>
      <c r="C1050" s="3">
        <v>45203.718055555553</v>
      </c>
      <c r="D1050" s="11">
        <f>Logs_reseau[[#This Row],[Duree_Panne_Min]]/1440</f>
        <v>7.9166666666666663E-2</v>
      </c>
      <c r="E1050">
        <v>114</v>
      </c>
      <c r="F1050" t="s">
        <v>2</v>
      </c>
      <c r="G1050" t="str">
        <f>IFERROR(VLOOKUP(Logs_reseau[[#This Row],[Cell_ID]],'[1]Registre_Maintenance_combine '!A:C,3,FALSE),"Non trouvé")</f>
        <v>Non trouvé</v>
      </c>
      <c r="H1050" t="str">
        <f>IFERROR(VLOOKUP(Logs_reseau[[#This Row],[Cell_ID]],'[1]Registre_Maintenance_combine '!A:D,4,FALSE),"Non trouvé")</f>
        <v>Non trouvé</v>
      </c>
      <c r="I1050" t="str">
        <f>IFERROR(VLOOKUP(Logs_reseau[[#This Row],[Cell_ID]],'[1]Registre_Maintenance_combine '!A:E,5,FALSE),"Non trouvé")</f>
        <v>Non trouvé</v>
      </c>
      <c r="J1050" t="str">
        <f>IFERROR(VLOOKUP(Logs_reseau[[#This Row],[Cell_ID]],'[1]Registre_Maintenance_combine '!A:F,6,FALSE),"Non trouvé")</f>
        <v>Non trouvé</v>
      </c>
    </row>
    <row r="1051" spans="1:10" x14ac:dyDescent="0.25">
      <c r="A1051" t="str">
        <f>IFERROR(VLOOKUP(Logs_reseau[[#This Row],[Cell_ID]],'[1]Registre_Maintenance_combine '!A:B,2,FALSE),"Non trouvé")</f>
        <v>Equateur</v>
      </c>
      <c r="B1051" t="s">
        <v>359</v>
      </c>
      <c r="C1051" s="3">
        <v>45220.206944444442</v>
      </c>
      <c r="D1051" s="11">
        <f>Logs_reseau[[#This Row],[Duree_Panne_Min]]/1440</f>
        <v>1.7361111111111112E-2</v>
      </c>
      <c r="E1051">
        <v>25</v>
      </c>
      <c r="F1051" t="s">
        <v>1</v>
      </c>
      <c r="G1051">
        <f>IFERROR(VLOOKUP(Logs_reseau[[#This Row],[Cell_ID]],'[1]Registre_Maintenance_combine '!A:C,3,FALSE),"Non trouvé")</f>
        <v>3.3289240000000002</v>
      </c>
      <c r="H1051">
        <f>IFERROR(VLOOKUP(Logs_reseau[[#This Row],[Cell_ID]],'[1]Registre_Maintenance_combine '!A:D,4,FALSE),"Non trouvé")</f>
        <v>24.412261000000001</v>
      </c>
      <c r="I1051" t="str">
        <f>IFERROR(VLOOKUP(Logs_reseau[[#This Row],[Cell_ID]],'[1]Registre_Maintenance_combine '!A:E,5,FALSE),"Non trouvé")</f>
        <v>5G</v>
      </c>
      <c r="J1051" t="str">
        <f>IFERROR(VLOOKUP(Logs_reseau[[#This Row],[Cell_ID]],'[1]Registre_Maintenance_combine '!A:F,6,FALSE),"Non trouvé")</f>
        <v>Nokia</v>
      </c>
    </row>
    <row r="1052" spans="1:10" x14ac:dyDescent="0.25">
      <c r="A1052" t="str">
        <f>IFERROR(VLOOKUP(Logs_reseau[[#This Row],[Cell_ID]],'[1]Registre_Maintenance_combine '!A:B,2,FALSE),"Non trouvé")</f>
        <v>Kasai</v>
      </c>
      <c r="B1052" t="s">
        <v>360</v>
      </c>
      <c r="C1052" s="3">
        <v>45208.169444444444</v>
      </c>
      <c r="D1052" s="11">
        <f>Logs_reseau[[#This Row],[Duree_Panne_Min]]/1440</f>
        <v>3.2638888888888891E-2</v>
      </c>
      <c r="E1052">
        <v>47</v>
      </c>
      <c r="F1052" t="s">
        <v>1</v>
      </c>
      <c r="G1052">
        <f>IFERROR(VLOOKUP(Logs_reseau[[#This Row],[Cell_ID]],'[1]Registre_Maintenance_combine '!A:C,3,FALSE),"Non trouvé")</f>
        <v>-4.351254</v>
      </c>
      <c r="H1052">
        <f>IFERROR(VLOOKUP(Logs_reseau[[#This Row],[Cell_ID]],'[1]Registre_Maintenance_combine '!A:D,4,FALSE),"Non trouvé")</f>
        <v>30.097408999999999</v>
      </c>
      <c r="I1052" t="str">
        <f>IFERROR(VLOOKUP(Logs_reseau[[#This Row],[Cell_ID]],'[1]Registre_Maintenance_combine '!A:E,5,FALSE),"Non trouvé")</f>
        <v>5G</v>
      </c>
      <c r="J1052" t="str">
        <f>IFERROR(VLOOKUP(Logs_reseau[[#This Row],[Cell_ID]],'[1]Registre_Maintenance_combine '!A:F,6,FALSE),"Non trouvé")</f>
        <v>Nokia</v>
      </c>
    </row>
    <row r="1053" spans="1:10" x14ac:dyDescent="0.25">
      <c r="A1053" t="str">
        <f>IFERROR(VLOOKUP(Logs_reseau[[#This Row],[Cell_ID]],'[1]Registre_Maintenance_combine '!A:B,2,FALSE),"Non trouvé")</f>
        <v>Non trouvé</v>
      </c>
      <c r="B1053" t="s">
        <v>361</v>
      </c>
      <c r="C1053" s="3">
        <v>45201.243055555555</v>
      </c>
      <c r="D1053" s="11">
        <f>Logs_reseau[[#This Row],[Duree_Panne_Min]]/1440</f>
        <v>3.9583333333333331E-2</v>
      </c>
      <c r="E1053">
        <v>57</v>
      </c>
      <c r="F1053" t="s">
        <v>4</v>
      </c>
      <c r="G1053" t="str">
        <f>IFERROR(VLOOKUP(Logs_reseau[[#This Row],[Cell_ID]],'[1]Registre_Maintenance_combine '!A:C,3,FALSE),"Non trouvé")</f>
        <v>Non trouvé</v>
      </c>
      <c r="H1053" t="str">
        <f>IFERROR(VLOOKUP(Logs_reseau[[#This Row],[Cell_ID]],'[1]Registre_Maintenance_combine '!A:D,4,FALSE),"Non trouvé")</f>
        <v>Non trouvé</v>
      </c>
      <c r="I1053" t="str">
        <f>IFERROR(VLOOKUP(Logs_reseau[[#This Row],[Cell_ID]],'[1]Registre_Maintenance_combine '!A:E,5,FALSE),"Non trouvé")</f>
        <v>Non trouvé</v>
      </c>
      <c r="J1053" t="str">
        <f>IFERROR(VLOOKUP(Logs_reseau[[#This Row],[Cell_ID]],'[1]Registre_Maintenance_combine '!A:F,6,FALSE),"Non trouvé")</f>
        <v>Non trouvé</v>
      </c>
    </row>
    <row r="1054" spans="1:10" x14ac:dyDescent="0.25">
      <c r="A1054" t="str">
        <f>IFERROR(VLOOKUP(Logs_reseau[[#This Row],[Cell_ID]],'[1]Registre_Maintenance_combine '!A:B,2,FALSE),"Non trouvé")</f>
        <v>Kasai-Central</v>
      </c>
      <c r="B1054" t="s">
        <v>304</v>
      </c>
      <c r="C1054" s="3">
        <v>45209.824305555558</v>
      </c>
      <c r="D1054" s="11">
        <f>Logs_reseau[[#This Row],[Duree_Panne_Min]]/1440</f>
        <v>6.458333333333334E-2</v>
      </c>
      <c r="E1054">
        <v>93</v>
      </c>
      <c r="F1054" t="s">
        <v>4</v>
      </c>
      <c r="G1054">
        <f>IFERROR(VLOOKUP(Logs_reseau[[#This Row],[Cell_ID]],'[1]Registre_Maintenance_combine '!A:C,3,FALSE),"Non trouvé")</f>
        <v>-10.414493</v>
      </c>
      <c r="H1054">
        <f>IFERROR(VLOOKUP(Logs_reseau[[#This Row],[Cell_ID]],'[1]Registre_Maintenance_combine '!A:D,4,FALSE),"Non trouvé")</f>
        <v>12.333356999999999</v>
      </c>
      <c r="I1054" t="str">
        <f>IFERROR(VLOOKUP(Logs_reseau[[#This Row],[Cell_ID]],'[1]Registre_Maintenance_combine '!A:E,5,FALSE),"Non trouvé")</f>
        <v>3G</v>
      </c>
      <c r="J1054" t="str">
        <f>IFERROR(VLOOKUP(Logs_reseau[[#This Row],[Cell_ID]],'[1]Registre_Maintenance_combine '!A:F,6,FALSE),"Non trouvé")</f>
        <v>Ericsson</v>
      </c>
    </row>
    <row r="1055" spans="1:10" x14ac:dyDescent="0.25">
      <c r="A1055" t="str">
        <f>IFERROR(VLOOKUP(Logs_reseau[[#This Row],[Cell_ID]],'[1]Registre_Maintenance_combine '!A:B,2,FALSE),"Non trouvé")</f>
        <v>Equateur</v>
      </c>
      <c r="B1055" t="s">
        <v>362</v>
      </c>
      <c r="C1055" s="3">
        <v>45226.790277777778</v>
      </c>
      <c r="D1055" s="11">
        <f>Logs_reseau[[#This Row],[Duree_Panne_Min]]/1440</f>
        <v>4.7222222222222221E-2</v>
      </c>
      <c r="E1055">
        <v>68</v>
      </c>
      <c r="F1055" t="s">
        <v>4</v>
      </c>
      <c r="G1055">
        <f>IFERROR(VLOOKUP(Logs_reseau[[#This Row],[Cell_ID]],'[1]Registre_Maintenance_combine '!A:C,3,FALSE),"Non trouvé")</f>
        <v>-0.37665700000000002</v>
      </c>
      <c r="H1055">
        <f>IFERROR(VLOOKUP(Logs_reseau[[#This Row],[Cell_ID]],'[1]Registre_Maintenance_combine '!A:D,4,FALSE),"Non trouvé")</f>
        <v>25.154807999999999</v>
      </c>
      <c r="I1055" t="str">
        <f>IFERROR(VLOOKUP(Logs_reseau[[#This Row],[Cell_ID]],'[1]Registre_Maintenance_combine '!A:E,5,FALSE),"Non trouvé")</f>
        <v>3G</v>
      </c>
      <c r="J1055" t="str">
        <f>IFERROR(VLOOKUP(Logs_reseau[[#This Row],[Cell_ID]],'[1]Registre_Maintenance_combine '!A:F,6,FALSE),"Non trouvé")</f>
        <v>Nokia</v>
      </c>
    </row>
    <row r="1056" spans="1:10" x14ac:dyDescent="0.25">
      <c r="A1056" t="str">
        <f>IFERROR(VLOOKUP(Logs_reseau[[#This Row],[Cell_ID]],'[1]Registre_Maintenance_combine '!A:B,2,FALSE),"Non trouvé")</f>
        <v>Non trouvé</v>
      </c>
      <c r="B1056" t="s">
        <v>296</v>
      </c>
      <c r="C1056" s="3">
        <v>45209.588194444441</v>
      </c>
      <c r="D1056" s="11">
        <f>Logs_reseau[[#This Row],[Duree_Panne_Min]]/1440</f>
        <v>2.8472222222222222E-2</v>
      </c>
      <c r="E1056">
        <v>41</v>
      </c>
      <c r="F1056" t="s">
        <v>2</v>
      </c>
      <c r="G1056" t="str">
        <f>IFERROR(VLOOKUP(Logs_reseau[[#This Row],[Cell_ID]],'[1]Registre_Maintenance_combine '!A:C,3,FALSE),"Non trouvé")</f>
        <v>Non trouvé</v>
      </c>
      <c r="H1056" t="str">
        <f>IFERROR(VLOOKUP(Logs_reseau[[#This Row],[Cell_ID]],'[1]Registre_Maintenance_combine '!A:D,4,FALSE),"Non trouvé")</f>
        <v>Non trouvé</v>
      </c>
      <c r="I1056" t="str">
        <f>IFERROR(VLOOKUP(Logs_reseau[[#This Row],[Cell_ID]],'[1]Registre_Maintenance_combine '!A:E,5,FALSE),"Non trouvé")</f>
        <v>Non trouvé</v>
      </c>
      <c r="J1056" t="str">
        <f>IFERROR(VLOOKUP(Logs_reseau[[#This Row],[Cell_ID]],'[1]Registre_Maintenance_combine '!A:F,6,FALSE),"Non trouvé")</f>
        <v>Non trouvé</v>
      </c>
    </row>
    <row r="1057" spans="1:10" x14ac:dyDescent="0.25">
      <c r="A1057" t="str">
        <f>IFERROR(VLOOKUP(Logs_reseau[[#This Row],[Cell_ID]],'[1]Registre_Maintenance_combine '!A:B,2,FALSE),"Non trouvé")</f>
        <v>Non trouvé</v>
      </c>
      <c r="B1057" t="s">
        <v>126</v>
      </c>
      <c r="C1057" s="3">
        <v>45214.929861111108</v>
      </c>
      <c r="D1057" s="11">
        <f>Logs_reseau[[#This Row],[Duree_Panne_Min]]/1440</f>
        <v>6.1805555555555558E-2</v>
      </c>
      <c r="E1057">
        <v>89</v>
      </c>
      <c r="F1057" t="s">
        <v>4</v>
      </c>
      <c r="G1057" t="str">
        <f>IFERROR(VLOOKUP(Logs_reseau[[#This Row],[Cell_ID]],'[1]Registre_Maintenance_combine '!A:C,3,FALSE),"Non trouvé")</f>
        <v>Non trouvé</v>
      </c>
      <c r="H1057" t="str">
        <f>IFERROR(VLOOKUP(Logs_reseau[[#This Row],[Cell_ID]],'[1]Registre_Maintenance_combine '!A:D,4,FALSE),"Non trouvé")</f>
        <v>Non trouvé</v>
      </c>
      <c r="I1057" t="str">
        <f>IFERROR(VLOOKUP(Logs_reseau[[#This Row],[Cell_ID]],'[1]Registre_Maintenance_combine '!A:E,5,FALSE),"Non trouvé")</f>
        <v>Non trouvé</v>
      </c>
      <c r="J1057" t="str">
        <f>IFERROR(VLOOKUP(Logs_reseau[[#This Row],[Cell_ID]],'[1]Registre_Maintenance_combine '!A:F,6,FALSE),"Non trouvé")</f>
        <v>Non trouvé</v>
      </c>
    </row>
    <row r="1058" spans="1:10" x14ac:dyDescent="0.25">
      <c r="A1058" t="str">
        <f>IFERROR(VLOOKUP(Logs_reseau[[#This Row],[Cell_ID]],'[1]Registre_Maintenance_combine '!A:B,2,FALSE),"Non trouvé")</f>
        <v>Non trouvé</v>
      </c>
      <c r="B1058" t="s">
        <v>32</v>
      </c>
      <c r="C1058" s="3">
        <v>45222.511805555558</v>
      </c>
      <c r="D1058" s="11">
        <f>Logs_reseau[[#This Row],[Duree_Panne_Min]]/1440</f>
        <v>3.888888888888889E-2</v>
      </c>
      <c r="E1058">
        <v>56</v>
      </c>
      <c r="F1058" t="s">
        <v>1</v>
      </c>
      <c r="G1058" t="str">
        <f>IFERROR(VLOOKUP(Logs_reseau[[#This Row],[Cell_ID]],'[1]Registre_Maintenance_combine '!A:C,3,FALSE),"Non trouvé")</f>
        <v>Non trouvé</v>
      </c>
      <c r="H1058" t="str">
        <f>IFERROR(VLOOKUP(Logs_reseau[[#This Row],[Cell_ID]],'[1]Registre_Maintenance_combine '!A:D,4,FALSE),"Non trouvé")</f>
        <v>Non trouvé</v>
      </c>
      <c r="I1058" t="str">
        <f>IFERROR(VLOOKUP(Logs_reseau[[#This Row],[Cell_ID]],'[1]Registre_Maintenance_combine '!A:E,5,FALSE),"Non trouvé")</f>
        <v>Non trouvé</v>
      </c>
      <c r="J1058" t="str">
        <f>IFERROR(VLOOKUP(Logs_reseau[[#This Row],[Cell_ID]],'[1]Registre_Maintenance_combine '!A:F,6,FALSE),"Non trouvé")</f>
        <v>Non trouvé</v>
      </c>
    </row>
    <row r="1059" spans="1:10" x14ac:dyDescent="0.25">
      <c r="A1059" t="str">
        <f>IFERROR(VLOOKUP(Logs_reseau[[#This Row],[Cell_ID]],'[1]Registre_Maintenance_combine '!A:B,2,FALSE),"Non trouvé")</f>
        <v>Kasai-Oriental</v>
      </c>
      <c r="B1059" t="s">
        <v>363</v>
      </c>
      <c r="C1059" s="3">
        <v>45216.729861111111</v>
      </c>
      <c r="D1059" s="11">
        <f>Logs_reseau[[#This Row],[Duree_Panne_Min]]/1440</f>
        <v>7.5694444444444439E-2</v>
      </c>
      <c r="E1059">
        <v>109</v>
      </c>
      <c r="F1059" t="s">
        <v>4</v>
      </c>
      <c r="G1059">
        <f>IFERROR(VLOOKUP(Logs_reseau[[#This Row],[Cell_ID]],'[1]Registre_Maintenance_combine '!A:C,3,FALSE),"Non trouvé")</f>
        <v>0.639208</v>
      </c>
      <c r="H1059">
        <f>IFERROR(VLOOKUP(Logs_reseau[[#This Row],[Cell_ID]],'[1]Registre_Maintenance_combine '!A:D,4,FALSE),"Non trouvé")</f>
        <v>20.701739</v>
      </c>
      <c r="I1059" t="str">
        <f>IFERROR(VLOOKUP(Logs_reseau[[#This Row],[Cell_ID]],'[1]Registre_Maintenance_combine '!A:E,5,FALSE),"Non trouvé")</f>
        <v>4G</v>
      </c>
      <c r="J1059" t="str">
        <f>IFERROR(VLOOKUP(Logs_reseau[[#This Row],[Cell_ID]],'[1]Registre_Maintenance_combine '!A:F,6,FALSE),"Non trouvé")</f>
        <v>Huawei</v>
      </c>
    </row>
    <row r="1060" spans="1:10" x14ac:dyDescent="0.25">
      <c r="A1060" t="str">
        <f>IFERROR(VLOOKUP(Logs_reseau[[#This Row],[Cell_ID]],'[1]Registre_Maintenance_combine '!A:B,2,FALSE),"Non trouvé")</f>
        <v>Non trouvé</v>
      </c>
      <c r="B1060" t="s">
        <v>364</v>
      </c>
      <c r="C1060" s="3">
        <v>45214.109722222223</v>
      </c>
      <c r="D1060" s="11">
        <f>Logs_reseau[[#This Row],[Duree_Panne_Min]]/1440</f>
        <v>7.0833333333333331E-2</v>
      </c>
      <c r="E1060">
        <v>102</v>
      </c>
      <c r="F1060" t="s">
        <v>2</v>
      </c>
      <c r="G1060" t="str">
        <f>IFERROR(VLOOKUP(Logs_reseau[[#This Row],[Cell_ID]],'[1]Registre_Maintenance_combine '!A:C,3,FALSE),"Non trouvé")</f>
        <v>Non trouvé</v>
      </c>
      <c r="H1060" t="str">
        <f>IFERROR(VLOOKUP(Logs_reseau[[#This Row],[Cell_ID]],'[1]Registre_Maintenance_combine '!A:D,4,FALSE),"Non trouvé")</f>
        <v>Non trouvé</v>
      </c>
      <c r="I1060" t="str">
        <f>IFERROR(VLOOKUP(Logs_reseau[[#This Row],[Cell_ID]],'[1]Registre_Maintenance_combine '!A:E,5,FALSE),"Non trouvé")</f>
        <v>Non trouvé</v>
      </c>
      <c r="J1060" t="str">
        <f>IFERROR(VLOOKUP(Logs_reseau[[#This Row],[Cell_ID]],'[1]Registre_Maintenance_combine '!A:F,6,FALSE),"Non trouvé")</f>
        <v>Non trouvé</v>
      </c>
    </row>
    <row r="1061" spans="1:10" x14ac:dyDescent="0.25">
      <c r="A1061" t="str">
        <f>IFERROR(VLOOKUP(Logs_reseau[[#This Row],[Cell_ID]],'[1]Registre_Maintenance_combine '!A:B,2,FALSE),"Non trouvé")</f>
        <v>Haut-Katanga</v>
      </c>
      <c r="B1061" t="s">
        <v>216</v>
      </c>
      <c r="C1061" s="3">
        <v>45201.574305555558</v>
      </c>
      <c r="D1061" s="11">
        <f>Logs_reseau[[#This Row],[Duree_Panne_Min]]/1440</f>
        <v>5.2083333333333336E-2</v>
      </c>
      <c r="E1061">
        <v>75</v>
      </c>
      <c r="F1061" t="s">
        <v>4</v>
      </c>
      <c r="G1061">
        <f>IFERROR(VLOOKUP(Logs_reseau[[#This Row],[Cell_ID]],'[1]Registre_Maintenance_combine '!A:C,3,FALSE),"Non trouvé")</f>
        <v>0.172153</v>
      </c>
      <c r="H1061">
        <f>IFERROR(VLOOKUP(Logs_reseau[[#This Row],[Cell_ID]],'[1]Registre_Maintenance_combine '!A:D,4,FALSE),"Non trouvé")</f>
        <v>21.091376</v>
      </c>
      <c r="I1061" t="str">
        <f>IFERROR(VLOOKUP(Logs_reseau[[#This Row],[Cell_ID]],'[1]Registre_Maintenance_combine '!A:E,5,FALSE),"Non trouvé")</f>
        <v>3G</v>
      </c>
      <c r="J1061" t="str">
        <f>IFERROR(VLOOKUP(Logs_reseau[[#This Row],[Cell_ID]],'[1]Registre_Maintenance_combine '!A:F,6,FALSE),"Non trouvé")</f>
        <v>Ericsson</v>
      </c>
    </row>
    <row r="1062" spans="1:10" x14ac:dyDescent="0.25">
      <c r="A1062" t="str">
        <f>IFERROR(VLOOKUP(Logs_reseau[[#This Row],[Cell_ID]],'[1]Registre_Maintenance_combine '!A:B,2,FALSE),"Non trouvé")</f>
        <v>Non trouvé</v>
      </c>
      <c r="B1062" t="s">
        <v>365</v>
      </c>
      <c r="C1062" s="3">
        <v>45210.802777777775</v>
      </c>
      <c r="D1062" s="11">
        <f>Logs_reseau[[#This Row],[Duree_Panne_Min]]/1440</f>
        <v>6.2500000000000003E-3</v>
      </c>
      <c r="E1062">
        <v>9</v>
      </c>
      <c r="F1062" t="s">
        <v>2</v>
      </c>
      <c r="G1062" t="str">
        <f>IFERROR(VLOOKUP(Logs_reseau[[#This Row],[Cell_ID]],'[1]Registre_Maintenance_combine '!A:C,3,FALSE),"Non trouvé")</f>
        <v>Non trouvé</v>
      </c>
      <c r="H1062" t="str">
        <f>IFERROR(VLOOKUP(Logs_reseau[[#This Row],[Cell_ID]],'[1]Registre_Maintenance_combine '!A:D,4,FALSE),"Non trouvé")</f>
        <v>Non trouvé</v>
      </c>
      <c r="I1062" t="str">
        <f>IFERROR(VLOOKUP(Logs_reseau[[#This Row],[Cell_ID]],'[1]Registre_Maintenance_combine '!A:E,5,FALSE),"Non trouvé")</f>
        <v>Non trouvé</v>
      </c>
      <c r="J1062" t="str">
        <f>IFERROR(VLOOKUP(Logs_reseau[[#This Row],[Cell_ID]],'[1]Registre_Maintenance_combine '!A:F,6,FALSE),"Non trouvé")</f>
        <v>Non trouvé</v>
      </c>
    </row>
    <row r="1063" spans="1:10" x14ac:dyDescent="0.25">
      <c r="A1063" t="str">
        <f>IFERROR(VLOOKUP(Logs_reseau[[#This Row],[Cell_ID]],'[1]Registre_Maintenance_combine '!A:B,2,FALSE),"Non trouvé")</f>
        <v>Non trouvé</v>
      </c>
      <c r="B1063" t="s">
        <v>232</v>
      </c>
      <c r="C1063" s="3">
        <v>45200.093055555553</v>
      </c>
      <c r="D1063" s="11">
        <f>Logs_reseau[[#This Row],[Duree_Panne_Min]]/1440</f>
        <v>4.3749999999999997E-2</v>
      </c>
      <c r="E1063">
        <v>63</v>
      </c>
      <c r="F1063" t="s">
        <v>2</v>
      </c>
      <c r="G1063" t="str">
        <f>IFERROR(VLOOKUP(Logs_reseau[[#This Row],[Cell_ID]],'[1]Registre_Maintenance_combine '!A:C,3,FALSE),"Non trouvé")</f>
        <v>Non trouvé</v>
      </c>
      <c r="H1063" t="str">
        <f>IFERROR(VLOOKUP(Logs_reseau[[#This Row],[Cell_ID]],'[1]Registre_Maintenance_combine '!A:D,4,FALSE),"Non trouvé")</f>
        <v>Non trouvé</v>
      </c>
      <c r="I1063" t="str">
        <f>IFERROR(VLOOKUP(Logs_reseau[[#This Row],[Cell_ID]],'[1]Registre_Maintenance_combine '!A:E,5,FALSE),"Non trouvé")</f>
        <v>Non trouvé</v>
      </c>
      <c r="J1063" t="str">
        <f>IFERROR(VLOOKUP(Logs_reseau[[#This Row],[Cell_ID]],'[1]Registre_Maintenance_combine '!A:F,6,FALSE),"Non trouvé")</f>
        <v>Non trouvé</v>
      </c>
    </row>
    <row r="1064" spans="1:10" x14ac:dyDescent="0.25">
      <c r="A1064" t="str">
        <f>IFERROR(VLOOKUP(Logs_reseau[[#This Row],[Cell_ID]],'[1]Registre_Maintenance_combine '!A:B,2,FALSE),"Non trouvé")</f>
        <v>Non trouvé</v>
      </c>
      <c r="B1064" t="s">
        <v>366</v>
      </c>
      <c r="C1064" s="3">
        <v>45230.911805555559</v>
      </c>
      <c r="D1064" s="11">
        <f>Logs_reseau[[#This Row],[Duree_Panne_Min]]/1440</f>
        <v>1.1111111111111112E-2</v>
      </c>
      <c r="E1064">
        <v>16</v>
      </c>
      <c r="F1064" t="s">
        <v>2</v>
      </c>
      <c r="G1064" t="str">
        <f>IFERROR(VLOOKUP(Logs_reseau[[#This Row],[Cell_ID]],'[1]Registre_Maintenance_combine '!A:C,3,FALSE),"Non trouvé")</f>
        <v>Non trouvé</v>
      </c>
      <c r="H1064" t="str">
        <f>IFERROR(VLOOKUP(Logs_reseau[[#This Row],[Cell_ID]],'[1]Registre_Maintenance_combine '!A:D,4,FALSE),"Non trouvé")</f>
        <v>Non trouvé</v>
      </c>
      <c r="I1064" t="str">
        <f>IFERROR(VLOOKUP(Logs_reseau[[#This Row],[Cell_ID]],'[1]Registre_Maintenance_combine '!A:E,5,FALSE),"Non trouvé")</f>
        <v>Non trouvé</v>
      </c>
      <c r="J1064" t="str">
        <f>IFERROR(VLOOKUP(Logs_reseau[[#This Row],[Cell_ID]],'[1]Registre_Maintenance_combine '!A:F,6,FALSE),"Non trouvé")</f>
        <v>Non trouvé</v>
      </c>
    </row>
    <row r="1065" spans="1:10" x14ac:dyDescent="0.25">
      <c r="A1065" t="str">
        <f>IFERROR(VLOOKUP(Logs_reseau[[#This Row],[Cell_ID]],'[1]Registre_Maintenance_combine '!A:B,2,FALSE),"Non trouvé")</f>
        <v>Non trouvé</v>
      </c>
      <c r="B1065" t="s">
        <v>162</v>
      </c>
      <c r="C1065" s="3">
        <v>45227.775694444441</v>
      </c>
      <c r="D1065" s="11">
        <f>Logs_reseau[[#This Row],[Duree_Panne_Min]]/1440</f>
        <v>3.125E-2</v>
      </c>
      <c r="E1065">
        <v>45</v>
      </c>
      <c r="F1065" t="s">
        <v>4</v>
      </c>
      <c r="G1065" t="str">
        <f>IFERROR(VLOOKUP(Logs_reseau[[#This Row],[Cell_ID]],'[1]Registre_Maintenance_combine '!A:C,3,FALSE),"Non trouvé")</f>
        <v>Non trouvé</v>
      </c>
      <c r="H1065" t="str">
        <f>IFERROR(VLOOKUP(Logs_reseau[[#This Row],[Cell_ID]],'[1]Registre_Maintenance_combine '!A:D,4,FALSE),"Non trouvé")</f>
        <v>Non trouvé</v>
      </c>
      <c r="I1065" t="str">
        <f>IFERROR(VLOOKUP(Logs_reseau[[#This Row],[Cell_ID]],'[1]Registre_Maintenance_combine '!A:E,5,FALSE),"Non trouvé")</f>
        <v>Non trouvé</v>
      </c>
      <c r="J1065" t="str">
        <f>IFERROR(VLOOKUP(Logs_reseau[[#This Row],[Cell_ID]],'[1]Registre_Maintenance_combine '!A:F,6,FALSE),"Non trouvé")</f>
        <v>Non trouvé</v>
      </c>
    </row>
    <row r="1066" spans="1:10" x14ac:dyDescent="0.25">
      <c r="A1066" t="str">
        <f>IFERROR(VLOOKUP(Logs_reseau[[#This Row],[Cell_ID]],'[1]Registre_Maintenance_combine '!A:B,2,FALSE),"Non trouvé")</f>
        <v>Non trouvé</v>
      </c>
      <c r="B1066" t="s">
        <v>367</v>
      </c>
      <c r="C1066" s="3">
        <v>45212.624305555553</v>
      </c>
      <c r="D1066" s="11">
        <f>Logs_reseau[[#This Row],[Duree_Panne_Min]]/1440</f>
        <v>7.8472222222222221E-2</v>
      </c>
      <c r="E1066">
        <v>113</v>
      </c>
      <c r="F1066" t="s">
        <v>4</v>
      </c>
      <c r="G1066" t="str">
        <f>IFERROR(VLOOKUP(Logs_reseau[[#This Row],[Cell_ID]],'[1]Registre_Maintenance_combine '!A:C,3,FALSE),"Non trouvé")</f>
        <v>Non trouvé</v>
      </c>
      <c r="H1066" t="str">
        <f>IFERROR(VLOOKUP(Logs_reseau[[#This Row],[Cell_ID]],'[1]Registre_Maintenance_combine '!A:D,4,FALSE),"Non trouvé")</f>
        <v>Non trouvé</v>
      </c>
      <c r="I1066" t="str">
        <f>IFERROR(VLOOKUP(Logs_reseau[[#This Row],[Cell_ID]],'[1]Registre_Maintenance_combine '!A:E,5,FALSE),"Non trouvé")</f>
        <v>Non trouvé</v>
      </c>
      <c r="J1066" t="str">
        <f>IFERROR(VLOOKUP(Logs_reseau[[#This Row],[Cell_ID]],'[1]Registre_Maintenance_combine '!A:F,6,FALSE),"Non trouvé")</f>
        <v>Non trouvé</v>
      </c>
    </row>
    <row r="1067" spans="1:10" x14ac:dyDescent="0.25">
      <c r="A1067" t="str">
        <f>IFERROR(VLOOKUP(Logs_reseau[[#This Row],[Cell_ID]],'[1]Registre_Maintenance_combine '!A:B,2,FALSE),"Non trouvé")</f>
        <v>Sud-Ubangi</v>
      </c>
      <c r="B1067" t="s">
        <v>368</v>
      </c>
      <c r="C1067" s="3">
        <v>45210.280555555553</v>
      </c>
      <c r="D1067" s="11">
        <f>Logs_reseau[[#This Row],[Duree_Panne_Min]]/1440</f>
        <v>2.9861111111111113E-2</v>
      </c>
      <c r="E1067">
        <v>43</v>
      </c>
      <c r="F1067" t="s">
        <v>2</v>
      </c>
      <c r="G1067">
        <f>IFERROR(VLOOKUP(Logs_reseau[[#This Row],[Cell_ID]],'[1]Registre_Maintenance_combine '!A:C,3,FALSE),"Non trouvé")</f>
        <v>-12.342053999999999</v>
      </c>
      <c r="H1067">
        <f>IFERROR(VLOOKUP(Logs_reseau[[#This Row],[Cell_ID]],'[1]Registre_Maintenance_combine '!A:D,4,FALSE),"Non trouvé")</f>
        <v>18.756862000000002</v>
      </c>
      <c r="I1067" t="str">
        <f>IFERROR(VLOOKUP(Logs_reseau[[#This Row],[Cell_ID]],'[1]Registre_Maintenance_combine '!A:E,5,FALSE),"Non trouvé")</f>
        <v>3G</v>
      </c>
      <c r="J1067" t="str">
        <f>IFERROR(VLOOKUP(Logs_reseau[[#This Row],[Cell_ID]],'[1]Registre_Maintenance_combine '!A:F,6,FALSE),"Non trouvé")</f>
        <v>Ericsson</v>
      </c>
    </row>
    <row r="1068" spans="1:10" x14ac:dyDescent="0.25">
      <c r="A1068" t="str">
        <f>IFERROR(VLOOKUP(Logs_reseau[[#This Row],[Cell_ID]],'[1]Registre_Maintenance_combine '!A:B,2,FALSE),"Non trouvé")</f>
        <v>Non trouvé</v>
      </c>
      <c r="B1068" t="s">
        <v>369</v>
      </c>
      <c r="C1068" s="3">
        <v>45207.543055555558</v>
      </c>
      <c r="D1068" s="11">
        <f>Logs_reseau[[#This Row],[Duree_Panne_Min]]/1440</f>
        <v>3.7499999999999999E-2</v>
      </c>
      <c r="E1068">
        <v>54</v>
      </c>
      <c r="F1068" t="s">
        <v>1</v>
      </c>
      <c r="G1068" t="str">
        <f>IFERROR(VLOOKUP(Logs_reseau[[#This Row],[Cell_ID]],'[1]Registre_Maintenance_combine '!A:C,3,FALSE),"Non trouvé")</f>
        <v>Non trouvé</v>
      </c>
      <c r="H1068" t="str">
        <f>IFERROR(VLOOKUP(Logs_reseau[[#This Row],[Cell_ID]],'[1]Registre_Maintenance_combine '!A:D,4,FALSE),"Non trouvé")</f>
        <v>Non trouvé</v>
      </c>
      <c r="I1068" t="str">
        <f>IFERROR(VLOOKUP(Logs_reseau[[#This Row],[Cell_ID]],'[1]Registre_Maintenance_combine '!A:E,5,FALSE),"Non trouvé")</f>
        <v>Non trouvé</v>
      </c>
      <c r="J1068" t="str">
        <f>IFERROR(VLOOKUP(Logs_reseau[[#This Row],[Cell_ID]],'[1]Registre_Maintenance_combine '!A:F,6,FALSE),"Non trouvé")</f>
        <v>Non trouvé</v>
      </c>
    </row>
    <row r="1069" spans="1:10" x14ac:dyDescent="0.25">
      <c r="A1069" t="str">
        <f>IFERROR(VLOOKUP(Logs_reseau[[#This Row],[Cell_ID]],'[1]Registre_Maintenance_combine '!A:B,2,FALSE),"Non trouvé")</f>
        <v>Non trouvé</v>
      </c>
      <c r="B1069" t="s">
        <v>370</v>
      </c>
      <c r="C1069" s="3">
        <v>45210.979166666664</v>
      </c>
      <c r="D1069" s="11">
        <f>Logs_reseau[[#This Row],[Duree_Panne_Min]]/1440</f>
        <v>7.9166666666666663E-2</v>
      </c>
      <c r="E1069">
        <v>114</v>
      </c>
      <c r="F1069" t="s">
        <v>4</v>
      </c>
      <c r="G1069" t="str">
        <f>IFERROR(VLOOKUP(Logs_reseau[[#This Row],[Cell_ID]],'[1]Registre_Maintenance_combine '!A:C,3,FALSE),"Non trouvé")</f>
        <v>Non trouvé</v>
      </c>
      <c r="H1069" t="str">
        <f>IFERROR(VLOOKUP(Logs_reseau[[#This Row],[Cell_ID]],'[1]Registre_Maintenance_combine '!A:D,4,FALSE),"Non trouvé")</f>
        <v>Non trouvé</v>
      </c>
      <c r="I1069" t="str">
        <f>IFERROR(VLOOKUP(Logs_reseau[[#This Row],[Cell_ID]],'[1]Registre_Maintenance_combine '!A:E,5,FALSE),"Non trouvé")</f>
        <v>Non trouvé</v>
      </c>
      <c r="J1069" t="str">
        <f>IFERROR(VLOOKUP(Logs_reseau[[#This Row],[Cell_ID]],'[1]Registre_Maintenance_combine '!A:F,6,FALSE),"Non trouvé")</f>
        <v>Non trouvé</v>
      </c>
    </row>
    <row r="1070" spans="1:10" x14ac:dyDescent="0.25">
      <c r="A1070" t="str">
        <f>IFERROR(VLOOKUP(Logs_reseau[[#This Row],[Cell_ID]],'[1]Registre_Maintenance_combine '!A:B,2,FALSE),"Non trouvé")</f>
        <v>Non trouvé</v>
      </c>
      <c r="B1070" t="s">
        <v>142</v>
      </c>
      <c r="C1070" s="3">
        <v>45222.51666666667</v>
      </c>
      <c r="D1070" s="11">
        <f>Logs_reseau[[#This Row],[Duree_Panne_Min]]/1440</f>
        <v>4.583333333333333E-2</v>
      </c>
      <c r="E1070">
        <v>66</v>
      </c>
      <c r="F1070" t="s">
        <v>1</v>
      </c>
      <c r="G1070" t="str">
        <f>IFERROR(VLOOKUP(Logs_reseau[[#This Row],[Cell_ID]],'[1]Registre_Maintenance_combine '!A:C,3,FALSE),"Non trouvé")</f>
        <v>Non trouvé</v>
      </c>
      <c r="H1070" t="str">
        <f>IFERROR(VLOOKUP(Logs_reseau[[#This Row],[Cell_ID]],'[1]Registre_Maintenance_combine '!A:D,4,FALSE),"Non trouvé")</f>
        <v>Non trouvé</v>
      </c>
      <c r="I1070" t="str">
        <f>IFERROR(VLOOKUP(Logs_reseau[[#This Row],[Cell_ID]],'[1]Registre_Maintenance_combine '!A:E,5,FALSE),"Non trouvé")</f>
        <v>Non trouvé</v>
      </c>
      <c r="J1070" t="str">
        <f>IFERROR(VLOOKUP(Logs_reseau[[#This Row],[Cell_ID]],'[1]Registre_Maintenance_combine '!A:F,6,FALSE),"Non trouvé")</f>
        <v>Non trouvé</v>
      </c>
    </row>
    <row r="1071" spans="1:10" x14ac:dyDescent="0.25">
      <c r="A1071" t="str">
        <f>IFERROR(VLOOKUP(Logs_reseau[[#This Row],[Cell_ID]],'[1]Registre_Maintenance_combine '!A:B,2,FALSE),"Non trouvé")</f>
        <v>Non trouvé</v>
      </c>
      <c r="B1071" t="s">
        <v>371</v>
      </c>
      <c r="C1071" s="3">
        <v>45221.839583333334</v>
      </c>
      <c r="D1071" s="11">
        <f>Logs_reseau[[#This Row],[Duree_Panne_Min]]/1440</f>
        <v>1.2500000000000001E-2</v>
      </c>
      <c r="E1071">
        <v>18</v>
      </c>
      <c r="F1071" t="s">
        <v>1</v>
      </c>
      <c r="G1071" t="str">
        <f>IFERROR(VLOOKUP(Logs_reseau[[#This Row],[Cell_ID]],'[1]Registre_Maintenance_combine '!A:C,3,FALSE),"Non trouvé")</f>
        <v>Non trouvé</v>
      </c>
      <c r="H1071" t="str">
        <f>IFERROR(VLOOKUP(Logs_reseau[[#This Row],[Cell_ID]],'[1]Registre_Maintenance_combine '!A:D,4,FALSE),"Non trouvé")</f>
        <v>Non trouvé</v>
      </c>
      <c r="I1071" t="str">
        <f>IFERROR(VLOOKUP(Logs_reseau[[#This Row],[Cell_ID]],'[1]Registre_Maintenance_combine '!A:E,5,FALSE),"Non trouvé")</f>
        <v>Non trouvé</v>
      </c>
      <c r="J1071" t="str">
        <f>IFERROR(VLOOKUP(Logs_reseau[[#This Row],[Cell_ID]],'[1]Registre_Maintenance_combine '!A:F,6,FALSE),"Non trouvé")</f>
        <v>Non trouvé</v>
      </c>
    </row>
    <row r="1072" spans="1:10" x14ac:dyDescent="0.25">
      <c r="A1072" t="str">
        <f>IFERROR(VLOOKUP(Logs_reseau[[#This Row],[Cell_ID]],'[1]Registre_Maintenance_combine '!A:B,2,FALSE),"Non trouvé")</f>
        <v>Non trouvé</v>
      </c>
      <c r="B1072" t="s">
        <v>101</v>
      </c>
      <c r="C1072" s="3">
        <v>45215.047222222223</v>
      </c>
      <c r="D1072" s="11">
        <f>Logs_reseau[[#This Row],[Duree_Panne_Min]]/1440</f>
        <v>2.4305555555555556E-2</v>
      </c>
      <c r="E1072">
        <v>35</v>
      </c>
      <c r="F1072" t="s">
        <v>1</v>
      </c>
      <c r="G1072" t="str">
        <f>IFERROR(VLOOKUP(Logs_reseau[[#This Row],[Cell_ID]],'[1]Registre_Maintenance_combine '!A:C,3,FALSE),"Non trouvé")</f>
        <v>Non trouvé</v>
      </c>
      <c r="H1072" t="str">
        <f>IFERROR(VLOOKUP(Logs_reseau[[#This Row],[Cell_ID]],'[1]Registre_Maintenance_combine '!A:D,4,FALSE),"Non trouvé")</f>
        <v>Non trouvé</v>
      </c>
      <c r="I1072" t="str">
        <f>IFERROR(VLOOKUP(Logs_reseau[[#This Row],[Cell_ID]],'[1]Registre_Maintenance_combine '!A:E,5,FALSE),"Non trouvé")</f>
        <v>Non trouvé</v>
      </c>
      <c r="J1072" t="str">
        <f>IFERROR(VLOOKUP(Logs_reseau[[#This Row],[Cell_ID]],'[1]Registre_Maintenance_combine '!A:F,6,FALSE),"Non trouvé")</f>
        <v>Non trouvé</v>
      </c>
    </row>
    <row r="1073" spans="1:10" x14ac:dyDescent="0.25">
      <c r="A1073" t="str">
        <f>IFERROR(VLOOKUP(Logs_reseau[[#This Row],[Cell_ID]],'[1]Registre_Maintenance_combine '!A:B,2,FALSE),"Non trouvé")</f>
        <v>Sud-Ubangi</v>
      </c>
      <c r="B1073" t="s">
        <v>260</v>
      </c>
      <c r="C1073" s="3">
        <v>45216.76458333333</v>
      </c>
      <c r="D1073" s="11">
        <f>Logs_reseau[[#This Row],[Duree_Panne_Min]]/1440</f>
        <v>3.6805555555555557E-2</v>
      </c>
      <c r="E1073">
        <v>53</v>
      </c>
      <c r="F1073" t="s">
        <v>2</v>
      </c>
      <c r="G1073">
        <f>IFERROR(VLOOKUP(Logs_reseau[[#This Row],[Cell_ID]],'[1]Registre_Maintenance_combine '!A:C,3,FALSE),"Non trouvé")</f>
        <v>-10.914952</v>
      </c>
      <c r="H1073">
        <f>IFERROR(VLOOKUP(Logs_reseau[[#This Row],[Cell_ID]],'[1]Registre_Maintenance_combine '!A:D,4,FALSE),"Non trouvé")</f>
        <v>26.409648000000001</v>
      </c>
      <c r="I1073" t="str">
        <f>IFERROR(VLOOKUP(Logs_reseau[[#This Row],[Cell_ID]],'[1]Registre_Maintenance_combine '!A:E,5,FALSE),"Non trouvé")</f>
        <v>4G</v>
      </c>
      <c r="J1073" t="str">
        <f>IFERROR(VLOOKUP(Logs_reseau[[#This Row],[Cell_ID]],'[1]Registre_Maintenance_combine '!A:F,6,FALSE),"Non trouvé")</f>
        <v>Huawei</v>
      </c>
    </row>
    <row r="1074" spans="1:10" x14ac:dyDescent="0.25">
      <c r="A1074" t="str">
        <f>IFERROR(VLOOKUP(Logs_reseau[[#This Row],[Cell_ID]],'[1]Registre_Maintenance_combine '!A:B,2,FALSE),"Non trouvé")</f>
        <v>Non trouvé</v>
      </c>
      <c r="B1074" t="s">
        <v>372</v>
      </c>
      <c r="C1074" s="3">
        <v>45227.163194444445</v>
      </c>
      <c r="D1074" s="11">
        <f>Logs_reseau[[#This Row],[Duree_Panne_Min]]/1440</f>
        <v>5.4166666666666669E-2</v>
      </c>
      <c r="E1074">
        <v>78</v>
      </c>
      <c r="F1074" t="s">
        <v>2</v>
      </c>
      <c r="G1074" t="str">
        <f>IFERROR(VLOOKUP(Logs_reseau[[#This Row],[Cell_ID]],'[1]Registre_Maintenance_combine '!A:C,3,FALSE),"Non trouvé")</f>
        <v>Non trouvé</v>
      </c>
      <c r="H1074" t="str">
        <f>IFERROR(VLOOKUP(Logs_reseau[[#This Row],[Cell_ID]],'[1]Registre_Maintenance_combine '!A:D,4,FALSE),"Non trouvé")</f>
        <v>Non trouvé</v>
      </c>
      <c r="I1074" t="str">
        <f>IFERROR(VLOOKUP(Logs_reseau[[#This Row],[Cell_ID]],'[1]Registre_Maintenance_combine '!A:E,5,FALSE),"Non trouvé")</f>
        <v>Non trouvé</v>
      </c>
      <c r="J1074" t="str">
        <f>IFERROR(VLOOKUP(Logs_reseau[[#This Row],[Cell_ID]],'[1]Registre_Maintenance_combine '!A:F,6,FALSE),"Non trouvé")</f>
        <v>Non trouvé</v>
      </c>
    </row>
    <row r="1075" spans="1:10" x14ac:dyDescent="0.25">
      <c r="A1075" t="str">
        <f>IFERROR(VLOOKUP(Logs_reseau[[#This Row],[Cell_ID]],'[1]Registre_Maintenance_combine '!A:B,2,FALSE),"Non trouvé")</f>
        <v>Nord-Ubangi</v>
      </c>
      <c r="B1075" t="s">
        <v>317</v>
      </c>
      <c r="C1075" s="3">
        <v>45227.587500000001</v>
      </c>
      <c r="D1075" s="11">
        <f>Logs_reseau[[#This Row],[Duree_Panne_Min]]/1440</f>
        <v>3.4722222222222224E-2</v>
      </c>
      <c r="E1075">
        <v>50</v>
      </c>
      <c r="F1075" t="s">
        <v>2</v>
      </c>
      <c r="G1075">
        <f>IFERROR(VLOOKUP(Logs_reseau[[#This Row],[Cell_ID]],'[1]Registre_Maintenance_combine '!A:C,3,FALSE),"Non trouvé")</f>
        <v>-1.342476</v>
      </c>
      <c r="H1075">
        <f>IFERROR(VLOOKUP(Logs_reseau[[#This Row],[Cell_ID]],'[1]Registre_Maintenance_combine '!A:D,4,FALSE),"Non trouvé")</f>
        <v>15.986086</v>
      </c>
      <c r="I1075" t="str">
        <f>IFERROR(VLOOKUP(Logs_reseau[[#This Row],[Cell_ID]],'[1]Registre_Maintenance_combine '!A:E,5,FALSE),"Non trouvé")</f>
        <v>4G</v>
      </c>
      <c r="J1075" t="str">
        <f>IFERROR(VLOOKUP(Logs_reseau[[#This Row],[Cell_ID]],'[1]Registre_Maintenance_combine '!A:F,6,FALSE),"Non trouvé")</f>
        <v>Ericsson</v>
      </c>
    </row>
    <row r="1076" spans="1:10" x14ac:dyDescent="0.25">
      <c r="A1076" t="str">
        <f>IFERROR(VLOOKUP(Logs_reseau[[#This Row],[Cell_ID]],'[1]Registre_Maintenance_combine '!A:B,2,FALSE),"Non trouvé")</f>
        <v>Haut-Katanga</v>
      </c>
      <c r="B1076" t="s">
        <v>42</v>
      </c>
      <c r="C1076" s="3">
        <v>45216.583333333336</v>
      </c>
      <c r="D1076" s="11">
        <f>Logs_reseau[[#This Row],[Duree_Panne_Min]]/1440</f>
        <v>5.4166666666666669E-2</v>
      </c>
      <c r="E1076">
        <v>78</v>
      </c>
      <c r="F1076" t="s">
        <v>4</v>
      </c>
      <c r="G1076">
        <f>IFERROR(VLOOKUP(Logs_reseau[[#This Row],[Cell_ID]],'[1]Registre_Maintenance_combine '!A:C,3,FALSE),"Non trouvé")</f>
        <v>0.16841400000000001</v>
      </c>
      <c r="H1076">
        <f>IFERROR(VLOOKUP(Logs_reseau[[#This Row],[Cell_ID]],'[1]Registre_Maintenance_combine '!A:D,4,FALSE),"Non trouvé")</f>
        <v>30.029876999999999</v>
      </c>
      <c r="I1076" t="str">
        <f>IFERROR(VLOOKUP(Logs_reseau[[#This Row],[Cell_ID]],'[1]Registre_Maintenance_combine '!A:E,5,FALSE),"Non trouvé")</f>
        <v>5G</v>
      </c>
      <c r="J1076" t="str">
        <f>IFERROR(VLOOKUP(Logs_reseau[[#This Row],[Cell_ID]],'[1]Registre_Maintenance_combine '!A:F,6,FALSE),"Non trouvé")</f>
        <v>Huawei</v>
      </c>
    </row>
    <row r="1077" spans="1:10" x14ac:dyDescent="0.25">
      <c r="A1077" t="str">
        <f>IFERROR(VLOOKUP(Logs_reseau[[#This Row],[Cell_ID]],'[1]Registre_Maintenance_combine '!A:B,2,FALSE),"Non trouvé")</f>
        <v>Non trouvé</v>
      </c>
      <c r="B1077" t="s">
        <v>373</v>
      </c>
      <c r="C1077" s="3">
        <v>45223.18472222222</v>
      </c>
      <c r="D1077" s="11">
        <f>Logs_reseau[[#This Row],[Duree_Panne_Min]]/1440</f>
        <v>2.9166666666666667E-2</v>
      </c>
      <c r="E1077">
        <v>42</v>
      </c>
      <c r="F1077" t="s">
        <v>2</v>
      </c>
      <c r="G1077" t="str">
        <f>IFERROR(VLOOKUP(Logs_reseau[[#This Row],[Cell_ID]],'[1]Registre_Maintenance_combine '!A:C,3,FALSE),"Non trouvé")</f>
        <v>Non trouvé</v>
      </c>
      <c r="H1077" t="str">
        <f>IFERROR(VLOOKUP(Logs_reseau[[#This Row],[Cell_ID]],'[1]Registre_Maintenance_combine '!A:D,4,FALSE),"Non trouvé")</f>
        <v>Non trouvé</v>
      </c>
      <c r="I1077" t="str">
        <f>IFERROR(VLOOKUP(Logs_reseau[[#This Row],[Cell_ID]],'[1]Registre_Maintenance_combine '!A:E,5,FALSE),"Non trouvé")</f>
        <v>Non trouvé</v>
      </c>
      <c r="J1077" t="str">
        <f>IFERROR(VLOOKUP(Logs_reseau[[#This Row],[Cell_ID]],'[1]Registre_Maintenance_combine '!A:F,6,FALSE),"Non trouvé")</f>
        <v>Non trouvé</v>
      </c>
    </row>
    <row r="1078" spans="1:10" x14ac:dyDescent="0.25">
      <c r="A1078" t="str">
        <f>IFERROR(VLOOKUP(Logs_reseau[[#This Row],[Cell_ID]],'[1]Registre_Maintenance_combine '!A:B,2,FALSE),"Non trouvé")</f>
        <v>Non trouvé</v>
      </c>
      <c r="B1078" t="s">
        <v>374</v>
      </c>
      <c r="C1078" s="3">
        <v>45227.839583333334</v>
      </c>
      <c r="D1078" s="11">
        <f>Logs_reseau[[#This Row],[Duree_Panne_Min]]/1440</f>
        <v>6.5277777777777782E-2</v>
      </c>
      <c r="E1078">
        <v>94</v>
      </c>
      <c r="F1078" t="s">
        <v>4</v>
      </c>
      <c r="G1078" t="str">
        <f>IFERROR(VLOOKUP(Logs_reseau[[#This Row],[Cell_ID]],'[1]Registre_Maintenance_combine '!A:C,3,FALSE),"Non trouvé")</f>
        <v>Non trouvé</v>
      </c>
      <c r="H1078" t="str">
        <f>IFERROR(VLOOKUP(Logs_reseau[[#This Row],[Cell_ID]],'[1]Registre_Maintenance_combine '!A:D,4,FALSE),"Non trouvé")</f>
        <v>Non trouvé</v>
      </c>
      <c r="I1078" t="str">
        <f>IFERROR(VLOOKUP(Logs_reseau[[#This Row],[Cell_ID]],'[1]Registre_Maintenance_combine '!A:E,5,FALSE),"Non trouvé")</f>
        <v>Non trouvé</v>
      </c>
      <c r="J1078" t="str">
        <f>IFERROR(VLOOKUP(Logs_reseau[[#This Row],[Cell_ID]],'[1]Registre_Maintenance_combine '!A:F,6,FALSE),"Non trouvé")</f>
        <v>Non trouvé</v>
      </c>
    </row>
    <row r="1079" spans="1:10" x14ac:dyDescent="0.25">
      <c r="A1079" t="str">
        <f>IFERROR(VLOOKUP(Logs_reseau[[#This Row],[Cell_ID]],'[1]Registre_Maintenance_combine '!A:B,2,FALSE),"Non trouvé")</f>
        <v>Non trouvé</v>
      </c>
      <c r="B1079" t="s">
        <v>375</v>
      </c>
      <c r="C1079" s="3">
        <v>45202.659722222219</v>
      </c>
      <c r="D1079" s="11">
        <f>Logs_reseau[[#This Row],[Duree_Panne_Min]]/1440</f>
        <v>2.9166666666666667E-2</v>
      </c>
      <c r="E1079">
        <v>42</v>
      </c>
      <c r="F1079" t="s">
        <v>1</v>
      </c>
      <c r="G1079" t="str">
        <f>IFERROR(VLOOKUP(Logs_reseau[[#This Row],[Cell_ID]],'[1]Registre_Maintenance_combine '!A:C,3,FALSE),"Non trouvé")</f>
        <v>Non trouvé</v>
      </c>
      <c r="H1079" t="str">
        <f>IFERROR(VLOOKUP(Logs_reseau[[#This Row],[Cell_ID]],'[1]Registre_Maintenance_combine '!A:D,4,FALSE),"Non trouvé")</f>
        <v>Non trouvé</v>
      </c>
      <c r="I1079" t="str">
        <f>IFERROR(VLOOKUP(Logs_reseau[[#This Row],[Cell_ID]],'[1]Registre_Maintenance_combine '!A:E,5,FALSE),"Non trouvé")</f>
        <v>Non trouvé</v>
      </c>
      <c r="J1079" t="str">
        <f>IFERROR(VLOOKUP(Logs_reseau[[#This Row],[Cell_ID]],'[1]Registre_Maintenance_combine '!A:F,6,FALSE),"Non trouvé")</f>
        <v>Non trouvé</v>
      </c>
    </row>
    <row r="1080" spans="1:10" x14ac:dyDescent="0.25">
      <c r="A1080" t="str">
        <f>IFERROR(VLOOKUP(Logs_reseau[[#This Row],[Cell_ID]],'[1]Registre_Maintenance_combine '!A:B,2,FALSE),"Non trouvé")</f>
        <v>Haut-Lomami</v>
      </c>
      <c r="B1080" t="s">
        <v>36</v>
      </c>
      <c r="C1080" s="3">
        <v>45208.443749999999</v>
      </c>
      <c r="D1080" s="11">
        <f>Logs_reseau[[#This Row],[Duree_Panne_Min]]/1440</f>
        <v>4.8611111111111112E-3</v>
      </c>
      <c r="E1080">
        <v>7</v>
      </c>
      <c r="F1080" t="s">
        <v>4</v>
      </c>
      <c r="G1080">
        <f>IFERROR(VLOOKUP(Logs_reseau[[#This Row],[Cell_ID]],'[1]Registre_Maintenance_combine '!A:C,3,FALSE),"Non trouvé")</f>
        <v>-6.3324319999999998</v>
      </c>
      <c r="H1080">
        <f>IFERROR(VLOOKUP(Logs_reseau[[#This Row],[Cell_ID]],'[1]Registre_Maintenance_combine '!A:D,4,FALSE),"Non trouvé")</f>
        <v>24.887858000000001</v>
      </c>
      <c r="I1080" t="str">
        <f>IFERROR(VLOOKUP(Logs_reseau[[#This Row],[Cell_ID]],'[1]Registre_Maintenance_combine '!A:E,5,FALSE),"Non trouvé")</f>
        <v>4G</v>
      </c>
      <c r="J1080" t="str">
        <f>IFERROR(VLOOKUP(Logs_reseau[[#This Row],[Cell_ID]],'[1]Registre_Maintenance_combine '!A:F,6,FALSE),"Non trouvé")</f>
        <v>ZTE</v>
      </c>
    </row>
    <row r="1081" spans="1:10" x14ac:dyDescent="0.25">
      <c r="A1081" t="str">
        <f>IFERROR(VLOOKUP(Logs_reseau[[#This Row],[Cell_ID]],'[1]Registre_Maintenance_combine '!A:B,2,FALSE),"Non trouvé")</f>
        <v>Non trouvé</v>
      </c>
      <c r="B1081" t="s">
        <v>376</v>
      </c>
      <c r="C1081" s="3">
        <v>45222.52847222222</v>
      </c>
      <c r="D1081" s="11">
        <f>Logs_reseau[[#This Row],[Duree_Panne_Min]]/1440</f>
        <v>7.7083333333333337E-2</v>
      </c>
      <c r="E1081">
        <v>111</v>
      </c>
      <c r="F1081" t="s">
        <v>1</v>
      </c>
      <c r="G1081" t="str">
        <f>IFERROR(VLOOKUP(Logs_reseau[[#This Row],[Cell_ID]],'[1]Registre_Maintenance_combine '!A:C,3,FALSE),"Non trouvé")</f>
        <v>Non trouvé</v>
      </c>
      <c r="H1081" t="str">
        <f>IFERROR(VLOOKUP(Logs_reseau[[#This Row],[Cell_ID]],'[1]Registre_Maintenance_combine '!A:D,4,FALSE),"Non trouvé")</f>
        <v>Non trouvé</v>
      </c>
      <c r="I1081" t="str">
        <f>IFERROR(VLOOKUP(Logs_reseau[[#This Row],[Cell_ID]],'[1]Registre_Maintenance_combine '!A:E,5,FALSE),"Non trouvé")</f>
        <v>Non trouvé</v>
      </c>
      <c r="J1081" t="str">
        <f>IFERROR(VLOOKUP(Logs_reseau[[#This Row],[Cell_ID]],'[1]Registre_Maintenance_combine '!A:F,6,FALSE),"Non trouvé")</f>
        <v>Non trouvé</v>
      </c>
    </row>
    <row r="1082" spans="1:10" x14ac:dyDescent="0.25">
      <c r="A1082" t="str">
        <f>IFERROR(VLOOKUP(Logs_reseau[[#This Row],[Cell_ID]],'[1]Registre_Maintenance_combine '!A:B,2,FALSE),"Non trouvé")</f>
        <v>Non trouvé</v>
      </c>
      <c r="B1082" t="s">
        <v>377</v>
      </c>
      <c r="C1082" s="3">
        <v>45202.45416666667</v>
      </c>
      <c r="D1082" s="11">
        <f>Logs_reseau[[#This Row],[Duree_Panne_Min]]/1440</f>
        <v>6.1805555555555558E-2</v>
      </c>
      <c r="E1082">
        <v>89</v>
      </c>
      <c r="F1082" t="s">
        <v>4</v>
      </c>
      <c r="G1082" t="str">
        <f>IFERROR(VLOOKUP(Logs_reseau[[#This Row],[Cell_ID]],'[1]Registre_Maintenance_combine '!A:C,3,FALSE),"Non trouvé")</f>
        <v>Non trouvé</v>
      </c>
      <c r="H1082" t="str">
        <f>IFERROR(VLOOKUP(Logs_reseau[[#This Row],[Cell_ID]],'[1]Registre_Maintenance_combine '!A:D,4,FALSE),"Non trouvé")</f>
        <v>Non trouvé</v>
      </c>
      <c r="I1082" t="str">
        <f>IFERROR(VLOOKUP(Logs_reseau[[#This Row],[Cell_ID]],'[1]Registre_Maintenance_combine '!A:E,5,FALSE),"Non trouvé")</f>
        <v>Non trouvé</v>
      </c>
      <c r="J1082" t="str">
        <f>IFERROR(VLOOKUP(Logs_reseau[[#This Row],[Cell_ID]],'[1]Registre_Maintenance_combine '!A:F,6,FALSE),"Non trouvé")</f>
        <v>Non trouvé</v>
      </c>
    </row>
    <row r="1083" spans="1:10" x14ac:dyDescent="0.25">
      <c r="A1083" t="str">
        <f>IFERROR(VLOOKUP(Logs_reseau[[#This Row],[Cell_ID]],'[1]Registre_Maintenance_combine '!A:B,2,FALSE),"Non trouvé")</f>
        <v>Kasai-Oriental</v>
      </c>
      <c r="B1083" t="s">
        <v>378</v>
      </c>
      <c r="C1083" s="3">
        <v>45221.724999999999</v>
      </c>
      <c r="D1083" s="11">
        <f>Logs_reseau[[#This Row],[Duree_Panne_Min]]/1440</f>
        <v>3.8194444444444448E-2</v>
      </c>
      <c r="E1083">
        <v>55</v>
      </c>
      <c r="F1083" t="s">
        <v>2</v>
      </c>
      <c r="G1083">
        <f>IFERROR(VLOOKUP(Logs_reseau[[#This Row],[Cell_ID]],'[1]Registre_Maintenance_combine '!A:C,3,FALSE),"Non trouvé")</f>
        <v>-1.3976519999999999</v>
      </c>
      <c r="H1083">
        <f>IFERROR(VLOOKUP(Logs_reseau[[#This Row],[Cell_ID]],'[1]Registre_Maintenance_combine '!A:D,4,FALSE),"Non trouvé")</f>
        <v>14.098819000000001</v>
      </c>
      <c r="I1083" t="str">
        <f>IFERROR(VLOOKUP(Logs_reseau[[#This Row],[Cell_ID]],'[1]Registre_Maintenance_combine '!A:E,5,FALSE),"Non trouvé")</f>
        <v>3G</v>
      </c>
      <c r="J1083" t="str">
        <f>IFERROR(VLOOKUP(Logs_reseau[[#This Row],[Cell_ID]],'[1]Registre_Maintenance_combine '!A:F,6,FALSE),"Non trouvé")</f>
        <v>Ericsson</v>
      </c>
    </row>
    <row r="1084" spans="1:10" x14ac:dyDescent="0.25">
      <c r="A1084" t="str">
        <f>IFERROR(VLOOKUP(Logs_reseau[[#This Row],[Cell_ID]],'[1]Registre_Maintenance_combine '!A:B,2,FALSE),"Non trouvé")</f>
        <v>Non trouvé</v>
      </c>
      <c r="B1084" t="s">
        <v>136</v>
      </c>
      <c r="C1084" s="3">
        <v>45230.444444444445</v>
      </c>
      <c r="D1084" s="11">
        <f>Logs_reseau[[#This Row],[Duree_Panne_Min]]/1440</f>
        <v>2.7777777777777776E-2</v>
      </c>
      <c r="E1084">
        <v>40</v>
      </c>
      <c r="F1084" t="s">
        <v>1</v>
      </c>
      <c r="G1084" t="str">
        <f>IFERROR(VLOOKUP(Logs_reseau[[#This Row],[Cell_ID]],'[1]Registre_Maintenance_combine '!A:C,3,FALSE),"Non trouvé")</f>
        <v>Non trouvé</v>
      </c>
      <c r="H1084" t="str">
        <f>IFERROR(VLOOKUP(Logs_reseau[[#This Row],[Cell_ID]],'[1]Registre_Maintenance_combine '!A:D,4,FALSE),"Non trouvé")</f>
        <v>Non trouvé</v>
      </c>
      <c r="I1084" t="str">
        <f>IFERROR(VLOOKUP(Logs_reseau[[#This Row],[Cell_ID]],'[1]Registre_Maintenance_combine '!A:E,5,FALSE),"Non trouvé")</f>
        <v>Non trouvé</v>
      </c>
      <c r="J1084" t="str">
        <f>IFERROR(VLOOKUP(Logs_reseau[[#This Row],[Cell_ID]],'[1]Registre_Maintenance_combine '!A:F,6,FALSE),"Non trouvé")</f>
        <v>Non trouvé</v>
      </c>
    </row>
    <row r="1085" spans="1:10" x14ac:dyDescent="0.25">
      <c r="A1085" t="str">
        <f>IFERROR(VLOOKUP(Logs_reseau[[#This Row],[Cell_ID]],'[1]Registre_Maintenance_combine '!A:B,2,FALSE),"Non trouvé")</f>
        <v>Kongo-Central</v>
      </c>
      <c r="B1085" t="s">
        <v>94</v>
      </c>
      <c r="C1085" s="3">
        <v>45222.663194444445</v>
      </c>
      <c r="D1085" s="11">
        <f>Logs_reseau[[#This Row],[Duree_Panne_Min]]/1440</f>
        <v>4.1666666666666666E-3</v>
      </c>
      <c r="E1085">
        <v>6</v>
      </c>
      <c r="F1085" t="s">
        <v>4</v>
      </c>
      <c r="G1085">
        <f>IFERROR(VLOOKUP(Logs_reseau[[#This Row],[Cell_ID]],'[1]Registre_Maintenance_combine '!A:C,3,FALSE),"Non trouvé")</f>
        <v>2.975352</v>
      </c>
      <c r="H1085">
        <f>IFERROR(VLOOKUP(Logs_reseau[[#This Row],[Cell_ID]],'[1]Registre_Maintenance_combine '!A:D,4,FALSE),"Non trouvé")</f>
        <v>22.535886000000001</v>
      </c>
      <c r="I1085" t="str">
        <f>IFERROR(VLOOKUP(Logs_reseau[[#This Row],[Cell_ID]],'[1]Registre_Maintenance_combine '!A:E,5,FALSE),"Non trouvé")</f>
        <v>4G</v>
      </c>
      <c r="J1085" t="str">
        <f>IFERROR(VLOOKUP(Logs_reseau[[#This Row],[Cell_ID]],'[1]Registre_Maintenance_combine '!A:F,6,FALSE),"Non trouvé")</f>
        <v>Huawei</v>
      </c>
    </row>
    <row r="1086" spans="1:10" x14ac:dyDescent="0.25">
      <c r="A1086" t="str">
        <f>IFERROR(VLOOKUP(Logs_reseau[[#This Row],[Cell_ID]],'[1]Registre_Maintenance_combine '!A:B,2,FALSE),"Non trouvé")</f>
        <v>Non trouvé</v>
      </c>
      <c r="B1086" t="s">
        <v>379</v>
      </c>
      <c r="C1086" s="3">
        <v>45217.068749999999</v>
      </c>
      <c r="D1086" s="11">
        <f>Logs_reseau[[#This Row],[Duree_Panne_Min]]/1440</f>
        <v>5.347222222222222E-2</v>
      </c>
      <c r="E1086">
        <v>77</v>
      </c>
      <c r="F1086" t="s">
        <v>4</v>
      </c>
      <c r="G1086" t="str">
        <f>IFERROR(VLOOKUP(Logs_reseau[[#This Row],[Cell_ID]],'[1]Registre_Maintenance_combine '!A:C,3,FALSE),"Non trouvé")</f>
        <v>Non trouvé</v>
      </c>
      <c r="H1086" t="str">
        <f>IFERROR(VLOOKUP(Logs_reseau[[#This Row],[Cell_ID]],'[1]Registre_Maintenance_combine '!A:D,4,FALSE),"Non trouvé")</f>
        <v>Non trouvé</v>
      </c>
      <c r="I1086" t="str">
        <f>IFERROR(VLOOKUP(Logs_reseau[[#This Row],[Cell_ID]],'[1]Registre_Maintenance_combine '!A:E,5,FALSE),"Non trouvé")</f>
        <v>Non trouvé</v>
      </c>
      <c r="J1086" t="str">
        <f>IFERROR(VLOOKUP(Logs_reseau[[#This Row],[Cell_ID]],'[1]Registre_Maintenance_combine '!A:F,6,FALSE),"Non trouvé")</f>
        <v>Non trouvé</v>
      </c>
    </row>
    <row r="1087" spans="1:10" x14ac:dyDescent="0.25">
      <c r="A1087" t="str">
        <f>IFERROR(VLOOKUP(Logs_reseau[[#This Row],[Cell_ID]],'[1]Registre_Maintenance_combine '!A:B,2,FALSE),"Non trouvé")</f>
        <v>Non trouvé</v>
      </c>
      <c r="B1087" t="s">
        <v>380</v>
      </c>
      <c r="C1087" s="3">
        <v>45202.319444444445</v>
      </c>
      <c r="D1087" s="11">
        <f>Logs_reseau[[#This Row],[Duree_Panne_Min]]/1440</f>
        <v>7.9861111111111105E-2</v>
      </c>
      <c r="E1087">
        <v>115</v>
      </c>
      <c r="F1087" t="s">
        <v>2</v>
      </c>
      <c r="G1087" t="str">
        <f>IFERROR(VLOOKUP(Logs_reseau[[#This Row],[Cell_ID]],'[1]Registre_Maintenance_combine '!A:C,3,FALSE),"Non trouvé")</f>
        <v>Non trouvé</v>
      </c>
      <c r="H1087" t="str">
        <f>IFERROR(VLOOKUP(Logs_reseau[[#This Row],[Cell_ID]],'[1]Registre_Maintenance_combine '!A:D,4,FALSE),"Non trouvé")</f>
        <v>Non trouvé</v>
      </c>
      <c r="I1087" t="str">
        <f>IFERROR(VLOOKUP(Logs_reseau[[#This Row],[Cell_ID]],'[1]Registre_Maintenance_combine '!A:E,5,FALSE),"Non trouvé")</f>
        <v>Non trouvé</v>
      </c>
      <c r="J1087" t="str">
        <f>IFERROR(VLOOKUP(Logs_reseau[[#This Row],[Cell_ID]],'[1]Registre_Maintenance_combine '!A:F,6,FALSE),"Non trouvé")</f>
        <v>Non trouvé</v>
      </c>
    </row>
    <row r="1088" spans="1:10" x14ac:dyDescent="0.25">
      <c r="A1088" t="str">
        <f>IFERROR(VLOOKUP(Logs_reseau[[#This Row],[Cell_ID]],'[1]Registre_Maintenance_combine '!A:B,2,FALSE),"Non trouvé")</f>
        <v>Non trouvé</v>
      </c>
      <c r="B1088" t="s">
        <v>381</v>
      </c>
      <c r="C1088" s="3">
        <v>45221.384722222225</v>
      </c>
      <c r="D1088" s="11">
        <f>Logs_reseau[[#This Row],[Duree_Panne_Min]]/1440</f>
        <v>6.3888888888888884E-2</v>
      </c>
      <c r="E1088">
        <v>92</v>
      </c>
      <c r="F1088" t="s">
        <v>2</v>
      </c>
      <c r="G1088" t="str">
        <f>IFERROR(VLOOKUP(Logs_reseau[[#This Row],[Cell_ID]],'[1]Registre_Maintenance_combine '!A:C,3,FALSE),"Non trouvé")</f>
        <v>Non trouvé</v>
      </c>
      <c r="H1088" t="str">
        <f>IFERROR(VLOOKUP(Logs_reseau[[#This Row],[Cell_ID]],'[1]Registre_Maintenance_combine '!A:D,4,FALSE),"Non trouvé")</f>
        <v>Non trouvé</v>
      </c>
      <c r="I1088" t="str">
        <f>IFERROR(VLOOKUP(Logs_reseau[[#This Row],[Cell_ID]],'[1]Registre_Maintenance_combine '!A:E,5,FALSE),"Non trouvé")</f>
        <v>Non trouvé</v>
      </c>
      <c r="J1088" t="str">
        <f>IFERROR(VLOOKUP(Logs_reseau[[#This Row],[Cell_ID]],'[1]Registre_Maintenance_combine '!A:F,6,FALSE),"Non trouvé")</f>
        <v>Non trouvé</v>
      </c>
    </row>
    <row r="1089" spans="1:10" x14ac:dyDescent="0.25">
      <c r="A1089" t="str">
        <f>IFERROR(VLOOKUP(Logs_reseau[[#This Row],[Cell_ID]],'[1]Registre_Maintenance_combine '!A:B,2,FALSE),"Non trouvé")</f>
        <v>Non trouvé</v>
      </c>
      <c r="B1089" t="s">
        <v>382</v>
      </c>
      <c r="C1089" s="3">
        <v>45223.102083333331</v>
      </c>
      <c r="D1089" s="11">
        <f>Logs_reseau[[#This Row],[Duree_Panne_Min]]/1440</f>
        <v>7.2222222222222215E-2</v>
      </c>
      <c r="E1089">
        <v>104</v>
      </c>
      <c r="F1089" t="s">
        <v>2</v>
      </c>
      <c r="G1089" t="str">
        <f>IFERROR(VLOOKUP(Logs_reseau[[#This Row],[Cell_ID]],'[1]Registre_Maintenance_combine '!A:C,3,FALSE),"Non trouvé")</f>
        <v>Non trouvé</v>
      </c>
      <c r="H1089" t="str">
        <f>IFERROR(VLOOKUP(Logs_reseau[[#This Row],[Cell_ID]],'[1]Registre_Maintenance_combine '!A:D,4,FALSE),"Non trouvé")</f>
        <v>Non trouvé</v>
      </c>
      <c r="I1089" t="str">
        <f>IFERROR(VLOOKUP(Logs_reseau[[#This Row],[Cell_ID]],'[1]Registre_Maintenance_combine '!A:E,5,FALSE),"Non trouvé")</f>
        <v>Non trouvé</v>
      </c>
      <c r="J1089" t="str">
        <f>IFERROR(VLOOKUP(Logs_reseau[[#This Row],[Cell_ID]],'[1]Registre_Maintenance_combine '!A:F,6,FALSE),"Non trouvé")</f>
        <v>Non trouvé</v>
      </c>
    </row>
    <row r="1090" spans="1:10" x14ac:dyDescent="0.25">
      <c r="A1090" t="str">
        <f>IFERROR(VLOOKUP(Logs_reseau[[#This Row],[Cell_ID]],'[1]Registre_Maintenance_combine '!A:B,2,FALSE),"Non trouvé")</f>
        <v>Non trouvé</v>
      </c>
      <c r="B1090" t="s">
        <v>383</v>
      </c>
      <c r="C1090" s="3">
        <v>45203.864583333336</v>
      </c>
      <c r="D1090" s="11">
        <f>Logs_reseau[[#This Row],[Duree_Panne_Min]]/1440</f>
        <v>6.9444444444444448E-2</v>
      </c>
      <c r="E1090">
        <v>100</v>
      </c>
      <c r="F1090" t="s">
        <v>4</v>
      </c>
      <c r="G1090" t="str">
        <f>IFERROR(VLOOKUP(Logs_reseau[[#This Row],[Cell_ID]],'[1]Registre_Maintenance_combine '!A:C,3,FALSE),"Non trouvé")</f>
        <v>Non trouvé</v>
      </c>
      <c r="H1090" t="str">
        <f>IFERROR(VLOOKUP(Logs_reseau[[#This Row],[Cell_ID]],'[1]Registre_Maintenance_combine '!A:D,4,FALSE),"Non trouvé")</f>
        <v>Non trouvé</v>
      </c>
      <c r="I1090" t="str">
        <f>IFERROR(VLOOKUP(Logs_reseau[[#This Row],[Cell_ID]],'[1]Registre_Maintenance_combine '!A:E,5,FALSE),"Non trouvé")</f>
        <v>Non trouvé</v>
      </c>
      <c r="J1090" t="str">
        <f>IFERROR(VLOOKUP(Logs_reseau[[#This Row],[Cell_ID]],'[1]Registre_Maintenance_combine '!A:F,6,FALSE),"Non trouvé")</f>
        <v>Non trouvé</v>
      </c>
    </row>
    <row r="1091" spans="1:10" x14ac:dyDescent="0.25">
      <c r="A1091" t="str">
        <f>IFERROR(VLOOKUP(Logs_reseau[[#This Row],[Cell_ID]],'[1]Registre_Maintenance_combine '!A:B,2,FALSE),"Non trouvé")</f>
        <v>Tshopo</v>
      </c>
      <c r="B1091" t="s">
        <v>179</v>
      </c>
      <c r="C1091" s="3">
        <v>45227.144444444442</v>
      </c>
      <c r="D1091" s="11">
        <f>Logs_reseau[[#This Row],[Duree_Panne_Min]]/1440</f>
        <v>7.6388888888888886E-3</v>
      </c>
      <c r="E1091">
        <v>11</v>
      </c>
      <c r="F1091" t="s">
        <v>2</v>
      </c>
      <c r="G1091">
        <f>IFERROR(VLOOKUP(Logs_reseau[[#This Row],[Cell_ID]],'[1]Registre_Maintenance_combine '!A:C,3,FALSE),"Non trouvé")</f>
        <v>2.4425979999999998</v>
      </c>
      <c r="H1091">
        <f>IFERROR(VLOOKUP(Logs_reseau[[#This Row],[Cell_ID]],'[1]Registre_Maintenance_combine '!A:D,4,FALSE),"Non trouvé")</f>
        <v>24.924308</v>
      </c>
      <c r="I1091" t="str">
        <f>IFERROR(VLOOKUP(Logs_reseau[[#This Row],[Cell_ID]],'[1]Registre_Maintenance_combine '!A:E,5,FALSE),"Non trouvé")</f>
        <v>5G</v>
      </c>
      <c r="J1091" t="str">
        <f>IFERROR(VLOOKUP(Logs_reseau[[#This Row],[Cell_ID]],'[1]Registre_Maintenance_combine '!A:F,6,FALSE),"Non trouvé")</f>
        <v>Ericsson</v>
      </c>
    </row>
    <row r="1092" spans="1:10" x14ac:dyDescent="0.25">
      <c r="A1092" t="str">
        <f>IFERROR(VLOOKUP(Logs_reseau[[#This Row],[Cell_ID]],'[1]Registre_Maintenance_combine '!A:B,2,FALSE),"Non trouvé")</f>
        <v>Lualaba</v>
      </c>
      <c r="B1092" t="s">
        <v>384</v>
      </c>
      <c r="C1092" s="3">
        <v>45205.929861111108</v>
      </c>
      <c r="D1092" s="11">
        <f>Logs_reseau[[#This Row],[Duree_Panne_Min]]/1440</f>
        <v>5.6944444444444443E-2</v>
      </c>
      <c r="E1092">
        <v>82</v>
      </c>
      <c r="F1092" t="s">
        <v>4</v>
      </c>
      <c r="G1092">
        <f>IFERROR(VLOOKUP(Logs_reseau[[#This Row],[Cell_ID]],'[1]Registre_Maintenance_combine '!A:C,3,FALSE),"Non trouvé")</f>
        <v>4.0157999999999996</v>
      </c>
      <c r="H1092">
        <f>IFERROR(VLOOKUP(Logs_reseau[[#This Row],[Cell_ID]],'[1]Registre_Maintenance_combine '!A:D,4,FALSE),"Non trouvé")</f>
        <v>21.430246</v>
      </c>
      <c r="I1092" t="str">
        <f>IFERROR(VLOOKUP(Logs_reseau[[#This Row],[Cell_ID]],'[1]Registre_Maintenance_combine '!A:E,5,FALSE),"Non trouvé")</f>
        <v>5G</v>
      </c>
      <c r="J1092" t="str">
        <f>IFERROR(VLOOKUP(Logs_reseau[[#This Row],[Cell_ID]],'[1]Registre_Maintenance_combine '!A:F,6,FALSE),"Non trouvé")</f>
        <v>Nokia</v>
      </c>
    </row>
    <row r="1093" spans="1:10" x14ac:dyDescent="0.25">
      <c r="A1093" t="str">
        <f>IFERROR(VLOOKUP(Logs_reseau[[#This Row],[Cell_ID]],'[1]Registre_Maintenance_combine '!A:B,2,FALSE),"Non trouvé")</f>
        <v>Sud-Kivu</v>
      </c>
      <c r="B1093" t="s">
        <v>137</v>
      </c>
      <c r="C1093" s="3">
        <v>45228.001388888886</v>
      </c>
      <c r="D1093" s="11">
        <f>Logs_reseau[[#This Row],[Duree_Panne_Min]]/1440</f>
        <v>6.9444444444444448E-2</v>
      </c>
      <c r="E1093">
        <v>100</v>
      </c>
      <c r="F1093" t="s">
        <v>2</v>
      </c>
      <c r="G1093">
        <f>IFERROR(VLOOKUP(Logs_reseau[[#This Row],[Cell_ID]],'[1]Registre_Maintenance_combine '!A:C,3,FALSE),"Non trouvé")</f>
        <v>-9.3900009999999998</v>
      </c>
      <c r="H1093">
        <f>IFERROR(VLOOKUP(Logs_reseau[[#This Row],[Cell_ID]],'[1]Registre_Maintenance_combine '!A:D,4,FALSE),"Non trouvé")</f>
        <v>30.001517</v>
      </c>
      <c r="I1093" t="str">
        <f>IFERROR(VLOOKUP(Logs_reseau[[#This Row],[Cell_ID]],'[1]Registre_Maintenance_combine '!A:E,5,FALSE),"Non trouvé")</f>
        <v>3G</v>
      </c>
      <c r="J1093" t="str">
        <f>IFERROR(VLOOKUP(Logs_reseau[[#This Row],[Cell_ID]],'[1]Registre_Maintenance_combine '!A:F,6,FALSE),"Non trouvé")</f>
        <v>Nokia</v>
      </c>
    </row>
    <row r="1094" spans="1:10" x14ac:dyDescent="0.25">
      <c r="A1094" t="str">
        <f>IFERROR(VLOOKUP(Logs_reseau[[#This Row],[Cell_ID]],'[1]Registre_Maintenance_combine '!A:B,2,FALSE),"Non trouvé")</f>
        <v>Non trouvé</v>
      </c>
      <c r="B1094" t="s">
        <v>385</v>
      </c>
      <c r="C1094" s="3">
        <v>45210.054166666669</v>
      </c>
      <c r="D1094" s="11">
        <f>Logs_reseau[[#This Row],[Duree_Panne_Min]]/1440</f>
        <v>4.7222222222222221E-2</v>
      </c>
      <c r="E1094">
        <v>68</v>
      </c>
      <c r="F1094" t="s">
        <v>4</v>
      </c>
      <c r="G1094" t="str">
        <f>IFERROR(VLOOKUP(Logs_reseau[[#This Row],[Cell_ID]],'[1]Registre_Maintenance_combine '!A:C,3,FALSE),"Non trouvé")</f>
        <v>Non trouvé</v>
      </c>
      <c r="H1094" t="str">
        <f>IFERROR(VLOOKUP(Logs_reseau[[#This Row],[Cell_ID]],'[1]Registre_Maintenance_combine '!A:D,4,FALSE),"Non trouvé")</f>
        <v>Non trouvé</v>
      </c>
      <c r="I1094" t="str">
        <f>IFERROR(VLOOKUP(Logs_reseau[[#This Row],[Cell_ID]],'[1]Registre_Maintenance_combine '!A:E,5,FALSE),"Non trouvé")</f>
        <v>Non trouvé</v>
      </c>
      <c r="J1094" t="str">
        <f>IFERROR(VLOOKUP(Logs_reseau[[#This Row],[Cell_ID]],'[1]Registre_Maintenance_combine '!A:F,6,FALSE),"Non trouvé")</f>
        <v>Non trouvé</v>
      </c>
    </row>
    <row r="1095" spans="1:10" x14ac:dyDescent="0.25">
      <c r="A1095" t="str">
        <f>IFERROR(VLOOKUP(Logs_reseau[[#This Row],[Cell_ID]],'[1]Registre_Maintenance_combine '!A:B,2,FALSE),"Non trouvé")</f>
        <v>Nord-Kivu</v>
      </c>
      <c r="B1095" t="s">
        <v>219</v>
      </c>
      <c r="C1095" s="3">
        <v>45211.477083333331</v>
      </c>
      <c r="D1095" s="11">
        <f>Logs_reseau[[#This Row],[Duree_Panne_Min]]/1440</f>
        <v>7.7083333333333337E-2</v>
      </c>
      <c r="E1095">
        <v>111</v>
      </c>
      <c r="F1095" t="s">
        <v>1</v>
      </c>
      <c r="G1095">
        <f>IFERROR(VLOOKUP(Logs_reseau[[#This Row],[Cell_ID]],'[1]Registre_Maintenance_combine '!A:C,3,FALSE),"Non trouvé")</f>
        <v>4.6287159999999998</v>
      </c>
      <c r="H1095">
        <f>IFERROR(VLOOKUP(Logs_reseau[[#This Row],[Cell_ID]],'[1]Registre_Maintenance_combine '!A:D,4,FALSE),"Non trouvé")</f>
        <v>19.407077999999998</v>
      </c>
      <c r="I1095" t="str">
        <f>IFERROR(VLOOKUP(Logs_reseau[[#This Row],[Cell_ID]],'[1]Registre_Maintenance_combine '!A:E,5,FALSE),"Non trouvé")</f>
        <v>4G</v>
      </c>
      <c r="J1095" t="str">
        <f>IFERROR(VLOOKUP(Logs_reseau[[#This Row],[Cell_ID]],'[1]Registre_Maintenance_combine '!A:F,6,FALSE),"Non trouvé")</f>
        <v>Ericsson</v>
      </c>
    </row>
    <row r="1096" spans="1:10" x14ac:dyDescent="0.25">
      <c r="A1096" t="str">
        <f>IFERROR(VLOOKUP(Logs_reseau[[#This Row],[Cell_ID]],'[1]Registre_Maintenance_combine '!A:B,2,FALSE),"Non trouvé")</f>
        <v>Non trouvé</v>
      </c>
      <c r="B1096" t="s">
        <v>386</v>
      </c>
      <c r="C1096" s="3">
        <v>45204.314583333333</v>
      </c>
      <c r="D1096" s="11">
        <f>Logs_reseau[[#This Row],[Duree_Panne_Min]]/1440</f>
        <v>8.3333333333333329E-2</v>
      </c>
      <c r="E1096">
        <v>120</v>
      </c>
      <c r="F1096" t="s">
        <v>2</v>
      </c>
      <c r="G1096" t="str">
        <f>IFERROR(VLOOKUP(Logs_reseau[[#This Row],[Cell_ID]],'[1]Registre_Maintenance_combine '!A:C,3,FALSE),"Non trouvé")</f>
        <v>Non trouvé</v>
      </c>
      <c r="H1096" t="str">
        <f>IFERROR(VLOOKUP(Logs_reseau[[#This Row],[Cell_ID]],'[1]Registre_Maintenance_combine '!A:D,4,FALSE),"Non trouvé")</f>
        <v>Non trouvé</v>
      </c>
      <c r="I1096" t="str">
        <f>IFERROR(VLOOKUP(Logs_reseau[[#This Row],[Cell_ID]],'[1]Registre_Maintenance_combine '!A:E,5,FALSE),"Non trouvé")</f>
        <v>Non trouvé</v>
      </c>
      <c r="J1096" t="str">
        <f>IFERROR(VLOOKUP(Logs_reseau[[#This Row],[Cell_ID]],'[1]Registre_Maintenance_combine '!A:F,6,FALSE),"Non trouvé")</f>
        <v>Non trouvé</v>
      </c>
    </row>
    <row r="1097" spans="1:10" x14ac:dyDescent="0.25">
      <c r="A1097" t="str">
        <f>IFERROR(VLOOKUP(Logs_reseau[[#This Row],[Cell_ID]],'[1]Registre_Maintenance_combine '!A:B,2,FALSE),"Non trouvé")</f>
        <v>Sankuru</v>
      </c>
      <c r="B1097" t="s">
        <v>387</v>
      </c>
      <c r="C1097" s="3">
        <v>45213.779861111114</v>
      </c>
      <c r="D1097" s="11">
        <f>Logs_reseau[[#This Row],[Duree_Panne_Min]]/1440</f>
        <v>8.3333333333333329E-2</v>
      </c>
      <c r="E1097">
        <v>120</v>
      </c>
      <c r="F1097" t="s">
        <v>1</v>
      </c>
      <c r="G1097">
        <f>IFERROR(VLOOKUP(Logs_reseau[[#This Row],[Cell_ID]],'[1]Registre_Maintenance_combine '!A:C,3,FALSE),"Non trouvé")</f>
        <v>-7.5969509999999998</v>
      </c>
      <c r="H1097">
        <f>IFERROR(VLOOKUP(Logs_reseau[[#This Row],[Cell_ID]],'[1]Registre_Maintenance_combine '!A:D,4,FALSE),"Non trouvé")</f>
        <v>22.153986</v>
      </c>
      <c r="I1097" t="str">
        <f>IFERROR(VLOOKUP(Logs_reseau[[#This Row],[Cell_ID]],'[1]Registre_Maintenance_combine '!A:E,5,FALSE),"Non trouvé")</f>
        <v>3G</v>
      </c>
      <c r="J1097" t="str">
        <f>IFERROR(VLOOKUP(Logs_reseau[[#This Row],[Cell_ID]],'[1]Registre_Maintenance_combine '!A:F,6,FALSE),"Non trouvé")</f>
        <v>Ericsson</v>
      </c>
    </row>
    <row r="1098" spans="1:10" x14ac:dyDescent="0.25">
      <c r="A1098" t="str">
        <f>IFERROR(VLOOKUP(Logs_reseau[[#This Row],[Cell_ID]],'[1]Registre_Maintenance_combine '!A:B,2,FALSE),"Non trouvé")</f>
        <v>Mai-Ndombe</v>
      </c>
      <c r="B1098" t="s">
        <v>388</v>
      </c>
      <c r="C1098" s="3">
        <v>45225.215277777781</v>
      </c>
      <c r="D1098" s="11">
        <f>Logs_reseau[[#This Row],[Duree_Panne_Min]]/1440</f>
        <v>2.8472222222222222E-2</v>
      </c>
      <c r="E1098">
        <v>41</v>
      </c>
      <c r="F1098" t="s">
        <v>4</v>
      </c>
      <c r="G1098">
        <f>IFERROR(VLOOKUP(Logs_reseau[[#This Row],[Cell_ID]],'[1]Registre_Maintenance_combine '!A:C,3,FALSE),"Non trouvé")</f>
        <v>-4.9552579999999997</v>
      </c>
      <c r="H1098">
        <f>IFERROR(VLOOKUP(Logs_reseau[[#This Row],[Cell_ID]],'[1]Registre_Maintenance_combine '!A:D,4,FALSE),"Non trouvé")</f>
        <v>22.008103999999999</v>
      </c>
      <c r="I1098" t="str">
        <f>IFERROR(VLOOKUP(Logs_reseau[[#This Row],[Cell_ID]],'[1]Registre_Maintenance_combine '!A:E,5,FALSE),"Non trouvé")</f>
        <v>4G</v>
      </c>
      <c r="J1098" t="str">
        <f>IFERROR(VLOOKUP(Logs_reseau[[#This Row],[Cell_ID]],'[1]Registre_Maintenance_combine '!A:F,6,FALSE),"Non trouvé")</f>
        <v>Huawei</v>
      </c>
    </row>
    <row r="1099" spans="1:10" x14ac:dyDescent="0.25">
      <c r="A1099" t="str">
        <f>IFERROR(VLOOKUP(Logs_reseau[[#This Row],[Cell_ID]],'[1]Registre_Maintenance_combine '!A:B,2,FALSE),"Non trouvé")</f>
        <v>Non trouvé</v>
      </c>
      <c r="B1099" t="s">
        <v>222</v>
      </c>
      <c r="C1099" s="3">
        <v>45205.11041666667</v>
      </c>
      <c r="D1099" s="11">
        <f>Logs_reseau[[#This Row],[Duree_Panne_Min]]/1440</f>
        <v>7.2222222222222215E-2</v>
      </c>
      <c r="E1099">
        <v>104</v>
      </c>
      <c r="F1099" t="s">
        <v>1</v>
      </c>
      <c r="G1099" t="str">
        <f>IFERROR(VLOOKUP(Logs_reseau[[#This Row],[Cell_ID]],'[1]Registre_Maintenance_combine '!A:C,3,FALSE),"Non trouvé")</f>
        <v>Non trouvé</v>
      </c>
      <c r="H1099" t="str">
        <f>IFERROR(VLOOKUP(Logs_reseau[[#This Row],[Cell_ID]],'[1]Registre_Maintenance_combine '!A:D,4,FALSE),"Non trouvé")</f>
        <v>Non trouvé</v>
      </c>
      <c r="I1099" t="str">
        <f>IFERROR(VLOOKUP(Logs_reseau[[#This Row],[Cell_ID]],'[1]Registre_Maintenance_combine '!A:E,5,FALSE),"Non trouvé")</f>
        <v>Non trouvé</v>
      </c>
      <c r="J1099" t="str">
        <f>IFERROR(VLOOKUP(Logs_reseau[[#This Row],[Cell_ID]],'[1]Registre_Maintenance_combine '!A:F,6,FALSE),"Non trouvé")</f>
        <v>Non trouvé</v>
      </c>
    </row>
    <row r="1100" spans="1:10" x14ac:dyDescent="0.25">
      <c r="A1100" t="str">
        <f>IFERROR(VLOOKUP(Logs_reseau[[#This Row],[Cell_ID]],'[1]Registre_Maintenance_combine '!A:B,2,FALSE),"Non trouvé")</f>
        <v>Tanganyika</v>
      </c>
      <c r="B1100" t="s">
        <v>389</v>
      </c>
      <c r="C1100" s="3">
        <v>45227.527083333334</v>
      </c>
      <c r="D1100" s="11">
        <f>Logs_reseau[[#This Row],[Duree_Panne_Min]]/1440</f>
        <v>7.4305555555555555E-2</v>
      </c>
      <c r="E1100">
        <v>107</v>
      </c>
      <c r="F1100" t="s">
        <v>2</v>
      </c>
      <c r="G1100">
        <f>IFERROR(VLOOKUP(Logs_reseau[[#This Row],[Cell_ID]],'[1]Registre_Maintenance_combine '!A:C,3,FALSE),"Non trouvé")</f>
        <v>-1.50664</v>
      </c>
      <c r="H1100">
        <f>IFERROR(VLOOKUP(Logs_reseau[[#This Row],[Cell_ID]],'[1]Registre_Maintenance_combine '!A:D,4,FALSE),"Non trouvé")</f>
        <v>27.795642000000001</v>
      </c>
      <c r="I1100" t="str">
        <f>IFERROR(VLOOKUP(Logs_reseau[[#This Row],[Cell_ID]],'[1]Registre_Maintenance_combine '!A:E,5,FALSE),"Non trouvé")</f>
        <v>5G</v>
      </c>
      <c r="J1100" t="str">
        <f>IFERROR(VLOOKUP(Logs_reseau[[#This Row],[Cell_ID]],'[1]Registre_Maintenance_combine '!A:F,6,FALSE),"Non trouvé")</f>
        <v>ZTE</v>
      </c>
    </row>
    <row r="1101" spans="1:10" x14ac:dyDescent="0.25">
      <c r="A1101" t="str">
        <f>IFERROR(VLOOKUP(Logs_reseau[[#This Row],[Cell_ID]],'[1]Registre_Maintenance_combine '!A:B,2,FALSE),"Non trouvé")</f>
        <v>Kasai</v>
      </c>
      <c r="B1101" t="s">
        <v>390</v>
      </c>
      <c r="C1101" s="3">
        <v>45221.313194444447</v>
      </c>
      <c r="D1101" s="11">
        <f>Logs_reseau[[#This Row],[Duree_Panne_Min]]/1440</f>
        <v>2.361111111111111E-2</v>
      </c>
      <c r="E1101">
        <v>34</v>
      </c>
      <c r="F1101" t="s">
        <v>2</v>
      </c>
      <c r="G1101">
        <f>IFERROR(VLOOKUP(Logs_reseau[[#This Row],[Cell_ID]],'[1]Registre_Maintenance_combine '!A:C,3,FALSE),"Non trouvé")</f>
        <v>-10.165072</v>
      </c>
      <c r="H1101">
        <f>IFERROR(VLOOKUP(Logs_reseau[[#This Row],[Cell_ID]],'[1]Registre_Maintenance_combine '!A:D,4,FALSE),"Non trouvé")</f>
        <v>29.428024000000001</v>
      </c>
      <c r="I1101" t="str">
        <f>IFERROR(VLOOKUP(Logs_reseau[[#This Row],[Cell_ID]],'[1]Registre_Maintenance_combine '!A:E,5,FALSE),"Non trouvé")</f>
        <v>5G</v>
      </c>
      <c r="J1101" t="str">
        <f>IFERROR(VLOOKUP(Logs_reseau[[#This Row],[Cell_ID]],'[1]Registre_Maintenance_combine '!A:F,6,FALSE),"Non trouvé")</f>
        <v>Huawei</v>
      </c>
    </row>
    <row r="1102" spans="1:10" x14ac:dyDescent="0.25">
      <c r="A1102" t="str">
        <f>IFERROR(VLOOKUP(Logs_reseau[[#This Row],[Cell_ID]],'[1]Registre_Maintenance_combine '!A:B,2,FALSE),"Non trouvé")</f>
        <v>Non trouvé</v>
      </c>
      <c r="B1102" t="s">
        <v>391</v>
      </c>
      <c r="C1102" s="3">
        <v>45229.756249999999</v>
      </c>
      <c r="D1102" s="11">
        <f>Logs_reseau[[#This Row],[Duree_Panne_Min]]/1440</f>
        <v>5.6944444444444443E-2</v>
      </c>
      <c r="E1102">
        <v>82</v>
      </c>
      <c r="F1102" t="s">
        <v>4</v>
      </c>
      <c r="G1102" t="str">
        <f>IFERROR(VLOOKUP(Logs_reseau[[#This Row],[Cell_ID]],'[1]Registre_Maintenance_combine '!A:C,3,FALSE),"Non trouvé")</f>
        <v>Non trouvé</v>
      </c>
      <c r="H1102" t="str">
        <f>IFERROR(VLOOKUP(Logs_reseau[[#This Row],[Cell_ID]],'[1]Registre_Maintenance_combine '!A:D,4,FALSE),"Non trouvé")</f>
        <v>Non trouvé</v>
      </c>
      <c r="I1102" t="str">
        <f>IFERROR(VLOOKUP(Logs_reseau[[#This Row],[Cell_ID]],'[1]Registre_Maintenance_combine '!A:E,5,FALSE),"Non trouvé")</f>
        <v>Non trouvé</v>
      </c>
      <c r="J1102" t="str">
        <f>IFERROR(VLOOKUP(Logs_reseau[[#This Row],[Cell_ID]],'[1]Registre_Maintenance_combine '!A:F,6,FALSE),"Non trouvé")</f>
        <v>Non trouvé</v>
      </c>
    </row>
    <row r="1103" spans="1:10" x14ac:dyDescent="0.25">
      <c r="A1103" t="str">
        <f>IFERROR(VLOOKUP(Logs_reseau[[#This Row],[Cell_ID]],'[1]Registre_Maintenance_combine '!A:B,2,FALSE),"Non trouvé")</f>
        <v>Non trouvé</v>
      </c>
      <c r="B1103" t="s">
        <v>280</v>
      </c>
      <c r="C1103" s="3">
        <v>45207.611111111109</v>
      </c>
      <c r="D1103" s="11">
        <f>Logs_reseau[[#This Row],[Duree_Panne_Min]]/1440</f>
        <v>7.4305555555555555E-2</v>
      </c>
      <c r="E1103">
        <v>107</v>
      </c>
      <c r="F1103" t="s">
        <v>2</v>
      </c>
      <c r="G1103" t="str">
        <f>IFERROR(VLOOKUP(Logs_reseau[[#This Row],[Cell_ID]],'[1]Registre_Maintenance_combine '!A:C,3,FALSE),"Non trouvé")</f>
        <v>Non trouvé</v>
      </c>
      <c r="H1103" t="str">
        <f>IFERROR(VLOOKUP(Logs_reseau[[#This Row],[Cell_ID]],'[1]Registre_Maintenance_combine '!A:D,4,FALSE),"Non trouvé")</f>
        <v>Non trouvé</v>
      </c>
      <c r="I1103" t="str">
        <f>IFERROR(VLOOKUP(Logs_reseau[[#This Row],[Cell_ID]],'[1]Registre_Maintenance_combine '!A:E,5,FALSE),"Non trouvé")</f>
        <v>Non trouvé</v>
      </c>
      <c r="J1103" t="str">
        <f>IFERROR(VLOOKUP(Logs_reseau[[#This Row],[Cell_ID]],'[1]Registre_Maintenance_combine '!A:F,6,FALSE),"Non trouvé")</f>
        <v>Non trouvé</v>
      </c>
    </row>
    <row r="1104" spans="1:10" x14ac:dyDescent="0.25">
      <c r="A1104" t="str">
        <f>IFERROR(VLOOKUP(Logs_reseau[[#This Row],[Cell_ID]],'[1]Registre_Maintenance_combine '!A:B,2,FALSE),"Non trouvé")</f>
        <v>Non trouvé</v>
      </c>
      <c r="B1104" t="s">
        <v>168</v>
      </c>
      <c r="C1104" s="3">
        <v>45208.594444444447</v>
      </c>
      <c r="D1104" s="11">
        <f>Logs_reseau[[#This Row],[Duree_Panne_Min]]/1440</f>
        <v>3.4722222222222224E-2</v>
      </c>
      <c r="E1104">
        <v>50</v>
      </c>
      <c r="F1104" t="s">
        <v>1</v>
      </c>
      <c r="G1104" t="str">
        <f>IFERROR(VLOOKUP(Logs_reseau[[#This Row],[Cell_ID]],'[1]Registre_Maintenance_combine '!A:C,3,FALSE),"Non trouvé")</f>
        <v>Non trouvé</v>
      </c>
      <c r="H1104" t="str">
        <f>IFERROR(VLOOKUP(Logs_reseau[[#This Row],[Cell_ID]],'[1]Registre_Maintenance_combine '!A:D,4,FALSE),"Non trouvé")</f>
        <v>Non trouvé</v>
      </c>
      <c r="I1104" t="str">
        <f>IFERROR(VLOOKUP(Logs_reseau[[#This Row],[Cell_ID]],'[1]Registre_Maintenance_combine '!A:E,5,FALSE),"Non trouvé")</f>
        <v>Non trouvé</v>
      </c>
      <c r="J1104" t="str">
        <f>IFERROR(VLOOKUP(Logs_reseau[[#This Row],[Cell_ID]],'[1]Registre_Maintenance_combine '!A:F,6,FALSE),"Non trouvé")</f>
        <v>Non trouvé</v>
      </c>
    </row>
    <row r="1105" spans="1:10" x14ac:dyDescent="0.25">
      <c r="A1105" t="str">
        <f>IFERROR(VLOOKUP(Logs_reseau[[#This Row],[Cell_ID]],'[1]Registre_Maintenance_combine '!A:B,2,FALSE),"Non trouvé")</f>
        <v>Kinshasa</v>
      </c>
      <c r="B1105" t="s">
        <v>392</v>
      </c>
      <c r="C1105" s="3">
        <v>45221.039583333331</v>
      </c>
      <c r="D1105" s="11">
        <f>Logs_reseau[[#This Row],[Duree_Panne_Min]]/1440</f>
        <v>2.2916666666666665E-2</v>
      </c>
      <c r="E1105">
        <v>33</v>
      </c>
      <c r="F1105" t="s">
        <v>2</v>
      </c>
      <c r="G1105">
        <f>IFERROR(VLOOKUP(Logs_reseau[[#This Row],[Cell_ID]],'[1]Registre_Maintenance_combine '!A:C,3,FALSE),"Non trouvé")</f>
        <v>0.48965500000000001</v>
      </c>
      <c r="H1105">
        <f>IFERROR(VLOOKUP(Logs_reseau[[#This Row],[Cell_ID]],'[1]Registre_Maintenance_combine '!A:D,4,FALSE),"Non trouvé")</f>
        <v>26.176860000000001</v>
      </c>
      <c r="I1105" t="str">
        <f>IFERROR(VLOOKUP(Logs_reseau[[#This Row],[Cell_ID]],'[1]Registre_Maintenance_combine '!A:E,5,FALSE),"Non trouvé")</f>
        <v>4G</v>
      </c>
      <c r="J1105" t="str">
        <f>IFERROR(VLOOKUP(Logs_reseau[[#This Row],[Cell_ID]],'[1]Registre_Maintenance_combine '!A:F,6,FALSE),"Non trouvé")</f>
        <v>Huawei</v>
      </c>
    </row>
    <row r="1106" spans="1:10" x14ac:dyDescent="0.25">
      <c r="A1106" t="str">
        <f>IFERROR(VLOOKUP(Logs_reseau[[#This Row],[Cell_ID]],'[1]Registre_Maintenance_combine '!A:B,2,FALSE),"Non trouvé")</f>
        <v>Kasai</v>
      </c>
      <c r="B1106" t="s">
        <v>390</v>
      </c>
      <c r="C1106" s="3">
        <v>45225.622916666667</v>
      </c>
      <c r="D1106" s="11">
        <f>Logs_reseau[[#This Row],[Duree_Panne_Min]]/1440</f>
        <v>5.9722222222222225E-2</v>
      </c>
      <c r="E1106">
        <v>86</v>
      </c>
      <c r="F1106" t="s">
        <v>1</v>
      </c>
      <c r="G1106">
        <f>IFERROR(VLOOKUP(Logs_reseau[[#This Row],[Cell_ID]],'[1]Registre_Maintenance_combine '!A:C,3,FALSE),"Non trouvé")</f>
        <v>-10.165072</v>
      </c>
      <c r="H1106">
        <f>IFERROR(VLOOKUP(Logs_reseau[[#This Row],[Cell_ID]],'[1]Registre_Maintenance_combine '!A:D,4,FALSE),"Non trouvé")</f>
        <v>29.428024000000001</v>
      </c>
      <c r="I1106" t="str">
        <f>IFERROR(VLOOKUP(Logs_reseau[[#This Row],[Cell_ID]],'[1]Registre_Maintenance_combine '!A:E,5,FALSE),"Non trouvé")</f>
        <v>5G</v>
      </c>
      <c r="J1106" t="str">
        <f>IFERROR(VLOOKUP(Logs_reseau[[#This Row],[Cell_ID]],'[1]Registre_Maintenance_combine '!A:F,6,FALSE),"Non trouvé")</f>
        <v>Huawei</v>
      </c>
    </row>
    <row r="1107" spans="1:10" x14ac:dyDescent="0.25">
      <c r="A1107" t="str">
        <f>IFERROR(VLOOKUP(Logs_reseau[[#This Row],[Cell_ID]],'[1]Registre_Maintenance_combine '!A:B,2,FALSE),"Non trouvé")</f>
        <v>Lualaba</v>
      </c>
      <c r="B1107" t="s">
        <v>344</v>
      </c>
      <c r="C1107" s="3">
        <v>45209.898611111108</v>
      </c>
      <c r="D1107" s="11">
        <f>Logs_reseau[[#This Row],[Duree_Panne_Min]]/1440</f>
        <v>2.013888888888889E-2</v>
      </c>
      <c r="E1107">
        <v>29</v>
      </c>
      <c r="F1107" t="s">
        <v>2</v>
      </c>
      <c r="G1107">
        <f>IFERROR(VLOOKUP(Logs_reseau[[#This Row],[Cell_ID]],'[1]Registre_Maintenance_combine '!A:C,3,FALSE),"Non trouvé")</f>
        <v>-10.872631999999999</v>
      </c>
      <c r="H1107">
        <f>IFERROR(VLOOKUP(Logs_reseau[[#This Row],[Cell_ID]],'[1]Registre_Maintenance_combine '!A:D,4,FALSE),"Non trouvé")</f>
        <v>12.773279</v>
      </c>
      <c r="I1107" t="str">
        <f>IFERROR(VLOOKUP(Logs_reseau[[#This Row],[Cell_ID]],'[1]Registre_Maintenance_combine '!A:E,5,FALSE),"Non trouvé")</f>
        <v>3G</v>
      </c>
      <c r="J1107" t="str">
        <f>IFERROR(VLOOKUP(Logs_reseau[[#This Row],[Cell_ID]],'[1]Registre_Maintenance_combine '!A:F,6,FALSE),"Non trouvé")</f>
        <v>ZTE</v>
      </c>
    </row>
    <row r="1108" spans="1:10" x14ac:dyDescent="0.25">
      <c r="A1108" t="str">
        <f>IFERROR(VLOOKUP(Logs_reseau[[#This Row],[Cell_ID]],'[1]Registre_Maintenance_combine '!A:B,2,FALSE),"Non trouvé")</f>
        <v>Non trouvé</v>
      </c>
      <c r="B1108" t="s">
        <v>393</v>
      </c>
      <c r="C1108" s="3">
        <v>45205.102777777778</v>
      </c>
      <c r="D1108" s="11">
        <f>Logs_reseau[[#This Row],[Duree_Panne_Min]]/1440</f>
        <v>5.8333333333333334E-2</v>
      </c>
      <c r="E1108">
        <v>84</v>
      </c>
      <c r="F1108" t="s">
        <v>4</v>
      </c>
      <c r="G1108" t="str">
        <f>IFERROR(VLOOKUP(Logs_reseau[[#This Row],[Cell_ID]],'[1]Registre_Maintenance_combine '!A:C,3,FALSE),"Non trouvé")</f>
        <v>Non trouvé</v>
      </c>
      <c r="H1108" t="str">
        <f>IFERROR(VLOOKUP(Logs_reseau[[#This Row],[Cell_ID]],'[1]Registre_Maintenance_combine '!A:D,4,FALSE),"Non trouvé")</f>
        <v>Non trouvé</v>
      </c>
      <c r="I1108" t="str">
        <f>IFERROR(VLOOKUP(Logs_reseau[[#This Row],[Cell_ID]],'[1]Registre_Maintenance_combine '!A:E,5,FALSE),"Non trouvé")</f>
        <v>Non trouvé</v>
      </c>
      <c r="J1108" t="str">
        <f>IFERROR(VLOOKUP(Logs_reseau[[#This Row],[Cell_ID]],'[1]Registre_Maintenance_combine '!A:F,6,FALSE),"Non trouvé")</f>
        <v>Non trouvé</v>
      </c>
    </row>
    <row r="1109" spans="1:10" x14ac:dyDescent="0.25">
      <c r="A1109" t="str">
        <f>IFERROR(VLOOKUP(Logs_reseau[[#This Row],[Cell_ID]],'[1]Registre_Maintenance_combine '!A:B,2,FALSE),"Non trouvé")</f>
        <v>Kongo-Central</v>
      </c>
      <c r="B1109" t="s">
        <v>394</v>
      </c>
      <c r="C1109" s="3">
        <v>45230.484027777777</v>
      </c>
      <c r="D1109" s="11">
        <f>Logs_reseau[[#This Row],[Duree_Panne_Min]]/1440</f>
        <v>2.5694444444444443E-2</v>
      </c>
      <c r="E1109">
        <v>37</v>
      </c>
      <c r="F1109" t="s">
        <v>2</v>
      </c>
      <c r="G1109">
        <f>IFERROR(VLOOKUP(Logs_reseau[[#This Row],[Cell_ID]],'[1]Registre_Maintenance_combine '!A:C,3,FALSE),"Non trouvé")</f>
        <v>-12.564277000000001</v>
      </c>
      <c r="H1109">
        <f>IFERROR(VLOOKUP(Logs_reseau[[#This Row],[Cell_ID]],'[1]Registre_Maintenance_combine '!A:D,4,FALSE),"Non trouvé")</f>
        <v>28.480798</v>
      </c>
      <c r="I1109" t="str">
        <f>IFERROR(VLOOKUP(Logs_reseau[[#This Row],[Cell_ID]],'[1]Registre_Maintenance_combine '!A:E,5,FALSE),"Non trouvé")</f>
        <v>5G</v>
      </c>
      <c r="J1109" t="str">
        <f>IFERROR(VLOOKUP(Logs_reseau[[#This Row],[Cell_ID]],'[1]Registre_Maintenance_combine '!A:F,6,FALSE),"Non trouvé")</f>
        <v>ZTE</v>
      </c>
    </row>
    <row r="1110" spans="1:10" x14ac:dyDescent="0.25">
      <c r="A1110" t="str">
        <f>IFERROR(VLOOKUP(Logs_reseau[[#This Row],[Cell_ID]],'[1]Registre_Maintenance_combine '!A:B,2,FALSE),"Non trouvé")</f>
        <v>Kwango</v>
      </c>
      <c r="B1110" t="s">
        <v>395</v>
      </c>
      <c r="C1110" s="3">
        <v>45209.852083333331</v>
      </c>
      <c r="D1110" s="11">
        <f>Logs_reseau[[#This Row],[Duree_Panne_Min]]/1440</f>
        <v>6.3194444444444442E-2</v>
      </c>
      <c r="E1110">
        <v>91</v>
      </c>
      <c r="F1110" t="s">
        <v>4</v>
      </c>
      <c r="G1110">
        <f>IFERROR(VLOOKUP(Logs_reseau[[#This Row],[Cell_ID]],'[1]Registre_Maintenance_combine '!A:C,3,FALSE),"Non trouvé")</f>
        <v>-12.431227</v>
      </c>
      <c r="H1110">
        <f>IFERROR(VLOOKUP(Logs_reseau[[#This Row],[Cell_ID]],'[1]Registre_Maintenance_combine '!A:D,4,FALSE),"Non trouvé")</f>
        <v>18.414290999999999</v>
      </c>
      <c r="I1110" t="str">
        <f>IFERROR(VLOOKUP(Logs_reseau[[#This Row],[Cell_ID]],'[1]Registre_Maintenance_combine '!A:E,5,FALSE),"Non trouvé")</f>
        <v>5G</v>
      </c>
      <c r="J1110" t="str">
        <f>IFERROR(VLOOKUP(Logs_reseau[[#This Row],[Cell_ID]],'[1]Registre_Maintenance_combine '!A:F,6,FALSE),"Non trouvé")</f>
        <v>Huawei</v>
      </c>
    </row>
    <row r="1111" spans="1:10" x14ac:dyDescent="0.25">
      <c r="A1111" t="str">
        <f>IFERROR(VLOOKUP(Logs_reseau[[#This Row],[Cell_ID]],'[1]Registre_Maintenance_combine '!A:B,2,FALSE),"Non trouvé")</f>
        <v>Nord-Kivu</v>
      </c>
      <c r="B1111" t="s">
        <v>396</v>
      </c>
      <c r="C1111" s="3">
        <v>45222.353472222225</v>
      </c>
      <c r="D1111" s="11">
        <f>Logs_reseau[[#This Row],[Duree_Panne_Min]]/1440</f>
        <v>7.013888888888889E-2</v>
      </c>
      <c r="E1111">
        <v>101</v>
      </c>
      <c r="F1111" t="s">
        <v>2</v>
      </c>
      <c r="G1111">
        <f>IFERROR(VLOOKUP(Logs_reseau[[#This Row],[Cell_ID]],'[1]Registre_Maintenance_combine '!A:C,3,FALSE),"Non trouvé")</f>
        <v>-10.846306999999999</v>
      </c>
      <c r="H1111">
        <f>IFERROR(VLOOKUP(Logs_reseau[[#This Row],[Cell_ID]],'[1]Registre_Maintenance_combine '!A:D,4,FALSE),"Non trouvé")</f>
        <v>19.201827999999999</v>
      </c>
      <c r="I1111" t="str">
        <f>IFERROR(VLOOKUP(Logs_reseau[[#This Row],[Cell_ID]],'[1]Registre_Maintenance_combine '!A:E,5,FALSE),"Non trouvé")</f>
        <v>4G</v>
      </c>
      <c r="J1111" t="str">
        <f>IFERROR(VLOOKUP(Logs_reseau[[#This Row],[Cell_ID]],'[1]Registre_Maintenance_combine '!A:F,6,FALSE),"Non trouvé")</f>
        <v>Ericsson</v>
      </c>
    </row>
    <row r="1112" spans="1:10" x14ac:dyDescent="0.25">
      <c r="A1112" t="str">
        <f>IFERROR(VLOOKUP(Logs_reseau[[#This Row],[Cell_ID]],'[1]Registre_Maintenance_combine '!A:B,2,FALSE),"Non trouvé")</f>
        <v>Non trouvé</v>
      </c>
      <c r="B1112" t="s">
        <v>112</v>
      </c>
      <c r="C1112" s="3">
        <v>45207.713888888888</v>
      </c>
      <c r="D1112" s="11">
        <f>Logs_reseau[[#This Row],[Duree_Panne_Min]]/1440</f>
        <v>6.8750000000000006E-2</v>
      </c>
      <c r="E1112">
        <v>99</v>
      </c>
      <c r="F1112" t="s">
        <v>2</v>
      </c>
      <c r="G1112" t="str">
        <f>IFERROR(VLOOKUP(Logs_reseau[[#This Row],[Cell_ID]],'[1]Registre_Maintenance_combine '!A:C,3,FALSE),"Non trouvé")</f>
        <v>Non trouvé</v>
      </c>
      <c r="H1112" t="str">
        <f>IFERROR(VLOOKUP(Logs_reseau[[#This Row],[Cell_ID]],'[1]Registre_Maintenance_combine '!A:D,4,FALSE),"Non trouvé")</f>
        <v>Non trouvé</v>
      </c>
      <c r="I1112" t="str">
        <f>IFERROR(VLOOKUP(Logs_reseau[[#This Row],[Cell_ID]],'[1]Registre_Maintenance_combine '!A:E,5,FALSE),"Non trouvé")</f>
        <v>Non trouvé</v>
      </c>
      <c r="J1112" t="str">
        <f>IFERROR(VLOOKUP(Logs_reseau[[#This Row],[Cell_ID]],'[1]Registre_Maintenance_combine '!A:F,6,FALSE),"Non trouvé")</f>
        <v>Non trouvé</v>
      </c>
    </row>
    <row r="1113" spans="1:10" x14ac:dyDescent="0.25">
      <c r="A1113" t="str">
        <f>IFERROR(VLOOKUP(Logs_reseau[[#This Row],[Cell_ID]],'[1]Registre_Maintenance_combine '!A:B,2,FALSE),"Non trouvé")</f>
        <v>Haut-Uele</v>
      </c>
      <c r="B1113" t="s">
        <v>319</v>
      </c>
      <c r="C1113" s="3">
        <v>45212.599305555559</v>
      </c>
      <c r="D1113" s="11">
        <f>Logs_reseau[[#This Row],[Duree_Panne_Min]]/1440</f>
        <v>4.027777777777778E-2</v>
      </c>
      <c r="E1113">
        <v>58</v>
      </c>
      <c r="F1113" t="s">
        <v>2</v>
      </c>
      <c r="G1113">
        <f>IFERROR(VLOOKUP(Logs_reseau[[#This Row],[Cell_ID]],'[1]Registre_Maintenance_combine '!A:C,3,FALSE),"Non trouvé")</f>
        <v>-1.8045979999999999</v>
      </c>
      <c r="H1113">
        <f>IFERROR(VLOOKUP(Logs_reseau[[#This Row],[Cell_ID]],'[1]Registre_Maintenance_combine '!A:D,4,FALSE),"Non trouvé")</f>
        <v>12.511096999999999</v>
      </c>
      <c r="I1113" t="str">
        <f>IFERROR(VLOOKUP(Logs_reseau[[#This Row],[Cell_ID]],'[1]Registre_Maintenance_combine '!A:E,5,FALSE),"Non trouvé")</f>
        <v>3G</v>
      </c>
      <c r="J1113" t="str">
        <f>IFERROR(VLOOKUP(Logs_reseau[[#This Row],[Cell_ID]],'[1]Registre_Maintenance_combine '!A:F,6,FALSE),"Non trouvé")</f>
        <v>Huawei</v>
      </c>
    </row>
    <row r="1114" spans="1:10" x14ac:dyDescent="0.25">
      <c r="A1114" t="str">
        <f>IFERROR(VLOOKUP(Logs_reseau[[#This Row],[Cell_ID]],'[1]Registre_Maintenance_combine '!A:B,2,FALSE),"Non trouvé")</f>
        <v>Non trouvé</v>
      </c>
      <c r="B1114" t="s">
        <v>397</v>
      </c>
      <c r="C1114" s="3">
        <v>45221.988888888889</v>
      </c>
      <c r="D1114" s="11">
        <f>Logs_reseau[[#This Row],[Duree_Panne_Min]]/1440</f>
        <v>0.05</v>
      </c>
      <c r="E1114">
        <v>72</v>
      </c>
      <c r="F1114" t="s">
        <v>2</v>
      </c>
      <c r="G1114" t="str">
        <f>IFERROR(VLOOKUP(Logs_reseau[[#This Row],[Cell_ID]],'[1]Registre_Maintenance_combine '!A:C,3,FALSE),"Non trouvé")</f>
        <v>Non trouvé</v>
      </c>
      <c r="H1114" t="str">
        <f>IFERROR(VLOOKUP(Logs_reseau[[#This Row],[Cell_ID]],'[1]Registre_Maintenance_combine '!A:D,4,FALSE),"Non trouvé")</f>
        <v>Non trouvé</v>
      </c>
      <c r="I1114" t="str">
        <f>IFERROR(VLOOKUP(Logs_reseau[[#This Row],[Cell_ID]],'[1]Registre_Maintenance_combine '!A:E,5,FALSE),"Non trouvé")</f>
        <v>Non trouvé</v>
      </c>
      <c r="J1114" t="str">
        <f>IFERROR(VLOOKUP(Logs_reseau[[#This Row],[Cell_ID]],'[1]Registre_Maintenance_combine '!A:F,6,FALSE),"Non trouvé")</f>
        <v>Non trouvé</v>
      </c>
    </row>
    <row r="1115" spans="1:10" x14ac:dyDescent="0.25">
      <c r="A1115" t="str">
        <f>IFERROR(VLOOKUP(Logs_reseau[[#This Row],[Cell_ID]],'[1]Registre_Maintenance_combine '!A:B,2,FALSE),"Non trouvé")</f>
        <v>Non trouvé</v>
      </c>
      <c r="B1115" t="s">
        <v>379</v>
      </c>
      <c r="C1115" s="3">
        <v>45230.726388888892</v>
      </c>
      <c r="D1115" s="11">
        <f>Logs_reseau[[#This Row],[Duree_Panne_Min]]/1440</f>
        <v>1.3194444444444444E-2</v>
      </c>
      <c r="E1115">
        <v>19</v>
      </c>
      <c r="F1115" t="s">
        <v>2</v>
      </c>
      <c r="G1115" t="str">
        <f>IFERROR(VLOOKUP(Logs_reseau[[#This Row],[Cell_ID]],'[1]Registre_Maintenance_combine '!A:C,3,FALSE),"Non trouvé")</f>
        <v>Non trouvé</v>
      </c>
      <c r="H1115" t="str">
        <f>IFERROR(VLOOKUP(Logs_reseau[[#This Row],[Cell_ID]],'[1]Registre_Maintenance_combine '!A:D,4,FALSE),"Non trouvé")</f>
        <v>Non trouvé</v>
      </c>
      <c r="I1115" t="str">
        <f>IFERROR(VLOOKUP(Logs_reseau[[#This Row],[Cell_ID]],'[1]Registre_Maintenance_combine '!A:E,5,FALSE),"Non trouvé")</f>
        <v>Non trouvé</v>
      </c>
      <c r="J1115" t="str">
        <f>IFERROR(VLOOKUP(Logs_reseau[[#This Row],[Cell_ID]],'[1]Registre_Maintenance_combine '!A:F,6,FALSE),"Non trouvé")</f>
        <v>Non trouvé</v>
      </c>
    </row>
    <row r="1116" spans="1:10" x14ac:dyDescent="0.25">
      <c r="A1116" t="str">
        <f>IFERROR(VLOOKUP(Logs_reseau[[#This Row],[Cell_ID]],'[1]Registre_Maintenance_combine '!A:B,2,FALSE),"Non trouvé")</f>
        <v>Non trouvé</v>
      </c>
      <c r="B1116" t="s">
        <v>398</v>
      </c>
      <c r="C1116" s="3">
        <v>45218.990277777775</v>
      </c>
      <c r="D1116" s="11">
        <f>Logs_reseau[[#This Row],[Duree_Panne_Min]]/1440</f>
        <v>6.9444444444444448E-2</v>
      </c>
      <c r="E1116">
        <v>100</v>
      </c>
      <c r="F1116" t="s">
        <v>1</v>
      </c>
      <c r="G1116" t="str">
        <f>IFERROR(VLOOKUP(Logs_reseau[[#This Row],[Cell_ID]],'[1]Registre_Maintenance_combine '!A:C,3,FALSE),"Non trouvé")</f>
        <v>Non trouvé</v>
      </c>
      <c r="H1116" t="str">
        <f>IFERROR(VLOOKUP(Logs_reseau[[#This Row],[Cell_ID]],'[1]Registre_Maintenance_combine '!A:D,4,FALSE),"Non trouvé")</f>
        <v>Non trouvé</v>
      </c>
      <c r="I1116" t="str">
        <f>IFERROR(VLOOKUP(Logs_reseau[[#This Row],[Cell_ID]],'[1]Registre_Maintenance_combine '!A:E,5,FALSE),"Non trouvé")</f>
        <v>Non trouvé</v>
      </c>
      <c r="J1116" t="str">
        <f>IFERROR(VLOOKUP(Logs_reseau[[#This Row],[Cell_ID]],'[1]Registre_Maintenance_combine '!A:F,6,FALSE),"Non trouvé")</f>
        <v>Non trouvé</v>
      </c>
    </row>
    <row r="1117" spans="1:10" x14ac:dyDescent="0.25">
      <c r="A1117" t="str">
        <f>IFERROR(VLOOKUP(Logs_reseau[[#This Row],[Cell_ID]],'[1]Registre_Maintenance_combine '!A:B,2,FALSE),"Non trouvé")</f>
        <v>Non trouvé</v>
      </c>
      <c r="B1117" t="s">
        <v>77</v>
      </c>
      <c r="C1117" s="3">
        <v>45204.570138888892</v>
      </c>
      <c r="D1117" s="11">
        <f>Logs_reseau[[#This Row],[Duree_Panne_Min]]/1440</f>
        <v>9.0277777777777769E-3</v>
      </c>
      <c r="E1117">
        <v>13</v>
      </c>
      <c r="F1117" t="s">
        <v>4</v>
      </c>
      <c r="G1117" t="str">
        <f>IFERROR(VLOOKUP(Logs_reseau[[#This Row],[Cell_ID]],'[1]Registre_Maintenance_combine '!A:C,3,FALSE),"Non trouvé")</f>
        <v>Non trouvé</v>
      </c>
      <c r="H1117" t="str">
        <f>IFERROR(VLOOKUP(Logs_reseau[[#This Row],[Cell_ID]],'[1]Registre_Maintenance_combine '!A:D,4,FALSE),"Non trouvé")</f>
        <v>Non trouvé</v>
      </c>
      <c r="I1117" t="str">
        <f>IFERROR(VLOOKUP(Logs_reseau[[#This Row],[Cell_ID]],'[1]Registre_Maintenance_combine '!A:E,5,FALSE),"Non trouvé")</f>
        <v>Non trouvé</v>
      </c>
      <c r="J1117" t="str">
        <f>IFERROR(VLOOKUP(Logs_reseau[[#This Row],[Cell_ID]],'[1]Registre_Maintenance_combine '!A:F,6,FALSE),"Non trouvé")</f>
        <v>Non trouvé</v>
      </c>
    </row>
    <row r="1118" spans="1:10" x14ac:dyDescent="0.25">
      <c r="A1118" t="str">
        <f>IFERROR(VLOOKUP(Logs_reseau[[#This Row],[Cell_ID]],'[1]Registre_Maintenance_combine '!A:B,2,FALSE),"Non trouvé")</f>
        <v>Haut-Katanga</v>
      </c>
      <c r="B1118" t="s">
        <v>399</v>
      </c>
      <c r="C1118" s="3">
        <v>45203.652083333334</v>
      </c>
      <c r="D1118" s="11">
        <f>Logs_reseau[[#This Row],[Duree_Panne_Min]]/1440</f>
        <v>4.5138888888888888E-2</v>
      </c>
      <c r="E1118">
        <v>65</v>
      </c>
      <c r="F1118" t="s">
        <v>4</v>
      </c>
      <c r="G1118">
        <f>IFERROR(VLOOKUP(Logs_reseau[[#This Row],[Cell_ID]],'[1]Registre_Maintenance_combine '!A:C,3,FALSE),"Non trouvé")</f>
        <v>2.016505</v>
      </c>
      <c r="H1118">
        <f>IFERROR(VLOOKUP(Logs_reseau[[#This Row],[Cell_ID]],'[1]Registre_Maintenance_combine '!A:D,4,FALSE),"Non trouvé")</f>
        <v>14.294164</v>
      </c>
      <c r="I1118" t="str">
        <f>IFERROR(VLOOKUP(Logs_reseau[[#This Row],[Cell_ID]],'[1]Registre_Maintenance_combine '!A:E,5,FALSE),"Non trouvé")</f>
        <v>5G</v>
      </c>
      <c r="J1118" t="str">
        <f>IFERROR(VLOOKUP(Logs_reseau[[#This Row],[Cell_ID]],'[1]Registre_Maintenance_combine '!A:F,6,FALSE),"Non trouvé")</f>
        <v>Huawei</v>
      </c>
    </row>
    <row r="1119" spans="1:10" x14ac:dyDescent="0.25">
      <c r="A1119" t="str">
        <f>IFERROR(VLOOKUP(Logs_reseau[[#This Row],[Cell_ID]],'[1]Registre_Maintenance_combine '!A:B,2,FALSE),"Non trouvé")</f>
        <v>Non trouvé</v>
      </c>
      <c r="B1119" t="s">
        <v>84</v>
      </c>
      <c r="C1119" s="3">
        <v>45213.334722222222</v>
      </c>
      <c r="D1119" s="11">
        <f>Logs_reseau[[#This Row],[Duree_Panne_Min]]/1440</f>
        <v>4.3055555555555555E-2</v>
      </c>
      <c r="E1119">
        <v>62</v>
      </c>
      <c r="F1119" t="s">
        <v>1</v>
      </c>
      <c r="G1119" t="str">
        <f>IFERROR(VLOOKUP(Logs_reseau[[#This Row],[Cell_ID]],'[1]Registre_Maintenance_combine '!A:C,3,FALSE),"Non trouvé")</f>
        <v>Non trouvé</v>
      </c>
      <c r="H1119" t="str">
        <f>IFERROR(VLOOKUP(Logs_reseau[[#This Row],[Cell_ID]],'[1]Registre_Maintenance_combine '!A:D,4,FALSE),"Non trouvé")</f>
        <v>Non trouvé</v>
      </c>
      <c r="I1119" t="str">
        <f>IFERROR(VLOOKUP(Logs_reseau[[#This Row],[Cell_ID]],'[1]Registre_Maintenance_combine '!A:E,5,FALSE),"Non trouvé")</f>
        <v>Non trouvé</v>
      </c>
      <c r="J1119" t="str">
        <f>IFERROR(VLOOKUP(Logs_reseau[[#This Row],[Cell_ID]],'[1]Registre_Maintenance_combine '!A:F,6,FALSE),"Non trouvé")</f>
        <v>Non trouvé</v>
      </c>
    </row>
    <row r="1120" spans="1:10" x14ac:dyDescent="0.25">
      <c r="A1120" t="str">
        <f>IFERROR(VLOOKUP(Logs_reseau[[#This Row],[Cell_ID]],'[1]Registre_Maintenance_combine '!A:B,2,FALSE),"Non trouvé")</f>
        <v>Non trouvé</v>
      </c>
      <c r="B1120" t="s">
        <v>400</v>
      </c>
      <c r="C1120" s="3">
        <v>45222.467361111114</v>
      </c>
      <c r="D1120" s="11">
        <f>Logs_reseau[[#This Row],[Duree_Panne_Min]]/1440</f>
        <v>7.2222222222222215E-2</v>
      </c>
      <c r="E1120">
        <v>104</v>
      </c>
      <c r="F1120" t="s">
        <v>4</v>
      </c>
      <c r="G1120" t="str">
        <f>IFERROR(VLOOKUP(Logs_reseau[[#This Row],[Cell_ID]],'[1]Registre_Maintenance_combine '!A:C,3,FALSE),"Non trouvé")</f>
        <v>Non trouvé</v>
      </c>
      <c r="H1120" t="str">
        <f>IFERROR(VLOOKUP(Logs_reseau[[#This Row],[Cell_ID]],'[1]Registre_Maintenance_combine '!A:D,4,FALSE),"Non trouvé")</f>
        <v>Non trouvé</v>
      </c>
      <c r="I1120" t="str">
        <f>IFERROR(VLOOKUP(Logs_reseau[[#This Row],[Cell_ID]],'[1]Registre_Maintenance_combine '!A:E,5,FALSE),"Non trouvé")</f>
        <v>Non trouvé</v>
      </c>
      <c r="J1120" t="str">
        <f>IFERROR(VLOOKUP(Logs_reseau[[#This Row],[Cell_ID]],'[1]Registre_Maintenance_combine '!A:F,6,FALSE),"Non trouvé")</f>
        <v>Non trouvé</v>
      </c>
    </row>
    <row r="1121" spans="1:10" x14ac:dyDescent="0.25">
      <c r="A1121" t="str">
        <f>IFERROR(VLOOKUP(Logs_reseau[[#This Row],[Cell_ID]],'[1]Registre_Maintenance_combine '!A:B,2,FALSE),"Non trouvé")</f>
        <v>Non trouvé</v>
      </c>
      <c r="B1121" t="s">
        <v>401</v>
      </c>
      <c r="C1121" s="3">
        <v>45214.59375</v>
      </c>
      <c r="D1121" s="11">
        <f>Logs_reseau[[#This Row],[Duree_Panne_Min]]/1440</f>
        <v>3.5416666666666666E-2</v>
      </c>
      <c r="E1121">
        <v>51</v>
      </c>
      <c r="F1121" t="s">
        <v>4</v>
      </c>
      <c r="G1121" t="str">
        <f>IFERROR(VLOOKUP(Logs_reseau[[#This Row],[Cell_ID]],'[1]Registre_Maintenance_combine '!A:C,3,FALSE),"Non trouvé")</f>
        <v>Non trouvé</v>
      </c>
      <c r="H1121" t="str">
        <f>IFERROR(VLOOKUP(Logs_reseau[[#This Row],[Cell_ID]],'[1]Registre_Maintenance_combine '!A:D,4,FALSE),"Non trouvé")</f>
        <v>Non trouvé</v>
      </c>
      <c r="I1121" t="str">
        <f>IFERROR(VLOOKUP(Logs_reseau[[#This Row],[Cell_ID]],'[1]Registre_Maintenance_combine '!A:E,5,FALSE),"Non trouvé")</f>
        <v>Non trouvé</v>
      </c>
      <c r="J1121" t="str">
        <f>IFERROR(VLOOKUP(Logs_reseau[[#This Row],[Cell_ID]],'[1]Registre_Maintenance_combine '!A:F,6,FALSE),"Non trouvé")</f>
        <v>Non trouvé</v>
      </c>
    </row>
    <row r="1122" spans="1:10" x14ac:dyDescent="0.25">
      <c r="A1122" t="str">
        <f>IFERROR(VLOOKUP(Logs_reseau[[#This Row],[Cell_ID]],'[1]Registre_Maintenance_combine '!A:B,2,FALSE),"Non trouvé")</f>
        <v>Non trouvé</v>
      </c>
      <c r="B1122" t="s">
        <v>153</v>
      </c>
      <c r="C1122" s="3">
        <v>45227.462500000001</v>
      </c>
      <c r="D1122" s="11">
        <f>Logs_reseau[[#This Row],[Duree_Panne_Min]]/1440</f>
        <v>4.8611111111111112E-2</v>
      </c>
      <c r="E1122">
        <v>70</v>
      </c>
      <c r="F1122" t="s">
        <v>4</v>
      </c>
      <c r="G1122" t="str">
        <f>IFERROR(VLOOKUP(Logs_reseau[[#This Row],[Cell_ID]],'[1]Registre_Maintenance_combine '!A:C,3,FALSE),"Non trouvé")</f>
        <v>Non trouvé</v>
      </c>
      <c r="H1122" t="str">
        <f>IFERROR(VLOOKUP(Logs_reseau[[#This Row],[Cell_ID]],'[1]Registre_Maintenance_combine '!A:D,4,FALSE),"Non trouvé")</f>
        <v>Non trouvé</v>
      </c>
      <c r="I1122" t="str">
        <f>IFERROR(VLOOKUP(Logs_reseau[[#This Row],[Cell_ID]],'[1]Registre_Maintenance_combine '!A:E,5,FALSE),"Non trouvé")</f>
        <v>Non trouvé</v>
      </c>
      <c r="J1122" t="str">
        <f>IFERROR(VLOOKUP(Logs_reseau[[#This Row],[Cell_ID]],'[1]Registre_Maintenance_combine '!A:F,6,FALSE),"Non trouvé")</f>
        <v>Non trouvé</v>
      </c>
    </row>
    <row r="1123" spans="1:10" x14ac:dyDescent="0.25">
      <c r="A1123" t="str">
        <f>IFERROR(VLOOKUP(Logs_reseau[[#This Row],[Cell_ID]],'[1]Registre_Maintenance_combine '!A:B,2,FALSE),"Non trouvé")</f>
        <v>Non trouvé</v>
      </c>
      <c r="B1123" t="s">
        <v>69</v>
      </c>
      <c r="C1123" s="3">
        <v>45221.481944444444</v>
      </c>
      <c r="D1123" s="11">
        <f>Logs_reseau[[#This Row],[Duree_Panne_Min]]/1440</f>
        <v>5.5555555555555552E-2</v>
      </c>
      <c r="E1123">
        <v>80</v>
      </c>
      <c r="F1123" t="s">
        <v>4</v>
      </c>
      <c r="G1123" t="str">
        <f>IFERROR(VLOOKUP(Logs_reseau[[#This Row],[Cell_ID]],'[1]Registre_Maintenance_combine '!A:C,3,FALSE),"Non trouvé")</f>
        <v>Non trouvé</v>
      </c>
      <c r="H1123" t="str">
        <f>IFERROR(VLOOKUP(Logs_reseau[[#This Row],[Cell_ID]],'[1]Registre_Maintenance_combine '!A:D,4,FALSE),"Non trouvé")</f>
        <v>Non trouvé</v>
      </c>
      <c r="I1123" t="str">
        <f>IFERROR(VLOOKUP(Logs_reseau[[#This Row],[Cell_ID]],'[1]Registre_Maintenance_combine '!A:E,5,FALSE),"Non trouvé")</f>
        <v>Non trouvé</v>
      </c>
      <c r="J1123" t="str">
        <f>IFERROR(VLOOKUP(Logs_reseau[[#This Row],[Cell_ID]],'[1]Registre_Maintenance_combine '!A:F,6,FALSE),"Non trouvé")</f>
        <v>Non trouvé</v>
      </c>
    </row>
    <row r="1124" spans="1:10" x14ac:dyDescent="0.25">
      <c r="A1124" t="str">
        <f>IFERROR(VLOOKUP(Logs_reseau[[#This Row],[Cell_ID]],'[1]Registre_Maintenance_combine '!A:B,2,FALSE),"Non trouvé")</f>
        <v>Non trouvé</v>
      </c>
      <c r="B1124" t="s">
        <v>131</v>
      </c>
      <c r="C1124" s="3">
        <v>45228.848611111112</v>
      </c>
      <c r="D1124" s="11">
        <f>Logs_reseau[[#This Row],[Duree_Panne_Min]]/1440</f>
        <v>1.2500000000000001E-2</v>
      </c>
      <c r="E1124">
        <v>18</v>
      </c>
      <c r="F1124" t="s">
        <v>4</v>
      </c>
      <c r="G1124" t="str">
        <f>IFERROR(VLOOKUP(Logs_reseau[[#This Row],[Cell_ID]],'[1]Registre_Maintenance_combine '!A:C,3,FALSE),"Non trouvé")</f>
        <v>Non trouvé</v>
      </c>
      <c r="H1124" t="str">
        <f>IFERROR(VLOOKUP(Logs_reseau[[#This Row],[Cell_ID]],'[1]Registre_Maintenance_combine '!A:D,4,FALSE),"Non trouvé")</f>
        <v>Non trouvé</v>
      </c>
      <c r="I1124" t="str">
        <f>IFERROR(VLOOKUP(Logs_reseau[[#This Row],[Cell_ID]],'[1]Registre_Maintenance_combine '!A:E,5,FALSE),"Non trouvé")</f>
        <v>Non trouvé</v>
      </c>
      <c r="J1124" t="str">
        <f>IFERROR(VLOOKUP(Logs_reseau[[#This Row],[Cell_ID]],'[1]Registre_Maintenance_combine '!A:F,6,FALSE),"Non trouvé")</f>
        <v>Non trouvé</v>
      </c>
    </row>
    <row r="1125" spans="1:10" x14ac:dyDescent="0.25">
      <c r="A1125" t="str">
        <f>IFERROR(VLOOKUP(Logs_reseau[[#This Row],[Cell_ID]],'[1]Registre_Maintenance_combine '!A:B,2,FALSE),"Non trouvé")</f>
        <v>Nord-Kivu</v>
      </c>
      <c r="B1125" t="s">
        <v>299</v>
      </c>
      <c r="C1125" s="3">
        <v>45201.511805555558</v>
      </c>
      <c r="D1125" s="11">
        <f>Logs_reseau[[#This Row],[Duree_Panne_Min]]/1440</f>
        <v>4.3055555555555555E-2</v>
      </c>
      <c r="E1125">
        <v>62</v>
      </c>
      <c r="F1125" t="s">
        <v>2</v>
      </c>
      <c r="G1125">
        <f>IFERROR(VLOOKUP(Logs_reseau[[#This Row],[Cell_ID]],'[1]Registre_Maintenance_combine '!A:C,3,FALSE),"Non trouvé")</f>
        <v>-10.25074</v>
      </c>
      <c r="H1125">
        <f>IFERROR(VLOOKUP(Logs_reseau[[#This Row],[Cell_ID]],'[1]Registre_Maintenance_combine '!A:D,4,FALSE),"Non trouvé")</f>
        <v>26.099086</v>
      </c>
      <c r="I1125" t="str">
        <f>IFERROR(VLOOKUP(Logs_reseau[[#This Row],[Cell_ID]],'[1]Registre_Maintenance_combine '!A:E,5,FALSE),"Non trouvé")</f>
        <v>4G</v>
      </c>
      <c r="J1125" t="str">
        <f>IFERROR(VLOOKUP(Logs_reseau[[#This Row],[Cell_ID]],'[1]Registre_Maintenance_combine '!A:F,6,FALSE),"Non trouvé")</f>
        <v>Huawei</v>
      </c>
    </row>
    <row r="1126" spans="1:10" x14ac:dyDescent="0.25">
      <c r="A1126" t="str">
        <f>IFERROR(VLOOKUP(Logs_reseau[[#This Row],[Cell_ID]],'[1]Registre_Maintenance_combine '!A:B,2,FALSE),"Non trouvé")</f>
        <v>Non trouvé</v>
      </c>
      <c r="B1126" t="s">
        <v>402</v>
      </c>
      <c r="C1126" s="3">
        <v>45206.162499999999</v>
      </c>
      <c r="D1126" s="11">
        <f>Logs_reseau[[#This Row],[Duree_Panne_Min]]/1440</f>
        <v>4.791666666666667E-2</v>
      </c>
      <c r="E1126">
        <v>69</v>
      </c>
      <c r="F1126" t="s">
        <v>1</v>
      </c>
      <c r="G1126" t="str">
        <f>IFERROR(VLOOKUP(Logs_reseau[[#This Row],[Cell_ID]],'[1]Registre_Maintenance_combine '!A:C,3,FALSE),"Non trouvé")</f>
        <v>Non trouvé</v>
      </c>
      <c r="H1126" t="str">
        <f>IFERROR(VLOOKUP(Logs_reseau[[#This Row],[Cell_ID]],'[1]Registre_Maintenance_combine '!A:D,4,FALSE),"Non trouvé")</f>
        <v>Non trouvé</v>
      </c>
      <c r="I1126" t="str">
        <f>IFERROR(VLOOKUP(Logs_reseau[[#This Row],[Cell_ID]],'[1]Registre_Maintenance_combine '!A:E,5,FALSE),"Non trouvé")</f>
        <v>Non trouvé</v>
      </c>
      <c r="J1126" t="str">
        <f>IFERROR(VLOOKUP(Logs_reseau[[#This Row],[Cell_ID]],'[1]Registre_Maintenance_combine '!A:F,6,FALSE),"Non trouvé")</f>
        <v>Non trouvé</v>
      </c>
    </row>
    <row r="1127" spans="1:10" x14ac:dyDescent="0.25">
      <c r="A1127" t="str">
        <f>IFERROR(VLOOKUP(Logs_reseau[[#This Row],[Cell_ID]],'[1]Registre_Maintenance_combine '!A:B,2,FALSE),"Non trouvé")</f>
        <v>Nord-Ubangi</v>
      </c>
      <c r="B1127" t="s">
        <v>403</v>
      </c>
      <c r="C1127" s="3">
        <v>45226.586805555555</v>
      </c>
      <c r="D1127" s="11">
        <f>Logs_reseau[[#This Row],[Duree_Panne_Min]]/1440</f>
        <v>2.2916666666666665E-2</v>
      </c>
      <c r="E1127">
        <v>33</v>
      </c>
      <c r="F1127" t="s">
        <v>4</v>
      </c>
      <c r="G1127">
        <f>IFERROR(VLOOKUP(Logs_reseau[[#This Row],[Cell_ID]],'[1]Registre_Maintenance_combine '!A:C,3,FALSE),"Non trouvé")</f>
        <v>-7.7839049999999999</v>
      </c>
      <c r="H1127">
        <f>IFERROR(VLOOKUP(Logs_reseau[[#This Row],[Cell_ID]],'[1]Registre_Maintenance_combine '!A:D,4,FALSE),"Non trouvé")</f>
        <v>14.114281999999999</v>
      </c>
      <c r="I1127" t="str">
        <f>IFERROR(VLOOKUP(Logs_reseau[[#This Row],[Cell_ID]],'[1]Registre_Maintenance_combine '!A:E,5,FALSE),"Non trouvé")</f>
        <v>3G</v>
      </c>
      <c r="J1127" t="str">
        <f>IFERROR(VLOOKUP(Logs_reseau[[#This Row],[Cell_ID]],'[1]Registre_Maintenance_combine '!A:F,6,FALSE),"Non trouvé")</f>
        <v>ZTE</v>
      </c>
    </row>
    <row r="1128" spans="1:10" x14ac:dyDescent="0.25">
      <c r="A1128" t="str">
        <f>IFERROR(VLOOKUP(Logs_reseau[[#This Row],[Cell_ID]],'[1]Registre_Maintenance_combine '!A:B,2,FALSE),"Non trouvé")</f>
        <v>Tshuapa</v>
      </c>
      <c r="B1128" t="s">
        <v>404</v>
      </c>
      <c r="C1128" s="3">
        <v>45221.27847222222</v>
      </c>
      <c r="D1128" s="11">
        <f>Logs_reseau[[#This Row],[Duree_Panne_Min]]/1440</f>
        <v>5.7638888888888892E-2</v>
      </c>
      <c r="E1128">
        <v>83</v>
      </c>
      <c r="F1128" t="s">
        <v>4</v>
      </c>
      <c r="G1128">
        <f>IFERROR(VLOOKUP(Logs_reseau[[#This Row],[Cell_ID]],'[1]Registre_Maintenance_combine '!A:C,3,FALSE),"Non trouvé")</f>
        <v>-12.292039000000001</v>
      </c>
      <c r="H1128">
        <f>IFERROR(VLOOKUP(Logs_reseau[[#This Row],[Cell_ID]],'[1]Registre_Maintenance_combine '!A:D,4,FALSE),"Non trouvé")</f>
        <v>27.538202999999999</v>
      </c>
      <c r="I1128" t="str">
        <f>IFERROR(VLOOKUP(Logs_reseau[[#This Row],[Cell_ID]],'[1]Registre_Maintenance_combine '!A:E,5,FALSE),"Non trouvé")</f>
        <v>3G</v>
      </c>
      <c r="J1128" t="str">
        <f>IFERROR(VLOOKUP(Logs_reseau[[#This Row],[Cell_ID]],'[1]Registre_Maintenance_combine '!A:F,6,FALSE),"Non trouvé")</f>
        <v>Huawei</v>
      </c>
    </row>
    <row r="1129" spans="1:10" x14ac:dyDescent="0.25">
      <c r="A1129" t="str">
        <f>IFERROR(VLOOKUP(Logs_reseau[[#This Row],[Cell_ID]],'[1]Registre_Maintenance_combine '!A:B,2,FALSE),"Non trouvé")</f>
        <v>Non trouvé</v>
      </c>
      <c r="B1129" t="s">
        <v>282</v>
      </c>
      <c r="C1129" s="3">
        <v>45220.792361111111</v>
      </c>
      <c r="D1129" s="11">
        <f>Logs_reseau[[#This Row],[Duree_Panne_Min]]/1440</f>
        <v>6.9444444444444441E-3</v>
      </c>
      <c r="E1129">
        <v>10</v>
      </c>
      <c r="F1129" t="s">
        <v>4</v>
      </c>
      <c r="G1129" t="str">
        <f>IFERROR(VLOOKUP(Logs_reseau[[#This Row],[Cell_ID]],'[1]Registre_Maintenance_combine '!A:C,3,FALSE),"Non trouvé")</f>
        <v>Non trouvé</v>
      </c>
      <c r="H1129" t="str">
        <f>IFERROR(VLOOKUP(Logs_reseau[[#This Row],[Cell_ID]],'[1]Registre_Maintenance_combine '!A:D,4,FALSE),"Non trouvé")</f>
        <v>Non trouvé</v>
      </c>
      <c r="I1129" t="str">
        <f>IFERROR(VLOOKUP(Logs_reseau[[#This Row],[Cell_ID]],'[1]Registre_Maintenance_combine '!A:E,5,FALSE),"Non trouvé")</f>
        <v>Non trouvé</v>
      </c>
      <c r="J1129" t="str">
        <f>IFERROR(VLOOKUP(Logs_reseau[[#This Row],[Cell_ID]],'[1]Registre_Maintenance_combine '!A:F,6,FALSE),"Non trouvé")</f>
        <v>Non trouvé</v>
      </c>
    </row>
    <row r="1130" spans="1:10" x14ac:dyDescent="0.25">
      <c r="A1130" t="str">
        <f>IFERROR(VLOOKUP(Logs_reseau[[#This Row],[Cell_ID]],'[1]Registre_Maintenance_combine '!A:B,2,FALSE),"Non trouvé")</f>
        <v>Non trouvé</v>
      </c>
      <c r="B1130" t="s">
        <v>397</v>
      </c>
      <c r="C1130" s="3">
        <v>45201.427083333336</v>
      </c>
      <c r="D1130" s="11">
        <f>Logs_reseau[[#This Row],[Duree_Panne_Min]]/1440</f>
        <v>6.805555555555555E-2</v>
      </c>
      <c r="E1130">
        <v>98</v>
      </c>
      <c r="F1130" t="s">
        <v>2</v>
      </c>
      <c r="G1130" t="str">
        <f>IFERROR(VLOOKUP(Logs_reseau[[#This Row],[Cell_ID]],'[1]Registre_Maintenance_combine '!A:C,3,FALSE),"Non trouvé")</f>
        <v>Non trouvé</v>
      </c>
      <c r="H1130" t="str">
        <f>IFERROR(VLOOKUP(Logs_reseau[[#This Row],[Cell_ID]],'[1]Registre_Maintenance_combine '!A:D,4,FALSE),"Non trouvé")</f>
        <v>Non trouvé</v>
      </c>
      <c r="I1130" t="str">
        <f>IFERROR(VLOOKUP(Logs_reseau[[#This Row],[Cell_ID]],'[1]Registre_Maintenance_combine '!A:E,5,FALSE),"Non trouvé")</f>
        <v>Non trouvé</v>
      </c>
      <c r="J1130" t="str">
        <f>IFERROR(VLOOKUP(Logs_reseau[[#This Row],[Cell_ID]],'[1]Registre_Maintenance_combine '!A:F,6,FALSE),"Non trouvé")</f>
        <v>Non trouvé</v>
      </c>
    </row>
    <row r="1131" spans="1:10" x14ac:dyDescent="0.25">
      <c r="A1131" t="str">
        <f>IFERROR(VLOOKUP(Logs_reseau[[#This Row],[Cell_ID]],'[1]Registre_Maintenance_combine '!A:B,2,FALSE),"Non trouvé")</f>
        <v>Non trouvé</v>
      </c>
      <c r="B1131" t="s">
        <v>405</v>
      </c>
      <c r="C1131" s="3">
        <v>45204.759027777778</v>
      </c>
      <c r="D1131" s="11">
        <f>Logs_reseau[[#This Row],[Duree_Panne_Min]]/1440</f>
        <v>7.2916666666666671E-2</v>
      </c>
      <c r="E1131">
        <v>105</v>
      </c>
      <c r="F1131" t="s">
        <v>4</v>
      </c>
      <c r="G1131" t="str">
        <f>IFERROR(VLOOKUP(Logs_reseau[[#This Row],[Cell_ID]],'[1]Registre_Maintenance_combine '!A:C,3,FALSE),"Non trouvé")</f>
        <v>Non trouvé</v>
      </c>
      <c r="H1131" t="str">
        <f>IFERROR(VLOOKUP(Logs_reseau[[#This Row],[Cell_ID]],'[1]Registre_Maintenance_combine '!A:D,4,FALSE),"Non trouvé")</f>
        <v>Non trouvé</v>
      </c>
      <c r="I1131" t="str">
        <f>IFERROR(VLOOKUP(Logs_reseau[[#This Row],[Cell_ID]],'[1]Registre_Maintenance_combine '!A:E,5,FALSE),"Non trouvé")</f>
        <v>Non trouvé</v>
      </c>
      <c r="J1131" t="str">
        <f>IFERROR(VLOOKUP(Logs_reseau[[#This Row],[Cell_ID]],'[1]Registre_Maintenance_combine '!A:F,6,FALSE),"Non trouvé")</f>
        <v>Non trouvé</v>
      </c>
    </row>
    <row r="1132" spans="1:10" x14ac:dyDescent="0.25">
      <c r="A1132" t="str">
        <f>IFERROR(VLOOKUP(Logs_reseau[[#This Row],[Cell_ID]],'[1]Registre_Maintenance_combine '!A:B,2,FALSE),"Non trouvé")</f>
        <v>Tanganyika</v>
      </c>
      <c r="B1132" t="s">
        <v>406</v>
      </c>
      <c r="C1132" s="3">
        <v>45202.717361111114</v>
      </c>
      <c r="D1132" s="11">
        <f>Logs_reseau[[#This Row],[Duree_Panne_Min]]/1440</f>
        <v>7.9861111111111105E-2</v>
      </c>
      <c r="E1132">
        <v>115</v>
      </c>
      <c r="F1132" t="s">
        <v>4</v>
      </c>
      <c r="G1132">
        <f>IFERROR(VLOOKUP(Logs_reseau[[#This Row],[Cell_ID]],'[1]Registre_Maintenance_combine '!A:C,3,FALSE),"Non trouvé")</f>
        <v>-1.5936220000000001</v>
      </c>
      <c r="H1132">
        <f>IFERROR(VLOOKUP(Logs_reseau[[#This Row],[Cell_ID]],'[1]Registre_Maintenance_combine '!A:D,4,FALSE),"Non trouvé")</f>
        <v>14.928856</v>
      </c>
      <c r="I1132" t="str">
        <f>IFERROR(VLOOKUP(Logs_reseau[[#This Row],[Cell_ID]],'[1]Registre_Maintenance_combine '!A:E,5,FALSE),"Non trouvé")</f>
        <v>5G</v>
      </c>
      <c r="J1132" t="str">
        <f>IFERROR(VLOOKUP(Logs_reseau[[#This Row],[Cell_ID]],'[1]Registre_Maintenance_combine '!A:F,6,FALSE),"Non trouvé")</f>
        <v>Ericsson</v>
      </c>
    </row>
    <row r="1133" spans="1:10" x14ac:dyDescent="0.25">
      <c r="A1133" t="str">
        <f>IFERROR(VLOOKUP(Logs_reseau[[#This Row],[Cell_ID]],'[1]Registre_Maintenance_combine '!A:B,2,FALSE),"Non trouvé")</f>
        <v>Kwango</v>
      </c>
      <c r="B1133" t="s">
        <v>407</v>
      </c>
      <c r="C1133" s="3">
        <v>45218.286111111112</v>
      </c>
      <c r="D1133" s="11">
        <f>Logs_reseau[[#This Row],[Duree_Panne_Min]]/1440</f>
        <v>6.1805555555555558E-2</v>
      </c>
      <c r="E1133">
        <v>89</v>
      </c>
      <c r="F1133" t="s">
        <v>1</v>
      </c>
      <c r="G1133">
        <f>IFERROR(VLOOKUP(Logs_reseau[[#This Row],[Cell_ID]],'[1]Registre_Maintenance_combine '!A:C,3,FALSE),"Non trouvé")</f>
        <v>-7.5129409999999996</v>
      </c>
      <c r="H1133">
        <f>IFERROR(VLOOKUP(Logs_reseau[[#This Row],[Cell_ID]],'[1]Registre_Maintenance_combine '!A:D,4,FALSE),"Non trouvé")</f>
        <v>18.701522000000001</v>
      </c>
      <c r="I1133" t="str">
        <f>IFERROR(VLOOKUP(Logs_reseau[[#This Row],[Cell_ID]],'[1]Registre_Maintenance_combine '!A:E,5,FALSE),"Non trouvé")</f>
        <v>4G</v>
      </c>
      <c r="J1133" t="str">
        <f>IFERROR(VLOOKUP(Logs_reseau[[#This Row],[Cell_ID]],'[1]Registre_Maintenance_combine '!A:F,6,FALSE),"Non trouvé")</f>
        <v>Nokia</v>
      </c>
    </row>
    <row r="1134" spans="1:10" x14ac:dyDescent="0.25">
      <c r="A1134" t="str">
        <f>IFERROR(VLOOKUP(Logs_reseau[[#This Row],[Cell_ID]],'[1]Registre_Maintenance_combine '!A:B,2,FALSE),"Non trouvé")</f>
        <v>Non trouvé</v>
      </c>
      <c r="B1134" t="s">
        <v>222</v>
      </c>
      <c r="C1134" s="3">
        <v>45227.306250000001</v>
      </c>
      <c r="D1134" s="11">
        <f>Logs_reseau[[#This Row],[Duree_Panne_Min]]/1440</f>
        <v>4.9305555555555554E-2</v>
      </c>
      <c r="E1134">
        <v>71</v>
      </c>
      <c r="F1134" t="s">
        <v>2</v>
      </c>
      <c r="G1134" t="str">
        <f>IFERROR(VLOOKUP(Logs_reseau[[#This Row],[Cell_ID]],'[1]Registre_Maintenance_combine '!A:C,3,FALSE),"Non trouvé")</f>
        <v>Non trouvé</v>
      </c>
      <c r="H1134" t="str">
        <f>IFERROR(VLOOKUP(Logs_reseau[[#This Row],[Cell_ID]],'[1]Registre_Maintenance_combine '!A:D,4,FALSE),"Non trouvé")</f>
        <v>Non trouvé</v>
      </c>
      <c r="I1134" t="str">
        <f>IFERROR(VLOOKUP(Logs_reseau[[#This Row],[Cell_ID]],'[1]Registre_Maintenance_combine '!A:E,5,FALSE),"Non trouvé")</f>
        <v>Non trouvé</v>
      </c>
      <c r="J1134" t="str">
        <f>IFERROR(VLOOKUP(Logs_reseau[[#This Row],[Cell_ID]],'[1]Registre_Maintenance_combine '!A:F,6,FALSE),"Non trouvé")</f>
        <v>Non trouvé</v>
      </c>
    </row>
    <row r="1135" spans="1:10" x14ac:dyDescent="0.25">
      <c r="A1135" t="str">
        <f>IFERROR(VLOOKUP(Logs_reseau[[#This Row],[Cell_ID]],'[1]Registre_Maintenance_combine '!A:B,2,FALSE),"Non trouvé")</f>
        <v>Maniema</v>
      </c>
      <c r="B1135" t="s">
        <v>322</v>
      </c>
      <c r="C1135" s="3">
        <v>45224.201388888891</v>
      </c>
      <c r="D1135" s="11">
        <f>Logs_reseau[[#This Row],[Duree_Panne_Min]]/1440</f>
        <v>2.9861111111111113E-2</v>
      </c>
      <c r="E1135">
        <v>43</v>
      </c>
      <c r="F1135" t="s">
        <v>4</v>
      </c>
      <c r="G1135">
        <f>IFERROR(VLOOKUP(Logs_reseau[[#This Row],[Cell_ID]],'[1]Registre_Maintenance_combine '!A:C,3,FALSE),"Non trouvé")</f>
        <v>-4.6818410000000004</v>
      </c>
      <c r="H1135">
        <f>IFERROR(VLOOKUP(Logs_reseau[[#This Row],[Cell_ID]],'[1]Registre_Maintenance_combine '!A:D,4,FALSE),"Non trouvé")</f>
        <v>17.541618</v>
      </c>
      <c r="I1135" t="str">
        <f>IFERROR(VLOOKUP(Logs_reseau[[#This Row],[Cell_ID]],'[1]Registre_Maintenance_combine '!A:E,5,FALSE),"Non trouvé")</f>
        <v>4G</v>
      </c>
      <c r="J1135" t="str">
        <f>IFERROR(VLOOKUP(Logs_reseau[[#This Row],[Cell_ID]],'[1]Registre_Maintenance_combine '!A:F,6,FALSE),"Non trouvé")</f>
        <v>Ericsson</v>
      </c>
    </row>
    <row r="1136" spans="1:10" x14ac:dyDescent="0.25">
      <c r="A1136" t="str">
        <f>IFERROR(VLOOKUP(Logs_reseau[[#This Row],[Cell_ID]],'[1]Registre_Maintenance_combine '!A:B,2,FALSE),"Non trouvé")</f>
        <v>Tanganyika</v>
      </c>
      <c r="B1136" t="s">
        <v>200</v>
      </c>
      <c r="C1136" s="3">
        <v>45228.791666666664</v>
      </c>
      <c r="D1136" s="11">
        <f>Logs_reseau[[#This Row],[Duree_Panne_Min]]/1440</f>
        <v>4.3749999999999997E-2</v>
      </c>
      <c r="E1136">
        <v>63</v>
      </c>
      <c r="F1136" t="s">
        <v>1</v>
      </c>
      <c r="G1136">
        <f>IFERROR(VLOOKUP(Logs_reseau[[#This Row],[Cell_ID]],'[1]Registre_Maintenance_combine '!A:C,3,FALSE),"Non trouvé")</f>
        <v>-11.144149000000001</v>
      </c>
      <c r="H1136">
        <f>IFERROR(VLOOKUP(Logs_reseau[[#This Row],[Cell_ID]],'[1]Registre_Maintenance_combine '!A:D,4,FALSE),"Non trouvé")</f>
        <v>27.244658999999999</v>
      </c>
      <c r="I1136" t="str">
        <f>IFERROR(VLOOKUP(Logs_reseau[[#This Row],[Cell_ID]],'[1]Registre_Maintenance_combine '!A:E,5,FALSE),"Non trouvé")</f>
        <v>4G</v>
      </c>
      <c r="J1136" t="str">
        <f>IFERROR(VLOOKUP(Logs_reseau[[#This Row],[Cell_ID]],'[1]Registre_Maintenance_combine '!A:F,6,FALSE),"Non trouvé")</f>
        <v>Nokia</v>
      </c>
    </row>
    <row r="1137" spans="1:10" x14ac:dyDescent="0.25">
      <c r="A1137" t="str">
        <f>IFERROR(VLOOKUP(Logs_reseau[[#This Row],[Cell_ID]],'[1]Registre_Maintenance_combine '!A:B,2,FALSE),"Non trouvé")</f>
        <v>Non trouvé</v>
      </c>
      <c r="B1137" t="s">
        <v>239</v>
      </c>
      <c r="C1137" s="3">
        <v>45208.172222222223</v>
      </c>
      <c r="D1137" s="11">
        <f>Logs_reseau[[#This Row],[Duree_Panne_Min]]/1440</f>
        <v>6.0416666666666667E-2</v>
      </c>
      <c r="E1137">
        <v>87</v>
      </c>
      <c r="F1137" t="s">
        <v>1</v>
      </c>
      <c r="G1137" t="str">
        <f>IFERROR(VLOOKUP(Logs_reseau[[#This Row],[Cell_ID]],'[1]Registre_Maintenance_combine '!A:C,3,FALSE),"Non trouvé")</f>
        <v>Non trouvé</v>
      </c>
      <c r="H1137" t="str">
        <f>IFERROR(VLOOKUP(Logs_reseau[[#This Row],[Cell_ID]],'[1]Registre_Maintenance_combine '!A:D,4,FALSE),"Non trouvé")</f>
        <v>Non trouvé</v>
      </c>
      <c r="I1137" t="str">
        <f>IFERROR(VLOOKUP(Logs_reseau[[#This Row],[Cell_ID]],'[1]Registre_Maintenance_combine '!A:E,5,FALSE),"Non trouvé")</f>
        <v>Non trouvé</v>
      </c>
      <c r="J1137" t="str">
        <f>IFERROR(VLOOKUP(Logs_reseau[[#This Row],[Cell_ID]],'[1]Registre_Maintenance_combine '!A:F,6,FALSE),"Non trouvé")</f>
        <v>Non trouvé</v>
      </c>
    </row>
    <row r="1138" spans="1:10" x14ac:dyDescent="0.25">
      <c r="A1138" t="str">
        <f>IFERROR(VLOOKUP(Logs_reseau[[#This Row],[Cell_ID]],'[1]Registre_Maintenance_combine '!A:B,2,FALSE),"Non trouvé")</f>
        <v>Nord-Kivu</v>
      </c>
      <c r="B1138" t="s">
        <v>408</v>
      </c>
      <c r="C1138" s="3">
        <v>45217.368750000001</v>
      </c>
      <c r="D1138" s="11">
        <f>Logs_reseau[[#This Row],[Duree_Panne_Min]]/1440</f>
        <v>5.5555555555555558E-3</v>
      </c>
      <c r="E1138">
        <v>8</v>
      </c>
      <c r="F1138" t="s">
        <v>1</v>
      </c>
      <c r="G1138">
        <f>IFERROR(VLOOKUP(Logs_reseau[[#This Row],[Cell_ID]],'[1]Registre_Maintenance_combine '!A:C,3,FALSE),"Non trouvé")</f>
        <v>-4.1754939999999996</v>
      </c>
      <c r="H1138">
        <f>IFERROR(VLOOKUP(Logs_reseau[[#This Row],[Cell_ID]],'[1]Registre_Maintenance_combine '!A:D,4,FALSE),"Non trouvé")</f>
        <v>16.704664999999999</v>
      </c>
      <c r="I1138" t="str">
        <f>IFERROR(VLOOKUP(Logs_reseau[[#This Row],[Cell_ID]],'[1]Registre_Maintenance_combine '!A:E,5,FALSE),"Non trouvé")</f>
        <v>3G</v>
      </c>
      <c r="J1138" t="str">
        <f>IFERROR(VLOOKUP(Logs_reseau[[#This Row],[Cell_ID]],'[1]Registre_Maintenance_combine '!A:F,6,FALSE),"Non trouvé")</f>
        <v>Ericsson</v>
      </c>
    </row>
    <row r="1139" spans="1:10" x14ac:dyDescent="0.25">
      <c r="A1139" t="str">
        <f>IFERROR(VLOOKUP(Logs_reseau[[#This Row],[Cell_ID]],'[1]Registre_Maintenance_combine '!A:B,2,FALSE),"Non trouvé")</f>
        <v>Sud-Kivu</v>
      </c>
      <c r="B1139" t="s">
        <v>266</v>
      </c>
      <c r="C1139" s="3">
        <v>45205.154166666667</v>
      </c>
      <c r="D1139" s="11">
        <f>Logs_reseau[[#This Row],[Duree_Panne_Min]]/1440</f>
        <v>8.3333333333333332E-3</v>
      </c>
      <c r="E1139">
        <v>12</v>
      </c>
      <c r="F1139" t="s">
        <v>1</v>
      </c>
      <c r="G1139">
        <f>IFERROR(VLOOKUP(Logs_reseau[[#This Row],[Cell_ID]],'[1]Registre_Maintenance_combine '!A:C,3,FALSE),"Non trouvé")</f>
        <v>-5.2526849999999996</v>
      </c>
      <c r="H1139">
        <f>IFERROR(VLOOKUP(Logs_reseau[[#This Row],[Cell_ID]],'[1]Registre_Maintenance_combine '!A:D,4,FALSE),"Non trouvé")</f>
        <v>12.374528</v>
      </c>
      <c r="I1139" t="str">
        <f>IFERROR(VLOOKUP(Logs_reseau[[#This Row],[Cell_ID]],'[1]Registre_Maintenance_combine '!A:E,5,FALSE),"Non trouvé")</f>
        <v>3G</v>
      </c>
      <c r="J1139" t="str">
        <f>IFERROR(VLOOKUP(Logs_reseau[[#This Row],[Cell_ID]],'[1]Registre_Maintenance_combine '!A:F,6,FALSE),"Non trouvé")</f>
        <v>Nokia</v>
      </c>
    </row>
    <row r="1140" spans="1:10" x14ac:dyDescent="0.25">
      <c r="A1140" t="str">
        <f>IFERROR(VLOOKUP(Logs_reseau[[#This Row],[Cell_ID]],'[1]Registre_Maintenance_combine '!A:B,2,FALSE),"Non trouvé")</f>
        <v>Non trouvé</v>
      </c>
      <c r="B1140" t="s">
        <v>103</v>
      </c>
      <c r="C1140" s="3">
        <v>45227.005555555559</v>
      </c>
      <c r="D1140" s="11">
        <f>Logs_reseau[[#This Row],[Duree_Panne_Min]]/1440</f>
        <v>4.583333333333333E-2</v>
      </c>
      <c r="E1140">
        <v>66</v>
      </c>
      <c r="F1140" t="s">
        <v>4</v>
      </c>
      <c r="G1140" t="str">
        <f>IFERROR(VLOOKUP(Logs_reseau[[#This Row],[Cell_ID]],'[1]Registre_Maintenance_combine '!A:C,3,FALSE),"Non trouvé")</f>
        <v>Non trouvé</v>
      </c>
      <c r="H1140" t="str">
        <f>IFERROR(VLOOKUP(Logs_reseau[[#This Row],[Cell_ID]],'[1]Registre_Maintenance_combine '!A:D,4,FALSE),"Non trouvé")</f>
        <v>Non trouvé</v>
      </c>
      <c r="I1140" t="str">
        <f>IFERROR(VLOOKUP(Logs_reseau[[#This Row],[Cell_ID]],'[1]Registre_Maintenance_combine '!A:E,5,FALSE),"Non trouvé")</f>
        <v>Non trouvé</v>
      </c>
      <c r="J1140" t="str">
        <f>IFERROR(VLOOKUP(Logs_reseau[[#This Row],[Cell_ID]],'[1]Registre_Maintenance_combine '!A:F,6,FALSE),"Non trouvé")</f>
        <v>Non trouvé</v>
      </c>
    </row>
    <row r="1141" spans="1:10" x14ac:dyDescent="0.25">
      <c r="A1141" t="str">
        <f>IFERROR(VLOOKUP(Logs_reseau[[#This Row],[Cell_ID]],'[1]Registre_Maintenance_combine '!A:B,2,FALSE),"Non trouvé")</f>
        <v>Sud-Kivu</v>
      </c>
      <c r="B1141" t="s">
        <v>409</v>
      </c>
      <c r="C1141" s="3">
        <v>45200.493055555555</v>
      </c>
      <c r="D1141" s="11">
        <f>Logs_reseau[[#This Row],[Duree_Panne_Min]]/1440</f>
        <v>7.8472222222222221E-2</v>
      </c>
      <c r="E1141">
        <v>113</v>
      </c>
      <c r="F1141" t="s">
        <v>1</v>
      </c>
      <c r="G1141">
        <f>IFERROR(VLOOKUP(Logs_reseau[[#This Row],[Cell_ID]],'[1]Registre_Maintenance_combine '!A:C,3,FALSE),"Non trouvé")</f>
        <v>-1.5419050000000001</v>
      </c>
      <c r="H1141">
        <f>IFERROR(VLOOKUP(Logs_reseau[[#This Row],[Cell_ID]],'[1]Registre_Maintenance_combine '!A:D,4,FALSE),"Non trouvé")</f>
        <v>14.730632999999999</v>
      </c>
      <c r="I1141" t="str">
        <f>IFERROR(VLOOKUP(Logs_reseau[[#This Row],[Cell_ID]],'[1]Registre_Maintenance_combine '!A:E,5,FALSE),"Non trouvé")</f>
        <v>3G</v>
      </c>
      <c r="J1141" t="str">
        <f>IFERROR(VLOOKUP(Logs_reseau[[#This Row],[Cell_ID]],'[1]Registre_Maintenance_combine '!A:F,6,FALSE),"Non trouvé")</f>
        <v>ZTE</v>
      </c>
    </row>
    <row r="1142" spans="1:10" x14ac:dyDescent="0.25">
      <c r="A1142" t="str">
        <f>IFERROR(VLOOKUP(Logs_reseau[[#This Row],[Cell_ID]],'[1]Registre_Maintenance_combine '!A:B,2,FALSE),"Non trouvé")</f>
        <v>Nord-Ubangi</v>
      </c>
      <c r="B1142" t="s">
        <v>306</v>
      </c>
      <c r="C1142" s="3">
        <v>45225.317361111112</v>
      </c>
      <c r="D1142" s="11">
        <f>Logs_reseau[[#This Row],[Duree_Panne_Min]]/1440</f>
        <v>3.888888888888889E-2</v>
      </c>
      <c r="E1142">
        <v>56</v>
      </c>
      <c r="F1142" t="s">
        <v>2</v>
      </c>
      <c r="G1142">
        <f>IFERROR(VLOOKUP(Logs_reseau[[#This Row],[Cell_ID]],'[1]Registre_Maintenance_combine '!A:C,3,FALSE),"Non trouvé")</f>
        <v>-7.9987219999999999</v>
      </c>
      <c r="H1142">
        <f>IFERROR(VLOOKUP(Logs_reseau[[#This Row],[Cell_ID]],'[1]Registre_Maintenance_combine '!A:D,4,FALSE),"Non trouvé")</f>
        <v>12.779335</v>
      </c>
      <c r="I1142" t="str">
        <f>IFERROR(VLOOKUP(Logs_reseau[[#This Row],[Cell_ID]],'[1]Registre_Maintenance_combine '!A:E,5,FALSE),"Non trouvé")</f>
        <v>5G</v>
      </c>
      <c r="J1142" t="str">
        <f>IFERROR(VLOOKUP(Logs_reseau[[#This Row],[Cell_ID]],'[1]Registre_Maintenance_combine '!A:F,6,FALSE),"Non trouvé")</f>
        <v>Nokia</v>
      </c>
    </row>
    <row r="1143" spans="1:10" x14ac:dyDescent="0.25">
      <c r="A1143" t="str">
        <f>IFERROR(VLOOKUP(Logs_reseau[[#This Row],[Cell_ID]],'[1]Registre_Maintenance_combine '!A:B,2,FALSE),"Non trouvé")</f>
        <v>Non trouvé</v>
      </c>
      <c r="B1143" t="s">
        <v>119</v>
      </c>
      <c r="C1143" s="3">
        <v>45210.007638888892</v>
      </c>
      <c r="D1143" s="11">
        <f>Logs_reseau[[#This Row],[Duree_Panne_Min]]/1440</f>
        <v>4.0972222222222222E-2</v>
      </c>
      <c r="E1143">
        <v>59</v>
      </c>
      <c r="F1143" t="s">
        <v>2</v>
      </c>
      <c r="G1143" t="str">
        <f>IFERROR(VLOOKUP(Logs_reseau[[#This Row],[Cell_ID]],'[1]Registre_Maintenance_combine '!A:C,3,FALSE),"Non trouvé")</f>
        <v>Non trouvé</v>
      </c>
      <c r="H1143" t="str">
        <f>IFERROR(VLOOKUP(Logs_reseau[[#This Row],[Cell_ID]],'[1]Registre_Maintenance_combine '!A:D,4,FALSE),"Non trouvé")</f>
        <v>Non trouvé</v>
      </c>
      <c r="I1143" t="str">
        <f>IFERROR(VLOOKUP(Logs_reseau[[#This Row],[Cell_ID]],'[1]Registre_Maintenance_combine '!A:E,5,FALSE),"Non trouvé")</f>
        <v>Non trouvé</v>
      </c>
      <c r="J1143" t="str">
        <f>IFERROR(VLOOKUP(Logs_reseau[[#This Row],[Cell_ID]],'[1]Registre_Maintenance_combine '!A:F,6,FALSE),"Non trouvé")</f>
        <v>Non trouvé</v>
      </c>
    </row>
    <row r="1144" spans="1:10" x14ac:dyDescent="0.25">
      <c r="A1144" t="str">
        <f>IFERROR(VLOOKUP(Logs_reseau[[#This Row],[Cell_ID]],'[1]Registre_Maintenance_combine '!A:B,2,FALSE),"Non trouvé")</f>
        <v>Non trouvé</v>
      </c>
      <c r="B1144" t="s">
        <v>237</v>
      </c>
      <c r="C1144" s="3">
        <v>45208.047222222223</v>
      </c>
      <c r="D1144" s="11">
        <f>Logs_reseau[[#This Row],[Duree_Panne_Min]]/1440</f>
        <v>6.3888888888888884E-2</v>
      </c>
      <c r="E1144">
        <v>92</v>
      </c>
      <c r="F1144" t="s">
        <v>4</v>
      </c>
      <c r="G1144" t="str">
        <f>IFERROR(VLOOKUP(Logs_reseau[[#This Row],[Cell_ID]],'[1]Registre_Maintenance_combine '!A:C,3,FALSE),"Non trouvé")</f>
        <v>Non trouvé</v>
      </c>
      <c r="H1144" t="str">
        <f>IFERROR(VLOOKUP(Logs_reseau[[#This Row],[Cell_ID]],'[1]Registre_Maintenance_combine '!A:D,4,FALSE),"Non trouvé")</f>
        <v>Non trouvé</v>
      </c>
      <c r="I1144" t="str">
        <f>IFERROR(VLOOKUP(Logs_reseau[[#This Row],[Cell_ID]],'[1]Registre_Maintenance_combine '!A:E,5,FALSE),"Non trouvé")</f>
        <v>Non trouvé</v>
      </c>
      <c r="J1144" t="str">
        <f>IFERROR(VLOOKUP(Logs_reseau[[#This Row],[Cell_ID]],'[1]Registre_Maintenance_combine '!A:F,6,FALSE),"Non trouvé")</f>
        <v>Non trouvé</v>
      </c>
    </row>
    <row r="1145" spans="1:10" x14ac:dyDescent="0.25">
      <c r="A1145" t="str">
        <f>IFERROR(VLOOKUP(Logs_reseau[[#This Row],[Cell_ID]],'[1]Registre_Maintenance_combine '!A:B,2,FALSE),"Non trouvé")</f>
        <v>Non trouvé</v>
      </c>
      <c r="B1145" t="s">
        <v>366</v>
      </c>
      <c r="C1145" s="3">
        <v>45221.143055555556</v>
      </c>
      <c r="D1145" s="11">
        <f>Logs_reseau[[#This Row],[Duree_Panne_Min]]/1440</f>
        <v>2.9861111111111113E-2</v>
      </c>
      <c r="E1145">
        <v>43</v>
      </c>
      <c r="F1145" t="s">
        <v>1</v>
      </c>
      <c r="G1145" t="str">
        <f>IFERROR(VLOOKUP(Logs_reseau[[#This Row],[Cell_ID]],'[1]Registre_Maintenance_combine '!A:C,3,FALSE),"Non trouvé")</f>
        <v>Non trouvé</v>
      </c>
      <c r="H1145" t="str">
        <f>IFERROR(VLOOKUP(Logs_reseau[[#This Row],[Cell_ID]],'[1]Registre_Maintenance_combine '!A:D,4,FALSE),"Non trouvé")</f>
        <v>Non trouvé</v>
      </c>
      <c r="I1145" t="str">
        <f>IFERROR(VLOOKUP(Logs_reseau[[#This Row],[Cell_ID]],'[1]Registre_Maintenance_combine '!A:E,5,FALSE),"Non trouvé")</f>
        <v>Non trouvé</v>
      </c>
      <c r="J1145" t="str">
        <f>IFERROR(VLOOKUP(Logs_reseau[[#This Row],[Cell_ID]],'[1]Registre_Maintenance_combine '!A:F,6,FALSE),"Non trouvé")</f>
        <v>Non trouvé</v>
      </c>
    </row>
    <row r="1146" spans="1:10" x14ac:dyDescent="0.25">
      <c r="A1146" t="str">
        <f>IFERROR(VLOOKUP(Logs_reseau[[#This Row],[Cell_ID]],'[1]Registre_Maintenance_combine '!A:B,2,FALSE),"Non trouvé")</f>
        <v>Non trouvé</v>
      </c>
      <c r="B1146" t="s">
        <v>410</v>
      </c>
      <c r="C1146" s="3">
        <v>45211.908333333333</v>
      </c>
      <c r="D1146" s="11">
        <f>Logs_reseau[[#This Row],[Duree_Panne_Min]]/1440</f>
        <v>2.2222222222222223E-2</v>
      </c>
      <c r="E1146">
        <v>32</v>
      </c>
      <c r="F1146" t="s">
        <v>2</v>
      </c>
      <c r="G1146" t="str">
        <f>IFERROR(VLOOKUP(Logs_reseau[[#This Row],[Cell_ID]],'[1]Registre_Maintenance_combine '!A:C,3,FALSE),"Non trouvé")</f>
        <v>Non trouvé</v>
      </c>
      <c r="H1146" t="str">
        <f>IFERROR(VLOOKUP(Logs_reseau[[#This Row],[Cell_ID]],'[1]Registre_Maintenance_combine '!A:D,4,FALSE),"Non trouvé")</f>
        <v>Non trouvé</v>
      </c>
      <c r="I1146" t="str">
        <f>IFERROR(VLOOKUP(Logs_reseau[[#This Row],[Cell_ID]],'[1]Registre_Maintenance_combine '!A:E,5,FALSE),"Non trouvé")</f>
        <v>Non trouvé</v>
      </c>
      <c r="J1146" t="str">
        <f>IFERROR(VLOOKUP(Logs_reseau[[#This Row],[Cell_ID]],'[1]Registre_Maintenance_combine '!A:F,6,FALSE),"Non trouvé")</f>
        <v>Non trouvé</v>
      </c>
    </row>
    <row r="1147" spans="1:10" x14ac:dyDescent="0.25">
      <c r="A1147" t="str">
        <f>IFERROR(VLOOKUP(Logs_reseau[[#This Row],[Cell_ID]],'[1]Registre_Maintenance_combine '!A:B,2,FALSE),"Non trouvé")</f>
        <v>Non trouvé</v>
      </c>
      <c r="B1147" t="s">
        <v>411</v>
      </c>
      <c r="C1147" s="3">
        <v>45213.960416666669</v>
      </c>
      <c r="D1147" s="11">
        <f>Logs_reseau[[#This Row],[Duree_Panne_Min]]/1440</f>
        <v>7.1527777777777773E-2</v>
      </c>
      <c r="E1147">
        <v>103</v>
      </c>
      <c r="F1147" t="s">
        <v>2</v>
      </c>
      <c r="G1147" t="str">
        <f>IFERROR(VLOOKUP(Logs_reseau[[#This Row],[Cell_ID]],'[1]Registre_Maintenance_combine '!A:C,3,FALSE),"Non trouvé")</f>
        <v>Non trouvé</v>
      </c>
      <c r="H1147" t="str">
        <f>IFERROR(VLOOKUP(Logs_reseau[[#This Row],[Cell_ID]],'[1]Registre_Maintenance_combine '!A:D,4,FALSE),"Non trouvé")</f>
        <v>Non trouvé</v>
      </c>
      <c r="I1147" t="str">
        <f>IFERROR(VLOOKUP(Logs_reseau[[#This Row],[Cell_ID]],'[1]Registre_Maintenance_combine '!A:E,5,FALSE),"Non trouvé")</f>
        <v>Non trouvé</v>
      </c>
      <c r="J1147" t="str">
        <f>IFERROR(VLOOKUP(Logs_reseau[[#This Row],[Cell_ID]],'[1]Registre_Maintenance_combine '!A:F,6,FALSE),"Non trouvé")</f>
        <v>Non trouvé</v>
      </c>
    </row>
    <row r="1148" spans="1:10" x14ac:dyDescent="0.25">
      <c r="A1148" t="str">
        <f>IFERROR(VLOOKUP(Logs_reseau[[#This Row],[Cell_ID]],'[1]Registre_Maintenance_combine '!A:B,2,FALSE),"Non trouvé")</f>
        <v>Non trouvé</v>
      </c>
      <c r="B1148" t="s">
        <v>119</v>
      </c>
      <c r="C1148" s="3">
        <v>45209.462500000001</v>
      </c>
      <c r="D1148" s="11">
        <f>Logs_reseau[[#This Row],[Duree_Panne_Min]]/1440</f>
        <v>7.0833333333333331E-2</v>
      </c>
      <c r="E1148">
        <v>102</v>
      </c>
      <c r="F1148" t="s">
        <v>4</v>
      </c>
      <c r="G1148" t="str">
        <f>IFERROR(VLOOKUP(Logs_reseau[[#This Row],[Cell_ID]],'[1]Registre_Maintenance_combine '!A:C,3,FALSE),"Non trouvé")</f>
        <v>Non trouvé</v>
      </c>
      <c r="H1148" t="str">
        <f>IFERROR(VLOOKUP(Logs_reseau[[#This Row],[Cell_ID]],'[1]Registre_Maintenance_combine '!A:D,4,FALSE),"Non trouvé")</f>
        <v>Non trouvé</v>
      </c>
      <c r="I1148" t="str">
        <f>IFERROR(VLOOKUP(Logs_reseau[[#This Row],[Cell_ID]],'[1]Registre_Maintenance_combine '!A:E,5,FALSE),"Non trouvé")</f>
        <v>Non trouvé</v>
      </c>
      <c r="J1148" t="str">
        <f>IFERROR(VLOOKUP(Logs_reseau[[#This Row],[Cell_ID]],'[1]Registre_Maintenance_combine '!A:F,6,FALSE),"Non trouvé")</f>
        <v>Non trouvé</v>
      </c>
    </row>
    <row r="1149" spans="1:10" x14ac:dyDescent="0.25">
      <c r="A1149" t="str">
        <f>IFERROR(VLOOKUP(Logs_reseau[[#This Row],[Cell_ID]],'[1]Registre_Maintenance_combine '!A:B,2,FALSE),"Non trouvé")</f>
        <v>Sud-Kivu</v>
      </c>
      <c r="B1149" t="s">
        <v>324</v>
      </c>
      <c r="C1149" s="3">
        <v>45218.675694444442</v>
      </c>
      <c r="D1149" s="11">
        <f>Logs_reseau[[#This Row],[Duree_Panne_Min]]/1440</f>
        <v>2.5694444444444443E-2</v>
      </c>
      <c r="E1149">
        <v>37</v>
      </c>
      <c r="F1149" t="s">
        <v>4</v>
      </c>
      <c r="G1149">
        <f>IFERROR(VLOOKUP(Logs_reseau[[#This Row],[Cell_ID]],'[1]Registre_Maintenance_combine '!A:C,3,FALSE),"Non trouvé")</f>
        <v>-2.9651529999999999</v>
      </c>
      <c r="H1149">
        <f>IFERROR(VLOOKUP(Logs_reseau[[#This Row],[Cell_ID]],'[1]Registre_Maintenance_combine '!A:D,4,FALSE),"Non trouvé")</f>
        <v>29.79908</v>
      </c>
      <c r="I1149" t="str">
        <f>IFERROR(VLOOKUP(Logs_reseau[[#This Row],[Cell_ID]],'[1]Registre_Maintenance_combine '!A:E,5,FALSE),"Non trouvé")</f>
        <v>4G</v>
      </c>
      <c r="J1149" t="str">
        <f>IFERROR(VLOOKUP(Logs_reseau[[#This Row],[Cell_ID]],'[1]Registre_Maintenance_combine '!A:F,6,FALSE),"Non trouvé")</f>
        <v>Ericsson</v>
      </c>
    </row>
    <row r="1150" spans="1:10" x14ac:dyDescent="0.25">
      <c r="A1150" t="str">
        <f>IFERROR(VLOOKUP(Logs_reseau[[#This Row],[Cell_ID]],'[1]Registre_Maintenance_combine '!A:B,2,FALSE),"Non trouvé")</f>
        <v>Non trouvé</v>
      </c>
      <c r="B1150" t="s">
        <v>24</v>
      </c>
      <c r="C1150" s="3">
        <v>45204.895833333336</v>
      </c>
      <c r="D1150" s="11">
        <f>Logs_reseau[[#This Row],[Duree_Panne_Min]]/1440</f>
        <v>2.9166666666666667E-2</v>
      </c>
      <c r="E1150">
        <v>42</v>
      </c>
      <c r="F1150" t="s">
        <v>2</v>
      </c>
      <c r="G1150" t="str">
        <f>IFERROR(VLOOKUP(Logs_reseau[[#This Row],[Cell_ID]],'[1]Registre_Maintenance_combine '!A:C,3,FALSE),"Non trouvé")</f>
        <v>Non trouvé</v>
      </c>
      <c r="H1150" t="str">
        <f>IFERROR(VLOOKUP(Logs_reseau[[#This Row],[Cell_ID]],'[1]Registre_Maintenance_combine '!A:D,4,FALSE),"Non trouvé")</f>
        <v>Non trouvé</v>
      </c>
      <c r="I1150" t="str">
        <f>IFERROR(VLOOKUP(Logs_reseau[[#This Row],[Cell_ID]],'[1]Registre_Maintenance_combine '!A:E,5,FALSE),"Non trouvé")</f>
        <v>Non trouvé</v>
      </c>
      <c r="J1150" t="str">
        <f>IFERROR(VLOOKUP(Logs_reseau[[#This Row],[Cell_ID]],'[1]Registre_Maintenance_combine '!A:F,6,FALSE),"Non trouvé")</f>
        <v>Non trouvé</v>
      </c>
    </row>
    <row r="1151" spans="1:10" x14ac:dyDescent="0.25">
      <c r="A1151" t="str">
        <f>IFERROR(VLOOKUP(Logs_reseau[[#This Row],[Cell_ID]],'[1]Registre_Maintenance_combine '!A:B,2,FALSE),"Non trouvé")</f>
        <v>Kongo-Central</v>
      </c>
      <c r="B1151" t="s">
        <v>412</v>
      </c>
      <c r="C1151" s="3">
        <v>45207.140277777777</v>
      </c>
      <c r="D1151" s="11">
        <f>Logs_reseau[[#This Row],[Duree_Panne_Min]]/1440</f>
        <v>3.1944444444444442E-2</v>
      </c>
      <c r="E1151">
        <v>46</v>
      </c>
      <c r="F1151" t="s">
        <v>2</v>
      </c>
      <c r="G1151">
        <f>IFERROR(VLOOKUP(Logs_reseau[[#This Row],[Cell_ID]],'[1]Registre_Maintenance_combine '!A:C,3,FALSE),"Non trouvé")</f>
        <v>-12.112399999999999</v>
      </c>
      <c r="H1151">
        <f>IFERROR(VLOOKUP(Logs_reseau[[#This Row],[Cell_ID]],'[1]Registre_Maintenance_combine '!A:D,4,FALSE),"Non trouvé")</f>
        <v>15.872226</v>
      </c>
      <c r="I1151" t="str">
        <f>IFERROR(VLOOKUP(Logs_reseau[[#This Row],[Cell_ID]],'[1]Registre_Maintenance_combine '!A:E,5,FALSE),"Non trouvé")</f>
        <v>4G</v>
      </c>
      <c r="J1151" t="str">
        <f>IFERROR(VLOOKUP(Logs_reseau[[#This Row],[Cell_ID]],'[1]Registre_Maintenance_combine '!A:F,6,FALSE),"Non trouvé")</f>
        <v>Nokia</v>
      </c>
    </row>
    <row r="1152" spans="1:10" x14ac:dyDescent="0.25">
      <c r="A1152" t="str">
        <f>IFERROR(VLOOKUP(Logs_reseau[[#This Row],[Cell_ID]],'[1]Registre_Maintenance_combine '!A:B,2,FALSE),"Non trouvé")</f>
        <v>Non trouvé</v>
      </c>
      <c r="B1152" t="s">
        <v>405</v>
      </c>
      <c r="C1152" s="3">
        <v>45227.724305555559</v>
      </c>
      <c r="D1152" s="11">
        <f>Logs_reseau[[#This Row],[Duree_Panne_Min]]/1440</f>
        <v>1.3888888888888888E-2</v>
      </c>
      <c r="E1152">
        <v>20</v>
      </c>
      <c r="F1152" t="s">
        <v>1</v>
      </c>
      <c r="G1152" t="str">
        <f>IFERROR(VLOOKUP(Logs_reseau[[#This Row],[Cell_ID]],'[1]Registre_Maintenance_combine '!A:C,3,FALSE),"Non trouvé")</f>
        <v>Non trouvé</v>
      </c>
      <c r="H1152" t="str">
        <f>IFERROR(VLOOKUP(Logs_reseau[[#This Row],[Cell_ID]],'[1]Registre_Maintenance_combine '!A:D,4,FALSE),"Non trouvé")</f>
        <v>Non trouvé</v>
      </c>
      <c r="I1152" t="str">
        <f>IFERROR(VLOOKUP(Logs_reseau[[#This Row],[Cell_ID]],'[1]Registre_Maintenance_combine '!A:E,5,FALSE),"Non trouvé")</f>
        <v>Non trouvé</v>
      </c>
      <c r="J1152" t="str">
        <f>IFERROR(VLOOKUP(Logs_reseau[[#This Row],[Cell_ID]],'[1]Registre_Maintenance_combine '!A:F,6,FALSE),"Non trouvé")</f>
        <v>Non trouvé</v>
      </c>
    </row>
    <row r="1153" spans="1:10" x14ac:dyDescent="0.25">
      <c r="A1153" t="str">
        <f>IFERROR(VLOOKUP(Logs_reseau[[#This Row],[Cell_ID]],'[1]Registre_Maintenance_combine '!A:B,2,FALSE),"Non trouvé")</f>
        <v>Non trouvé</v>
      </c>
      <c r="B1153" t="s">
        <v>175</v>
      </c>
      <c r="C1153" s="3">
        <v>45203.35833333333</v>
      </c>
      <c r="D1153" s="11">
        <f>Logs_reseau[[#This Row],[Duree_Panne_Min]]/1440</f>
        <v>3.472222222222222E-3</v>
      </c>
      <c r="E1153">
        <v>5</v>
      </c>
      <c r="F1153" t="s">
        <v>1</v>
      </c>
      <c r="G1153" t="str">
        <f>IFERROR(VLOOKUP(Logs_reseau[[#This Row],[Cell_ID]],'[1]Registre_Maintenance_combine '!A:C,3,FALSE),"Non trouvé")</f>
        <v>Non trouvé</v>
      </c>
      <c r="H1153" t="str">
        <f>IFERROR(VLOOKUP(Logs_reseau[[#This Row],[Cell_ID]],'[1]Registre_Maintenance_combine '!A:D,4,FALSE),"Non trouvé")</f>
        <v>Non trouvé</v>
      </c>
      <c r="I1153" t="str">
        <f>IFERROR(VLOOKUP(Logs_reseau[[#This Row],[Cell_ID]],'[1]Registre_Maintenance_combine '!A:E,5,FALSE),"Non trouvé")</f>
        <v>Non trouvé</v>
      </c>
      <c r="J1153" t="str">
        <f>IFERROR(VLOOKUP(Logs_reseau[[#This Row],[Cell_ID]],'[1]Registre_Maintenance_combine '!A:F,6,FALSE),"Non trouvé")</f>
        <v>Non trouvé</v>
      </c>
    </row>
    <row r="1154" spans="1:10" x14ac:dyDescent="0.25">
      <c r="A1154" t="str">
        <f>IFERROR(VLOOKUP(Logs_reseau[[#This Row],[Cell_ID]],'[1]Registre_Maintenance_combine '!A:B,2,FALSE),"Non trouvé")</f>
        <v>Ituri</v>
      </c>
      <c r="B1154" t="s">
        <v>413</v>
      </c>
      <c r="C1154" s="3">
        <v>45207.57916666667</v>
      </c>
      <c r="D1154" s="11">
        <f>Logs_reseau[[#This Row],[Duree_Panne_Min]]/1440</f>
        <v>4.7222222222222221E-2</v>
      </c>
      <c r="E1154">
        <v>68</v>
      </c>
      <c r="F1154" t="s">
        <v>1</v>
      </c>
      <c r="G1154">
        <f>IFERROR(VLOOKUP(Logs_reseau[[#This Row],[Cell_ID]],'[1]Registre_Maintenance_combine '!A:C,3,FALSE),"Non trouvé")</f>
        <v>-3.7720639999999999</v>
      </c>
      <c r="H1154">
        <f>IFERROR(VLOOKUP(Logs_reseau[[#This Row],[Cell_ID]],'[1]Registre_Maintenance_combine '!A:D,4,FALSE),"Non trouvé")</f>
        <v>16.006277999999998</v>
      </c>
      <c r="I1154" t="str">
        <f>IFERROR(VLOOKUP(Logs_reseau[[#This Row],[Cell_ID]],'[1]Registre_Maintenance_combine '!A:E,5,FALSE),"Non trouvé")</f>
        <v>5G</v>
      </c>
      <c r="J1154" t="str">
        <f>IFERROR(VLOOKUP(Logs_reseau[[#This Row],[Cell_ID]],'[1]Registre_Maintenance_combine '!A:F,6,FALSE),"Non trouvé")</f>
        <v>ZTE</v>
      </c>
    </row>
    <row r="1155" spans="1:10" x14ac:dyDescent="0.25">
      <c r="A1155" t="str">
        <f>IFERROR(VLOOKUP(Logs_reseau[[#This Row],[Cell_ID]],'[1]Registre_Maintenance_combine '!A:B,2,FALSE),"Non trouvé")</f>
        <v>Non trouvé</v>
      </c>
      <c r="B1155" t="s">
        <v>310</v>
      </c>
      <c r="C1155" s="3">
        <v>45217.818749999999</v>
      </c>
      <c r="D1155" s="11">
        <f>Logs_reseau[[#This Row],[Duree_Panne_Min]]/1440</f>
        <v>6.9444444444444448E-2</v>
      </c>
      <c r="E1155">
        <v>100</v>
      </c>
      <c r="F1155" t="s">
        <v>1</v>
      </c>
      <c r="G1155" t="str">
        <f>IFERROR(VLOOKUP(Logs_reseau[[#This Row],[Cell_ID]],'[1]Registre_Maintenance_combine '!A:C,3,FALSE),"Non trouvé")</f>
        <v>Non trouvé</v>
      </c>
      <c r="H1155" t="str">
        <f>IFERROR(VLOOKUP(Logs_reseau[[#This Row],[Cell_ID]],'[1]Registre_Maintenance_combine '!A:D,4,FALSE),"Non trouvé")</f>
        <v>Non trouvé</v>
      </c>
      <c r="I1155" t="str">
        <f>IFERROR(VLOOKUP(Logs_reseau[[#This Row],[Cell_ID]],'[1]Registre_Maintenance_combine '!A:E,5,FALSE),"Non trouvé")</f>
        <v>Non trouvé</v>
      </c>
      <c r="J1155" t="str">
        <f>IFERROR(VLOOKUP(Logs_reseau[[#This Row],[Cell_ID]],'[1]Registre_Maintenance_combine '!A:F,6,FALSE),"Non trouvé")</f>
        <v>Non trouvé</v>
      </c>
    </row>
    <row r="1156" spans="1:10" x14ac:dyDescent="0.25">
      <c r="A1156" t="str">
        <f>IFERROR(VLOOKUP(Logs_reseau[[#This Row],[Cell_ID]],'[1]Registre_Maintenance_combine '!A:B,2,FALSE),"Non trouvé")</f>
        <v>Non trouvé</v>
      </c>
      <c r="B1156" t="s">
        <v>414</v>
      </c>
      <c r="C1156" s="3">
        <v>45221.857638888891</v>
      </c>
      <c r="D1156" s="11">
        <f>Logs_reseau[[#This Row],[Duree_Panne_Min]]/1440</f>
        <v>4.1666666666666664E-2</v>
      </c>
      <c r="E1156">
        <v>60</v>
      </c>
      <c r="F1156" t="s">
        <v>4</v>
      </c>
      <c r="G1156" t="str">
        <f>IFERROR(VLOOKUP(Logs_reseau[[#This Row],[Cell_ID]],'[1]Registre_Maintenance_combine '!A:C,3,FALSE),"Non trouvé")</f>
        <v>Non trouvé</v>
      </c>
      <c r="H1156" t="str">
        <f>IFERROR(VLOOKUP(Logs_reseau[[#This Row],[Cell_ID]],'[1]Registre_Maintenance_combine '!A:D,4,FALSE),"Non trouvé")</f>
        <v>Non trouvé</v>
      </c>
      <c r="I1156" t="str">
        <f>IFERROR(VLOOKUP(Logs_reseau[[#This Row],[Cell_ID]],'[1]Registre_Maintenance_combine '!A:E,5,FALSE),"Non trouvé")</f>
        <v>Non trouvé</v>
      </c>
      <c r="J1156" t="str">
        <f>IFERROR(VLOOKUP(Logs_reseau[[#This Row],[Cell_ID]],'[1]Registre_Maintenance_combine '!A:F,6,FALSE),"Non trouvé")</f>
        <v>Non trouvé</v>
      </c>
    </row>
    <row r="1157" spans="1:10" x14ac:dyDescent="0.25">
      <c r="A1157" t="str">
        <f>IFERROR(VLOOKUP(Logs_reseau[[#This Row],[Cell_ID]],'[1]Registre_Maintenance_combine '!A:B,2,FALSE),"Non trouvé")</f>
        <v>Sud-Kivu</v>
      </c>
      <c r="B1157" t="s">
        <v>415</v>
      </c>
      <c r="C1157" s="3">
        <v>45200.832638888889</v>
      </c>
      <c r="D1157" s="11">
        <f>Logs_reseau[[#This Row],[Duree_Panne_Min]]/1440</f>
        <v>1.8749999999999999E-2</v>
      </c>
      <c r="E1157">
        <v>27</v>
      </c>
      <c r="F1157" t="s">
        <v>1</v>
      </c>
      <c r="G1157">
        <f>IFERROR(VLOOKUP(Logs_reseau[[#This Row],[Cell_ID]],'[1]Registre_Maintenance_combine '!A:C,3,FALSE),"Non trouvé")</f>
        <v>1.2419519999999999</v>
      </c>
      <c r="H1157">
        <f>IFERROR(VLOOKUP(Logs_reseau[[#This Row],[Cell_ID]],'[1]Registre_Maintenance_combine '!A:D,4,FALSE),"Non trouvé")</f>
        <v>25.261382999999999</v>
      </c>
      <c r="I1157" t="str">
        <f>IFERROR(VLOOKUP(Logs_reseau[[#This Row],[Cell_ID]],'[1]Registre_Maintenance_combine '!A:E,5,FALSE),"Non trouvé")</f>
        <v>4G</v>
      </c>
      <c r="J1157" t="str">
        <f>IFERROR(VLOOKUP(Logs_reseau[[#This Row],[Cell_ID]],'[1]Registre_Maintenance_combine '!A:F,6,FALSE),"Non trouvé")</f>
        <v>Huawei</v>
      </c>
    </row>
    <row r="1158" spans="1:10" x14ac:dyDescent="0.25">
      <c r="A1158" t="str">
        <f>IFERROR(VLOOKUP(Logs_reseau[[#This Row],[Cell_ID]],'[1]Registre_Maintenance_combine '!A:B,2,FALSE),"Non trouvé")</f>
        <v>Sud-Kivu</v>
      </c>
      <c r="B1158" t="s">
        <v>230</v>
      </c>
      <c r="C1158" s="3">
        <v>45221.928472222222</v>
      </c>
      <c r="D1158" s="11">
        <f>Logs_reseau[[#This Row],[Duree_Panne_Min]]/1440</f>
        <v>1.4583333333333334E-2</v>
      </c>
      <c r="E1158">
        <v>21</v>
      </c>
      <c r="F1158" t="s">
        <v>1</v>
      </c>
      <c r="G1158">
        <f>IFERROR(VLOOKUP(Logs_reseau[[#This Row],[Cell_ID]],'[1]Registre_Maintenance_combine '!A:C,3,FALSE),"Non trouvé")</f>
        <v>4.2493650000000001</v>
      </c>
      <c r="H1158">
        <f>IFERROR(VLOOKUP(Logs_reseau[[#This Row],[Cell_ID]],'[1]Registre_Maintenance_combine '!A:D,4,FALSE),"Non trouvé")</f>
        <v>28.355039999999999</v>
      </c>
      <c r="I1158" t="str">
        <f>IFERROR(VLOOKUP(Logs_reseau[[#This Row],[Cell_ID]],'[1]Registre_Maintenance_combine '!A:E,5,FALSE),"Non trouvé")</f>
        <v>3G</v>
      </c>
      <c r="J1158" t="str">
        <f>IFERROR(VLOOKUP(Logs_reseau[[#This Row],[Cell_ID]],'[1]Registre_Maintenance_combine '!A:F,6,FALSE),"Non trouvé")</f>
        <v>ZTE</v>
      </c>
    </row>
    <row r="1159" spans="1:10" x14ac:dyDescent="0.25">
      <c r="A1159" t="str">
        <f>IFERROR(VLOOKUP(Logs_reseau[[#This Row],[Cell_ID]],'[1]Registre_Maintenance_combine '!A:B,2,FALSE),"Non trouvé")</f>
        <v>Non trouvé</v>
      </c>
      <c r="B1159" t="s">
        <v>416</v>
      </c>
      <c r="C1159" s="3">
        <v>45200.220138888886</v>
      </c>
      <c r="D1159" s="11">
        <f>Logs_reseau[[#This Row],[Duree_Panne_Min]]/1440</f>
        <v>3.6805555555555557E-2</v>
      </c>
      <c r="E1159">
        <v>53</v>
      </c>
      <c r="F1159" t="s">
        <v>2</v>
      </c>
      <c r="G1159" t="str">
        <f>IFERROR(VLOOKUP(Logs_reseau[[#This Row],[Cell_ID]],'[1]Registre_Maintenance_combine '!A:C,3,FALSE),"Non trouvé")</f>
        <v>Non trouvé</v>
      </c>
      <c r="H1159" t="str">
        <f>IFERROR(VLOOKUP(Logs_reseau[[#This Row],[Cell_ID]],'[1]Registre_Maintenance_combine '!A:D,4,FALSE),"Non trouvé")</f>
        <v>Non trouvé</v>
      </c>
      <c r="I1159" t="str">
        <f>IFERROR(VLOOKUP(Logs_reseau[[#This Row],[Cell_ID]],'[1]Registre_Maintenance_combine '!A:E,5,FALSE),"Non trouvé")</f>
        <v>Non trouvé</v>
      </c>
      <c r="J1159" t="str">
        <f>IFERROR(VLOOKUP(Logs_reseau[[#This Row],[Cell_ID]],'[1]Registre_Maintenance_combine '!A:F,6,FALSE),"Non trouvé")</f>
        <v>Non trouvé</v>
      </c>
    </row>
    <row r="1160" spans="1:10" x14ac:dyDescent="0.25">
      <c r="A1160" t="str">
        <f>IFERROR(VLOOKUP(Logs_reseau[[#This Row],[Cell_ID]],'[1]Registre_Maintenance_combine '!A:B,2,FALSE),"Non trouvé")</f>
        <v>Nord-Ubangi</v>
      </c>
      <c r="B1160" t="s">
        <v>417</v>
      </c>
      <c r="C1160" s="3">
        <v>45222.415277777778</v>
      </c>
      <c r="D1160" s="11">
        <f>Logs_reseau[[#This Row],[Duree_Panne_Min]]/1440</f>
        <v>5.0694444444444445E-2</v>
      </c>
      <c r="E1160">
        <v>73</v>
      </c>
      <c r="F1160" t="s">
        <v>1</v>
      </c>
      <c r="G1160">
        <f>IFERROR(VLOOKUP(Logs_reseau[[#This Row],[Cell_ID]],'[1]Registre_Maintenance_combine '!A:C,3,FALSE),"Non trouvé")</f>
        <v>-4.8128659999999996</v>
      </c>
      <c r="H1160">
        <f>IFERROR(VLOOKUP(Logs_reseau[[#This Row],[Cell_ID]],'[1]Registre_Maintenance_combine '!A:D,4,FALSE),"Non trouvé")</f>
        <v>18.559304999999998</v>
      </c>
      <c r="I1160" t="str">
        <f>IFERROR(VLOOKUP(Logs_reseau[[#This Row],[Cell_ID]],'[1]Registre_Maintenance_combine '!A:E,5,FALSE),"Non trouvé")</f>
        <v>5G</v>
      </c>
      <c r="J1160" t="str">
        <f>IFERROR(VLOOKUP(Logs_reseau[[#This Row],[Cell_ID]],'[1]Registre_Maintenance_combine '!A:F,6,FALSE),"Non trouvé")</f>
        <v>ZTE</v>
      </c>
    </row>
    <row r="1161" spans="1:10" x14ac:dyDescent="0.25">
      <c r="A1161" t="str">
        <f>IFERROR(VLOOKUP(Logs_reseau[[#This Row],[Cell_ID]],'[1]Registre_Maintenance_combine '!A:B,2,FALSE),"Non trouvé")</f>
        <v>Haut-Lomami</v>
      </c>
      <c r="B1161" t="s">
        <v>351</v>
      </c>
      <c r="C1161" s="3">
        <v>45210.458333333336</v>
      </c>
      <c r="D1161" s="11">
        <f>Logs_reseau[[#This Row],[Duree_Panne_Min]]/1440</f>
        <v>6.5972222222222224E-2</v>
      </c>
      <c r="E1161">
        <v>95</v>
      </c>
      <c r="F1161" t="s">
        <v>2</v>
      </c>
      <c r="G1161">
        <f>IFERROR(VLOOKUP(Logs_reseau[[#This Row],[Cell_ID]],'[1]Registre_Maintenance_combine '!A:C,3,FALSE),"Non trouvé")</f>
        <v>-12.112682</v>
      </c>
      <c r="H1161">
        <f>IFERROR(VLOOKUP(Logs_reseau[[#This Row],[Cell_ID]],'[1]Registre_Maintenance_combine '!A:D,4,FALSE),"Non trouvé")</f>
        <v>19.972052000000001</v>
      </c>
      <c r="I1161" t="str">
        <f>IFERROR(VLOOKUP(Logs_reseau[[#This Row],[Cell_ID]],'[1]Registre_Maintenance_combine '!A:E,5,FALSE),"Non trouvé")</f>
        <v>4G</v>
      </c>
      <c r="J1161" t="str">
        <f>IFERROR(VLOOKUP(Logs_reseau[[#This Row],[Cell_ID]],'[1]Registre_Maintenance_combine '!A:F,6,FALSE),"Non trouvé")</f>
        <v>Huawei</v>
      </c>
    </row>
    <row r="1162" spans="1:10" x14ac:dyDescent="0.25">
      <c r="A1162" t="str">
        <f>IFERROR(VLOOKUP(Logs_reseau[[#This Row],[Cell_ID]],'[1]Registre_Maintenance_combine '!A:B,2,FALSE),"Non trouvé")</f>
        <v>Sankuru</v>
      </c>
      <c r="B1162" t="s">
        <v>92</v>
      </c>
      <c r="C1162" s="3">
        <v>45205.191666666666</v>
      </c>
      <c r="D1162" s="11">
        <f>Logs_reseau[[#This Row],[Duree_Panne_Min]]/1440</f>
        <v>2.361111111111111E-2</v>
      </c>
      <c r="E1162">
        <v>34</v>
      </c>
      <c r="F1162" t="s">
        <v>1</v>
      </c>
      <c r="G1162">
        <f>IFERROR(VLOOKUP(Logs_reseau[[#This Row],[Cell_ID]],'[1]Registre_Maintenance_combine '!A:C,3,FALSE),"Non trouvé")</f>
        <v>-4.7886769999999999</v>
      </c>
      <c r="H1162">
        <f>IFERROR(VLOOKUP(Logs_reseau[[#This Row],[Cell_ID]],'[1]Registre_Maintenance_combine '!A:D,4,FALSE),"Non trouvé")</f>
        <v>23.600221999999999</v>
      </c>
      <c r="I1162" t="str">
        <f>IFERROR(VLOOKUP(Logs_reseau[[#This Row],[Cell_ID]],'[1]Registre_Maintenance_combine '!A:E,5,FALSE),"Non trouvé")</f>
        <v>3G</v>
      </c>
      <c r="J1162" t="str">
        <f>IFERROR(VLOOKUP(Logs_reseau[[#This Row],[Cell_ID]],'[1]Registre_Maintenance_combine '!A:F,6,FALSE),"Non trouvé")</f>
        <v>ZTE</v>
      </c>
    </row>
    <row r="1163" spans="1:10" x14ac:dyDescent="0.25">
      <c r="A1163" t="str">
        <f>IFERROR(VLOOKUP(Logs_reseau[[#This Row],[Cell_ID]],'[1]Registre_Maintenance_combine '!A:B,2,FALSE),"Non trouvé")</f>
        <v>Non trouvé</v>
      </c>
      <c r="B1163" t="s">
        <v>418</v>
      </c>
      <c r="C1163" s="3">
        <v>45221.50277777778</v>
      </c>
      <c r="D1163" s="11">
        <f>Logs_reseau[[#This Row],[Duree_Panne_Min]]/1440</f>
        <v>4.791666666666667E-2</v>
      </c>
      <c r="E1163">
        <v>69</v>
      </c>
      <c r="F1163" t="s">
        <v>1</v>
      </c>
      <c r="G1163" t="str">
        <f>IFERROR(VLOOKUP(Logs_reseau[[#This Row],[Cell_ID]],'[1]Registre_Maintenance_combine '!A:C,3,FALSE),"Non trouvé")</f>
        <v>Non trouvé</v>
      </c>
      <c r="H1163" t="str">
        <f>IFERROR(VLOOKUP(Logs_reseau[[#This Row],[Cell_ID]],'[1]Registre_Maintenance_combine '!A:D,4,FALSE),"Non trouvé")</f>
        <v>Non trouvé</v>
      </c>
      <c r="I1163" t="str">
        <f>IFERROR(VLOOKUP(Logs_reseau[[#This Row],[Cell_ID]],'[1]Registre_Maintenance_combine '!A:E,5,FALSE),"Non trouvé")</f>
        <v>Non trouvé</v>
      </c>
      <c r="J1163" t="str">
        <f>IFERROR(VLOOKUP(Logs_reseau[[#This Row],[Cell_ID]],'[1]Registre_Maintenance_combine '!A:F,6,FALSE),"Non trouvé")</f>
        <v>Non trouvé</v>
      </c>
    </row>
    <row r="1164" spans="1:10" x14ac:dyDescent="0.25">
      <c r="A1164" t="str">
        <f>IFERROR(VLOOKUP(Logs_reseau[[#This Row],[Cell_ID]],'[1]Registre_Maintenance_combine '!A:B,2,FALSE),"Non trouvé")</f>
        <v>Haut-Uele</v>
      </c>
      <c r="B1164" t="s">
        <v>419</v>
      </c>
      <c r="C1164" s="3">
        <v>45204.986111111109</v>
      </c>
      <c r="D1164" s="11">
        <f>Logs_reseau[[#This Row],[Duree_Panne_Min]]/1440</f>
        <v>5.2777777777777778E-2</v>
      </c>
      <c r="E1164">
        <v>76</v>
      </c>
      <c r="F1164" t="s">
        <v>2</v>
      </c>
      <c r="G1164">
        <f>IFERROR(VLOOKUP(Logs_reseau[[#This Row],[Cell_ID]],'[1]Registre_Maintenance_combine '!A:C,3,FALSE),"Non trouvé")</f>
        <v>-4.869434</v>
      </c>
      <c r="H1164">
        <f>IFERROR(VLOOKUP(Logs_reseau[[#This Row],[Cell_ID]],'[1]Registre_Maintenance_combine '!A:D,4,FALSE),"Non trouvé")</f>
        <v>22.326522000000001</v>
      </c>
      <c r="I1164" t="str">
        <f>IFERROR(VLOOKUP(Logs_reseau[[#This Row],[Cell_ID]],'[1]Registre_Maintenance_combine '!A:E,5,FALSE),"Non trouvé")</f>
        <v>5G</v>
      </c>
      <c r="J1164" t="str">
        <f>IFERROR(VLOOKUP(Logs_reseau[[#This Row],[Cell_ID]],'[1]Registre_Maintenance_combine '!A:F,6,FALSE),"Non trouvé")</f>
        <v>Ericsson</v>
      </c>
    </row>
    <row r="1165" spans="1:10" x14ac:dyDescent="0.25">
      <c r="A1165" t="str">
        <f>IFERROR(VLOOKUP(Logs_reseau[[#This Row],[Cell_ID]],'[1]Registre_Maintenance_combine '!A:B,2,FALSE),"Non trouvé")</f>
        <v>Non trouvé</v>
      </c>
      <c r="B1165" t="s">
        <v>110</v>
      </c>
      <c r="C1165" s="3">
        <v>45200.115972222222</v>
      </c>
      <c r="D1165" s="11">
        <f>Logs_reseau[[#This Row],[Duree_Panne_Min]]/1440</f>
        <v>7.7083333333333337E-2</v>
      </c>
      <c r="E1165">
        <v>111</v>
      </c>
      <c r="F1165" t="s">
        <v>4</v>
      </c>
      <c r="G1165" t="str">
        <f>IFERROR(VLOOKUP(Logs_reseau[[#This Row],[Cell_ID]],'[1]Registre_Maintenance_combine '!A:C,3,FALSE),"Non trouvé")</f>
        <v>Non trouvé</v>
      </c>
      <c r="H1165" t="str">
        <f>IFERROR(VLOOKUP(Logs_reseau[[#This Row],[Cell_ID]],'[1]Registre_Maintenance_combine '!A:D,4,FALSE),"Non trouvé")</f>
        <v>Non trouvé</v>
      </c>
      <c r="I1165" t="str">
        <f>IFERROR(VLOOKUP(Logs_reseau[[#This Row],[Cell_ID]],'[1]Registre_Maintenance_combine '!A:E,5,FALSE),"Non trouvé")</f>
        <v>Non trouvé</v>
      </c>
      <c r="J1165" t="str">
        <f>IFERROR(VLOOKUP(Logs_reseau[[#This Row],[Cell_ID]],'[1]Registre_Maintenance_combine '!A:F,6,FALSE),"Non trouvé")</f>
        <v>Non trouvé</v>
      </c>
    </row>
    <row r="1166" spans="1:10" x14ac:dyDescent="0.25">
      <c r="A1166" t="str">
        <f>IFERROR(VLOOKUP(Logs_reseau[[#This Row],[Cell_ID]],'[1]Registre_Maintenance_combine '!A:B,2,FALSE),"Non trouvé")</f>
        <v>Maniema</v>
      </c>
      <c r="B1166" t="s">
        <v>326</v>
      </c>
      <c r="C1166" s="3">
        <v>45216.26666666667</v>
      </c>
      <c r="D1166" s="11">
        <f>Logs_reseau[[#This Row],[Duree_Panne_Min]]/1440</f>
        <v>6.25E-2</v>
      </c>
      <c r="E1166">
        <v>90</v>
      </c>
      <c r="F1166" t="s">
        <v>4</v>
      </c>
      <c r="G1166">
        <f>IFERROR(VLOOKUP(Logs_reseau[[#This Row],[Cell_ID]],'[1]Registre_Maintenance_combine '!A:C,3,FALSE),"Non trouvé")</f>
        <v>-2.3743210000000001</v>
      </c>
      <c r="H1166">
        <f>IFERROR(VLOOKUP(Logs_reseau[[#This Row],[Cell_ID]],'[1]Registre_Maintenance_combine '!A:D,4,FALSE),"Non trouvé")</f>
        <v>22.399491000000001</v>
      </c>
      <c r="I1166" t="str">
        <f>IFERROR(VLOOKUP(Logs_reseau[[#This Row],[Cell_ID]],'[1]Registre_Maintenance_combine '!A:E,5,FALSE),"Non trouvé")</f>
        <v>5G</v>
      </c>
      <c r="J1166" t="str">
        <f>IFERROR(VLOOKUP(Logs_reseau[[#This Row],[Cell_ID]],'[1]Registre_Maintenance_combine '!A:F,6,FALSE),"Non trouvé")</f>
        <v>Ericsson</v>
      </c>
    </row>
    <row r="1167" spans="1:10" x14ac:dyDescent="0.25">
      <c r="A1167" t="str">
        <f>IFERROR(VLOOKUP(Logs_reseau[[#This Row],[Cell_ID]],'[1]Registre_Maintenance_combine '!A:B,2,FALSE),"Non trouvé")</f>
        <v>Non trouvé</v>
      </c>
      <c r="B1167" t="s">
        <v>420</v>
      </c>
      <c r="C1167" s="3">
        <v>45213.597916666666</v>
      </c>
      <c r="D1167" s="11">
        <f>Logs_reseau[[#This Row],[Duree_Panne_Min]]/1440</f>
        <v>7.4999999999999997E-2</v>
      </c>
      <c r="E1167">
        <v>108</v>
      </c>
      <c r="F1167" t="s">
        <v>2</v>
      </c>
      <c r="G1167" t="str">
        <f>IFERROR(VLOOKUP(Logs_reseau[[#This Row],[Cell_ID]],'[1]Registre_Maintenance_combine '!A:C,3,FALSE),"Non trouvé")</f>
        <v>Non trouvé</v>
      </c>
      <c r="H1167" t="str">
        <f>IFERROR(VLOOKUP(Logs_reseau[[#This Row],[Cell_ID]],'[1]Registre_Maintenance_combine '!A:D,4,FALSE),"Non trouvé")</f>
        <v>Non trouvé</v>
      </c>
      <c r="I1167" t="str">
        <f>IFERROR(VLOOKUP(Logs_reseau[[#This Row],[Cell_ID]],'[1]Registre_Maintenance_combine '!A:E,5,FALSE),"Non trouvé")</f>
        <v>Non trouvé</v>
      </c>
      <c r="J1167" t="str">
        <f>IFERROR(VLOOKUP(Logs_reseau[[#This Row],[Cell_ID]],'[1]Registre_Maintenance_combine '!A:F,6,FALSE),"Non trouvé")</f>
        <v>Non trouvé</v>
      </c>
    </row>
    <row r="1168" spans="1:10" x14ac:dyDescent="0.25">
      <c r="A1168" t="str">
        <f>IFERROR(VLOOKUP(Logs_reseau[[#This Row],[Cell_ID]],'[1]Registre_Maintenance_combine '!A:B,2,FALSE),"Non trouvé")</f>
        <v>Haut-Lomami</v>
      </c>
      <c r="B1168" t="s">
        <v>421</v>
      </c>
      <c r="C1168" s="3">
        <v>45205.47152777778</v>
      </c>
      <c r="D1168" s="11">
        <f>Logs_reseau[[#This Row],[Duree_Panne_Min]]/1440</f>
        <v>3.4722222222222224E-2</v>
      </c>
      <c r="E1168">
        <v>50</v>
      </c>
      <c r="F1168" t="s">
        <v>2</v>
      </c>
      <c r="G1168">
        <f>IFERROR(VLOOKUP(Logs_reseau[[#This Row],[Cell_ID]],'[1]Registre_Maintenance_combine '!A:C,3,FALSE),"Non trouvé")</f>
        <v>2.628638</v>
      </c>
      <c r="H1168">
        <f>IFERROR(VLOOKUP(Logs_reseau[[#This Row],[Cell_ID]],'[1]Registre_Maintenance_combine '!A:D,4,FALSE),"Non trouvé")</f>
        <v>28.420582</v>
      </c>
      <c r="I1168" t="str">
        <f>IFERROR(VLOOKUP(Logs_reseau[[#This Row],[Cell_ID]],'[1]Registre_Maintenance_combine '!A:E,5,FALSE),"Non trouvé")</f>
        <v>4G</v>
      </c>
      <c r="J1168" t="str">
        <f>IFERROR(VLOOKUP(Logs_reseau[[#This Row],[Cell_ID]],'[1]Registre_Maintenance_combine '!A:F,6,FALSE),"Non trouvé")</f>
        <v>Huawei</v>
      </c>
    </row>
    <row r="1169" spans="1:10" x14ac:dyDescent="0.25">
      <c r="A1169" t="str">
        <f>IFERROR(VLOOKUP(Logs_reseau[[#This Row],[Cell_ID]],'[1]Registre_Maintenance_combine '!A:B,2,FALSE),"Non trouvé")</f>
        <v>Tshuapa</v>
      </c>
      <c r="B1169" t="s">
        <v>422</v>
      </c>
      <c r="C1169" s="3">
        <v>45223.450694444444</v>
      </c>
      <c r="D1169" s="11">
        <f>Logs_reseau[[#This Row],[Duree_Panne_Min]]/1440</f>
        <v>9.7222222222222224E-3</v>
      </c>
      <c r="E1169">
        <v>14</v>
      </c>
      <c r="F1169" t="s">
        <v>4</v>
      </c>
      <c r="G1169">
        <f>IFERROR(VLOOKUP(Logs_reseau[[#This Row],[Cell_ID]],'[1]Registre_Maintenance_combine '!A:C,3,FALSE),"Non trouvé")</f>
        <v>-2.571777</v>
      </c>
      <c r="H1169">
        <f>IFERROR(VLOOKUP(Logs_reseau[[#This Row],[Cell_ID]],'[1]Registre_Maintenance_combine '!A:D,4,FALSE),"Non trouvé")</f>
        <v>12.120642</v>
      </c>
      <c r="I1169" t="str">
        <f>IFERROR(VLOOKUP(Logs_reseau[[#This Row],[Cell_ID]],'[1]Registre_Maintenance_combine '!A:E,5,FALSE),"Non trouvé")</f>
        <v>3G</v>
      </c>
      <c r="J1169" t="str">
        <f>IFERROR(VLOOKUP(Logs_reseau[[#This Row],[Cell_ID]],'[1]Registre_Maintenance_combine '!A:F,6,FALSE),"Non trouvé")</f>
        <v>Huawei</v>
      </c>
    </row>
    <row r="1170" spans="1:10" x14ac:dyDescent="0.25">
      <c r="A1170" t="str">
        <f>IFERROR(VLOOKUP(Logs_reseau[[#This Row],[Cell_ID]],'[1]Registre_Maintenance_combine '!A:B,2,FALSE),"Non trouvé")</f>
        <v>Non trouvé</v>
      </c>
      <c r="B1170" t="s">
        <v>423</v>
      </c>
      <c r="C1170" s="3">
        <v>45230.776388888888</v>
      </c>
      <c r="D1170" s="11">
        <f>Logs_reseau[[#This Row],[Duree_Panne_Min]]/1440</f>
        <v>3.8194444444444448E-2</v>
      </c>
      <c r="E1170">
        <v>55</v>
      </c>
      <c r="F1170" t="s">
        <v>2</v>
      </c>
      <c r="G1170" t="str">
        <f>IFERROR(VLOOKUP(Logs_reseau[[#This Row],[Cell_ID]],'[1]Registre_Maintenance_combine '!A:C,3,FALSE),"Non trouvé")</f>
        <v>Non trouvé</v>
      </c>
      <c r="H1170" t="str">
        <f>IFERROR(VLOOKUP(Logs_reseau[[#This Row],[Cell_ID]],'[1]Registre_Maintenance_combine '!A:D,4,FALSE),"Non trouvé")</f>
        <v>Non trouvé</v>
      </c>
      <c r="I1170" t="str">
        <f>IFERROR(VLOOKUP(Logs_reseau[[#This Row],[Cell_ID]],'[1]Registre_Maintenance_combine '!A:E,5,FALSE),"Non trouvé")</f>
        <v>Non trouvé</v>
      </c>
      <c r="J1170" t="str">
        <f>IFERROR(VLOOKUP(Logs_reseau[[#This Row],[Cell_ID]],'[1]Registre_Maintenance_combine '!A:F,6,FALSE),"Non trouvé")</f>
        <v>Non trouvé</v>
      </c>
    </row>
    <row r="1171" spans="1:10" x14ac:dyDescent="0.25">
      <c r="A1171" t="str">
        <f>IFERROR(VLOOKUP(Logs_reseau[[#This Row],[Cell_ID]],'[1]Registre_Maintenance_combine '!A:B,2,FALSE),"Non trouvé")</f>
        <v>Tshuapa</v>
      </c>
      <c r="B1171" t="s">
        <v>82</v>
      </c>
      <c r="C1171" s="3">
        <v>45202.04791666667</v>
      </c>
      <c r="D1171" s="11">
        <f>Logs_reseau[[#This Row],[Duree_Panne_Min]]/1440</f>
        <v>7.9861111111111105E-2</v>
      </c>
      <c r="E1171">
        <v>115</v>
      </c>
      <c r="F1171" t="s">
        <v>2</v>
      </c>
      <c r="G1171">
        <f>IFERROR(VLOOKUP(Logs_reseau[[#This Row],[Cell_ID]],'[1]Registre_Maintenance_combine '!A:C,3,FALSE),"Non trouvé")</f>
        <v>-10.577049000000001</v>
      </c>
      <c r="H1171">
        <f>IFERROR(VLOOKUP(Logs_reseau[[#This Row],[Cell_ID]],'[1]Registre_Maintenance_combine '!A:D,4,FALSE),"Non trouvé")</f>
        <v>23.721854</v>
      </c>
      <c r="I1171" t="str">
        <f>IFERROR(VLOOKUP(Logs_reseau[[#This Row],[Cell_ID]],'[1]Registre_Maintenance_combine '!A:E,5,FALSE),"Non trouvé")</f>
        <v>4G</v>
      </c>
      <c r="J1171" t="str">
        <f>IFERROR(VLOOKUP(Logs_reseau[[#This Row],[Cell_ID]],'[1]Registre_Maintenance_combine '!A:F,6,FALSE),"Non trouvé")</f>
        <v>ZTE</v>
      </c>
    </row>
    <row r="1172" spans="1:10" x14ac:dyDescent="0.25">
      <c r="A1172" t="str">
        <f>IFERROR(VLOOKUP(Logs_reseau[[#This Row],[Cell_ID]],'[1]Registre_Maintenance_combine '!A:B,2,FALSE),"Non trouvé")</f>
        <v>Non trouvé</v>
      </c>
      <c r="B1172" t="s">
        <v>424</v>
      </c>
      <c r="C1172" s="3">
        <v>45205.793749999997</v>
      </c>
      <c r="D1172" s="11">
        <f>Logs_reseau[[#This Row],[Duree_Panne_Min]]/1440</f>
        <v>6.8750000000000006E-2</v>
      </c>
      <c r="E1172">
        <v>99</v>
      </c>
      <c r="F1172" t="s">
        <v>2</v>
      </c>
      <c r="G1172" t="str">
        <f>IFERROR(VLOOKUP(Logs_reseau[[#This Row],[Cell_ID]],'[1]Registre_Maintenance_combine '!A:C,3,FALSE),"Non trouvé")</f>
        <v>Non trouvé</v>
      </c>
      <c r="H1172" t="str">
        <f>IFERROR(VLOOKUP(Logs_reseau[[#This Row],[Cell_ID]],'[1]Registre_Maintenance_combine '!A:D,4,FALSE),"Non trouvé")</f>
        <v>Non trouvé</v>
      </c>
      <c r="I1172" t="str">
        <f>IFERROR(VLOOKUP(Logs_reseau[[#This Row],[Cell_ID]],'[1]Registre_Maintenance_combine '!A:E,5,FALSE),"Non trouvé")</f>
        <v>Non trouvé</v>
      </c>
      <c r="J1172" t="str">
        <f>IFERROR(VLOOKUP(Logs_reseau[[#This Row],[Cell_ID]],'[1]Registre_Maintenance_combine '!A:F,6,FALSE),"Non trouvé")</f>
        <v>Non trouvé</v>
      </c>
    </row>
    <row r="1173" spans="1:10" x14ac:dyDescent="0.25">
      <c r="A1173" t="str">
        <f>IFERROR(VLOOKUP(Logs_reseau[[#This Row],[Cell_ID]],'[1]Registre_Maintenance_combine '!A:B,2,FALSE),"Non trouvé")</f>
        <v>Non trouvé</v>
      </c>
      <c r="B1173" t="s">
        <v>425</v>
      </c>
      <c r="C1173" s="3">
        <v>45214.893750000003</v>
      </c>
      <c r="D1173" s="11">
        <f>Logs_reseau[[#This Row],[Duree_Panne_Min]]/1440</f>
        <v>4.1666666666666664E-2</v>
      </c>
      <c r="E1173">
        <v>60</v>
      </c>
      <c r="F1173" t="s">
        <v>2</v>
      </c>
      <c r="G1173" t="str">
        <f>IFERROR(VLOOKUP(Logs_reseau[[#This Row],[Cell_ID]],'[1]Registre_Maintenance_combine '!A:C,3,FALSE),"Non trouvé")</f>
        <v>Non trouvé</v>
      </c>
      <c r="H1173" t="str">
        <f>IFERROR(VLOOKUP(Logs_reseau[[#This Row],[Cell_ID]],'[1]Registre_Maintenance_combine '!A:D,4,FALSE),"Non trouvé")</f>
        <v>Non trouvé</v>
      </c>
      <c r="I1173" t="str">
        <f>IFERROR(VLOOKUP(Logs_reseau[[#This Row],[Cell_ID]],'[1]Registre_Maintenance_combine '!A:E,5,FALSE),"Non trouvé")</f>
        <v>Non trouvé</v>
      </c>
      <c r="J1173" t="str">
        <f>IFERROR(VLOOKUP(Logs_reseau[[#This Row],[Cell_ID]],'[1]Registre_Maintenance_combine '!A:F,6,FALSE),"Non trouvé")</f>
        <v>Non trouvé</v>
      </c>
    </row>
    <row r="1174" spans="1:10" x14ac:dyDescent="0.25">
      <c r="A1174" t="str">
        <f>IFERROR(VLOOKUP(Logs_reseau[[#This Row],[Cell_ID]],'[1]Registre_Maintenance_combine '!A:B,2,FALSE),"Non trouvé")</f>
        <v>Non trouvé</v>
      </c>
      <c r="B1174" t="s">
        <v>335</v>
      </c>
      <c r="C1174" s="3">
        <v>45215.811111111114</v>
      </c>
      <c r="D1174" s="11">
        <f>Logs_reseau[[#This Row],[Duree_Panne_Min]]/1440</f>
        <v>4.8611111111111112E-3</v>
      </c>
      <c r="E1174">
        <v>7</v>
      </c>
      <c r="F1174" t="s">
        <v>4</v>
      </c>
      <c r="G1174" t="str">
        <f>IFERROR(VLOOKUP(Logs_reseau[[#This Row],[Cell_ID]],'[1]Registre_Maintenance_combine '!A:C,3,FALSE),"Non trouvé")</f>
        <v>Non trouvé</v>
      </c>
      <c r="H1174" t="str">
        <f>IFERROR(VLOOKUP(Logs_reseau[[#This Row],[Cell_ID]],'[1]Registre_Maintenance_combine '!A:D,4,FALSE),"Non trouvé")</f>
        <v>Non trouvé</v>
      </c>
      <c r="I1174" t="str">
        <f>IFERROR(VLOOKUP(Logs_reseau[[#This Row],[Cell_ID]],'[1]Registre_Maintenance_combine '!A:E,5,FALSE),"Non trouvé")</f>
        <v>Non trouvé</v>
      </c>
      <c r="J1174" t="str">
        <f>IFERROR(VLOOKUP(Logs_reseau[[#This Row],[Cell_ID]],'[1]Registre_Maintenance_combine '!A:F,6,FALSE),"Non trouvé")</f>
        <v>Non trouvé</v>
      </c>
    </row>
    <row r="1175" spans="1:10" x14ac:dyDescent="0.25">
      <c r="A1175" t="str">
        <f>IFERROR(VLOOKUP(Logs_reseau[[#This Row],[Cell_ID]],'[1]Registre_Maintenance_combine '!A:B,2,FALSE),"Non trouvé")</f>
        <v>Sud-Kivu</v>
      </c>
      <c r="B1175" t="s">
        <v>426</v>
      </c>
      <c r="C1175" s="3">
        <v>45213.342361111114</v>
      </c>
      <c r="D1175" s="11">
        <f>Logs_reseau[[#This Row],[Duree_Panne_Min]]/1440</f>
        <v>4.3749999999999997E-2</v>
      </c>
      <c r="E1175">
        <v>63</v>
      </c>
      <c r="F1175" t="s">
        <v>2</v>
      </c>
      <c r="G1175">
        <f>IFERROR(VLOOKUP(Logs_reseau[[#This Row],[Cell_ID]],'[1]Registre_Maintenance_combine '!A:C,3,FALSE),"Non trouvé")</f>
        <v>0.31740800000000002</v>
      </c>
      <c r="H1175">
        <f>IFERROR(VLOOKUP(Logs_reseau[[#This Row],[Cell_ID]],'[1]Registre_Maintenance_combine '!A:D,4,FALSE),"Non trouvé")</f>
        <v>27.197666999999999</v>
      </c>
      <c r="I1175" t="str">
        <f>IFERROR(VLOOKUP(Logs_reseau[[#This Row],[Cell_ID]],'[1]Registre_Maintenance_combine '!A:E,5,FALSE),"Non trouvé")</f>
        <v>5G</v>
      </c>
      <c r="J1175" t="str">
        <f>IFERROR(VLOOKUP(Logs_reseau[[#This Row],[Cell_ID]],'[1]Registre_Maintenance_combine '!A:F,6,FALSE),"Non trouvé")</f>
        <v>Nokia</v>
      </c>
    </row>
    <row r="1176" spans="1:10" x14ac:dyDescent="0.25">
      <c r="A1176" t="str">
        <f>IFERROR(VLOOKUP(Logs_reseau[[#This Row],[Cell_ID]],'[1]Registre_Maintenance_combine '!A:B,2,FALSE),"Non trouvé")</f>
        <v>Non trouvé</v>
      </c>
      <c r="B1176" t="s">
        <v>323</v>
      </c>
      <c r="C1176" s="3">
        <v>45224.671527777777</v>
      </c>
      <c r="D1176" s="11">
        <f>Logs_reseau[[#This Row],[Duree_Panne_Min]]/1440</f>
        <v>9.7222222222222224E-3</v>
      </c>
      <c r="E1176">
        <v>14</v>
      </c>
      <c r="F1176" t="s">
        <v>4</v>
      </c>
      <c r="G1176" t="str">
        <f>IFERROR(VLOOKUP(Logs_reseau[[#This Row],[Cell_ID]],'[1]Registre_Maintenance_combine '!A:C,3,FALSE),"Non trouvé")</f>
        <v>Non trouvé</v>
      </c>
      <c r="H1176" t="str">
        <f>IFERROR(VLOOKUP(Logs_reseau[[#This Row],[Cell_ID]],'[1]Registre_Maintenance_combine '!A:D,4,FALSE),"Non trouvé")</f>
        <v>Non trouvé</v>
      </c>
      <c r="I1176" t="str">
        <f>IFERROR(VLOOKUP(Logs_reseau[[#This Row],[Cell_ID]],'[1]Registre_Maintenance_combine '!A:E,5,FALSE),"Non trouvé")</f>
        <v>Non trouvé</v>
      </c>
      <c r="J1176" t="str">
        <f>IFERROR(VLOOKUP(Logs_reseau[[#This Row],[Cell_ID]],'[1]Registre_Maintenance_combine '!A:F,6,FALSE),"Non trouvé")</f>
        <v>Non trouvé</v>
      </c>
    </row>
    <row r="1177" spans="1:10" x14ac:dyDescent="0.25">
      <c r="A1177" t="str">
        <f>IFERROR(VLOOKUP(Logs_reseau[[#This Row],[Cell_ID]],'[1]Registre_Maintenance_combine '!A:B,2,FALSE),"Non trouvé")</f>
        <v>Non trouvé</v>
      </c>
      <c r="B1177" t="s">
        <v>247</v>
      </c>
      <c r="C1177" s="3">
        <v>45211.546527777777</v>
      </c>
      <c r="D1177" s="11">
        <f>Logs_reseau[[#This Row],[Duree_Panne_Min]]/1440</f>
        <v>7.9861111111111105E-2</v>
      </c>
      <c r="E1177">
        <v>115</v>
      </c>
      <c r="F1177" t="s">
        <v>1</v>
      </c>
      <c r="G1177" t="str">
        <f>IFERROR(VLOOKUP(Logs_reseau[[#This Row],[Cell_ID]],'[1]Registre_Maintenance_combine '!A:C,3,FALSE),"Non trouvé")</f>
        <v>Non trouvé</v>
      </c>
      <c r="H1177" t="str">
        <f>IFERROR(VLOOKUP(Logs_reseau[[#This Row],[Cell_ID]],'[1]Registre_Maintenance_combine '!A:D,4,FALSE),"Non trouvé")</f>
        <v>Non trouvé</v>
      </c>
      <c r="I1177" t="str">
        <f>IFERROR(VLOOKUP(Logs_reseau[[#This Row],[Cell_ID]],'[1]Registre_Maintenance_combine '!A:E,5,FALSE),"Non trouvé")</f>
        <v>Non trouvé</v>
      </c>
      <c r="J1177" t="str">
        <f>IFERROR(VLOOKUP(Logs_reseau[[#This Row],[Cell_ID]],'[1]Registre_Maintenance_combine '!A:F,6,FALSE),"Non trouvé")</f>
        <v>Non trouvé</v>
      </c>
    </row>
    <row r="1178" spans="1:10" x14ac:dyDescent="0.25">
      <c r="A1178" t="str">
        <f>IFERROR(VLOOKUP(Logs_reseau[[#This Row],[Cell_ID]],'[1]Registre_Maintenance_combine '!A:B,2,FALSE),"Non trouvé")</f>
        <v>Non trouvé</v>
      </c>
      <c r="B1178" t="s">
        <v>220</v>
      </c>
      <c r="C1178" s="3">
        <v>45209.904861111114</v>
      </c>
      <c r="D1178" s="11">
        <f>Logs_reseau[[#This Row],[Duree_Panne_Min]]/1440</f>
        <v>3.125E-2</v>
      </c>
      <c r="E1178">
        <v>45</v>
      </c>
      <c r="F1178" t="s">
        <v>4</v>
      </c>
      <c r="G1178" t="str">
        <f>IFERROR(VLOOKUP(Logs_reseau[[#This Row],[Cell_ID]],'[1]Registre_Maintenance_combine '!A:C,3,FALSE),"Non trouvé")</f>
        <v>Non trouvé</v>
      </c>
      <c r="H1178" t="str">
        <f>IFERROR(VLOOKUP(Logs_reseau[[#This Row],[Cell_ID]],'[1]Registre_Maintenance_combine '!A:D,4,FALSE),"Non trouvé")</f>
        <v>Non trouvé</v>
      </c>
      <c r="I1178" t="str">
        <f>IFERROR(VLOOKUP(Logs_reseau[[#This Row],[Cell_ID]],'[1]Registre_Maintenance_combine '!A:E,5,FALSE),"Non trouvé")</f>
        <v>Non trouvé</v>
      </c>
      <c r="J1178" t="str">
        <f>IFERROR(VLOOKUP(Logs_reseau[[#This Row],[Cell_ID]],'[1]Registre_Maintenance_combine '!A:F,6,FALSE),"Non trouvé")</f>
        <v>Non trouvé</v>
      </c>
    </row>
    <row r="1179" spans="1:10" x14ac:dyDescent="0.25">
      <c r="A1179" t="str">
        <f>IFERROR(VLOOKUP(Logs_reseau[[#This Row],[Cell_ID]],'[1]Registre_Maintenance_combine '!A:B,2,FALSE),"Non trouvé")</f>
        <v>Non trouvé</v>
      </c>
      <c r="B1179" t="s">
        <v>172</v>
      </c>
      <c r="C1179" s="3">
        <v>45218.647916666669</v>
      </c>
      <c r="D1179" s="11">
        <f>Logs_reseau[[#This Row],[Duree_Panne_Min]]/1440</f>
        <v>5.4166666666666669E-2</v>
      </c>
      <c r="E1179">
        <v>78</v>
      </c>
      <c r="F1179" t="s">
        <v>1</v>
      </c>
      <c r="G1179" t="str">
        <f>IFERROR(VLOOKUP(Logs_reseau[[#This Row],[Cell_ID]],'[1]Registre_Maintenance_combine '!A:C,3,FALSE),"Non trouvé")</f>
        <v>Non trouvé</v>
      </c>
      <c r="H1179" t="str">
        <f>IFERROR(VLOOKUP(Logs_reseau[[#This Row],[Cell_ID]],'[1]Registre_Maintenance_combine '!A:D,4,FALSE),"Non trouvé")</f>
        <v>Non trouvé</v>
      </c>
      <c r="I1179" t="str">
        <f>IFERROR(VLOOKUP(Logs_reseau[[#This Row],[Cell_ID]],'[1]Registre_Maintenance_combine '!A:E,5,FALSE),"Non trouvé")</f>
        <v>Non trouvé</v>
      </c>
      <c r="J1179" t="str">
        <f>IFERROR(VLOOKUP(Logs_reseau[[#This Row],[Cell_ID]],'[1]Registre_Maintenance_combine '!A:F,6,FALSE),"Non trouvé")</f>
        <v>Non trouvé</v>
      </c>
    </row>
    <row r="1180" spans="1:10" x14ac:dyDescent="0.25">
      <c r="A1180" t="str">
        <f>IFERROR(VLOOKUP(Logs_reseau[[#This Row],[Cell_ID]],'[1]Registre_Maintenance_combine '!A:B,2,FALSE),"Non trouvé")</f>
        <v>Maniema</v>
      </c>
      <c r="B1180" t="s">
        <v>80</v>
      </c>
      <c r="C1180" s="3">
        <v>45221.376388888886</v>
      </c>
      <c r="D1180" s="11">
        <f>Logs_reseau[[#This Row],[Duree_Panne_Min]]/1440</f>
        <v>4.0972222222222222E-2</v>
      </c>
      <c r="E1180">
        <v>59</v>
      </c>
      <c r="F1180" t="s">
        <v>4</v>
      </c>
      <c r="G1180">
        <f>IFERROR(VLOOKUP(Logs_reseau[[#This Row],[Cell_ID]],'[1]Registre_Maintenance_combine '!A:C,3,FALSE),"Non trouvé")</f>
        <v>-8.4824669999999998</v>
      </c>
      <c r="H1180">
        <f>IFERROR(VLOOKUP(Logs_reseau[[#This Row],[Cell_ID]],'[1]Registre_Maintenance_combine '!A:D,4,FALSE),"Non trouvé")</f>
        <v>21.897777999999999</v>
      </c>
      <c r="I1180" t="str">
        <f>IFERROR(VLOOKUP(Logs_reseau[[#This Row],[Cell_ID]],'[1]Registre_Maintenance_combine '!A:E,5,FALSE),"Non trouvé")</f>
        <v>5G</v>
      </c>
      <c r="J1180" t="str">
        <f>IFERROR(VLOOKUP(Logs_reseau[[#This Row],[Cell_ID]],'[1]Registre_Maintenance_combine '!A:F,6,FALSE),"Non trouvé")</f>
        <v>Ericsson</v>
      </c>
    </row>
    <row r="1181" spans="1:10" x14ac:dyDescent="0.25">
      <c r="A1181" t="str">
        <f>IFERROR(VLOOKUP(Logs_reseau[[#This Row],[Cell_ID]],'[1]Registre_Maintenance_combine '!A:B,2,FALSE),"Non trouvé")</f>
        <v>Haut-Katanga</v>
      </c>
      <c r="B1181" t="s">
        <v>427</v>
      </c>
      <c r="C1181" s="3">
        <v>45207.526388888888</v>
      </c>
      <c r="D1181" s="11">
        <f>Logs_reseau[[#This Row],[Duree_Panne_Min]]/1440</f>
        <v>5.4166666666666669E-2</v>
      </c>
      <c r="E1181">
        <v>78</v>
      </c>
      <c r="F1181" t="s">
        <v>4</v>
      </c>
      <c r="G1181">
        <f>IFERROR(VLOOKUP(Logs_reseau[[#This Row],[Cell_ID]],'[1]Registre_Maintenance_combine '!A:C,3,FALSE),"Non trouvé")</f>
        <v>-9.4229749999999992</v>
      </c>
      <c r="H1181">
        <f>IFERROR(VLOOKUP(Logs_reseau[[#This Row],[Cell_ID]],'[1]Registre_Maintenance_combine '!A:D,4,FALSE),"Non trouvé")</f>
        <v>29.375005999999999</v>
      </c>
      <c r="I1181" t="str">
        <f>IFERROR(VLOOKUP(Logs_reseau[[#This Row],[Cell_ID]],'[1]Registre_Maintenance_combine '!A:E,5,FALSE),"Non trouvé")</f>
        <v>3G</v>
      </c>
      <c r="J1181" t="str">
        <f>IFERROR(VLOOKUP(Logs_reseau[[#This Row],[Cell_ID]],'[1]Registre_Maintenance_combine '!A:F,6,FALSE),"Non trouvé")</f>
        <v>Ericsson</v>
      </c>
    </row>
    <row r="1182" spans="1:10" x14ac:dyDescent="0.25">
      <c r="A1182" t="str">
        <f>IFERROR(VLOOKUP(Logs_reseau[[#This Row],[Cell_ID]],'[1]Registre_Maintenance_combine '!A:B,2,FALSE),"Non trouvé")</f>
        <v>Nord-Ubangi</v>
      </c>
      <c r="B1182" t="s">
        <v>403</v>
      </c>
      <c r="C1182" s="3">
        <v>45201.009027777778</v>
      </c>
      <c r="D1182" s="11">
        <f>Logs_reseau[[#This Row],[Duree_Panne_Min]]/1440</f>
        <v>3.888888888888889E-2</v>
      </c>
      <c r="E1182">
        <v>56</v>
      </c>
      <c r="F1182" t="s">
        <v>2</v>
      </c>
      <c r="G1182">
        <f>IFERROR(VLOOKUP(Logs_reseau[[#This Row],[Cell_ID]],'[1]Registre_Maintenance_combine '!A:C,3,FALSE),"Non trouvé")</f>
        <v>-7.7839049999999999</v>
      </c>
      <c r="H1182">
        <f>IFERROR(VLOOKUP(Logs_reseau[[#This Row],[Cell_ID]],'[1]Registre_Maintenance_combine '!A:D,4,FALSE),"Non trouvé")</f>
        <v>14.114281999999999</v>
      </c>
      <c r="I1182" t="str">
        <f>IFERROR(VLOOKUP(Logs_reseau[[#This Row],[Cell_ID]],'[1]Registre_Maintenance_combine '!A:E,5,FALSE),"Non trouvé")</f>
        <v>3G</v>
      </c>
      <c r="J1182" t="str">
        <f>IFERROR(VLOOKUP(Logs_reseau[[#This Row],[Cell_ID]],'[1]Registre_Maintenance_combine '!A:F,6,FALSE),"Non trouvé")</f>
        <v>ZTE</v>
      </c>
    </row>
    <row r="1183" spans="1:10" x14ac:dyDescent="0.25">
      <c r="A1183" t="str">
        <f>IFERROR(VLOOKUP(Logs_reseau[[#This Row],[Cell_ID]],'[1]Registre_Maintenance_combine '!A:B,2,FALSE),"Non trouvé")</f>
        <v>Haut-Katanga</v>
      </c>
      <c r="B1183" t="s">
        <v>428</v>
      </c>
      <c r="C1183" s="3">
        <v>45201.057638888888</v>
      </c>
      <c r="D1183" s="11">
        <f>Logs_reseau[[#This Row],[Duree_Panne_Min]]/1440</f>
        <v>7.1527777777777773E-2</v>
      </c>
      <c r="E1183">
        <v>103</v>
      </c>
      <c r="F1183" t="s">
        <v>1</v>
      </c>
      <c r="G1183">
        <f>IFERROR(VLOOKUP(Logs_reseau[[#This Row],[Cell_ID]],'[1]Registre_Maintenance_combine '!A:C,3,FALSE),"Non trouvé")</f>
        <v>-11.594525000000001</v>
      </c>
      <c r="H1183">
        <f>IFERROR(VLOOKUP(Logs_reseau[[#This Row],[Cell_ID]],'[1]Registre_Maintenance_combine '!A:D,4,FALSE),"Non trouvé")</f>
        <v>29.744895</v>
      </c>
      <c r="I1183" t="str">
        <f>IFERROR(VLOOKUP(Logs_reseau[[#This Row],[Cell_ID]],'[1]Registre_Maintenance_combine '!A:E,5,FALSE),"Non trouvé")</f>
        <v>3G</v>
      </c>
      <c r="J1183" t="str">
        <f>IFERROR(VLOOKUP(Logs_reseau[[#This Row],[Cell_ID]],'[1]Registre_Maintenance_combine '!A:F,6,FALSE),"Non trouvé")</f>
        <v>ZTE</v>
      </c>
    </row>
    <row r="1184" spans="1:10" x14ac:dyDescent="0.25">
      <c r="A1184" t="str">
        <f>IFERROR(VLOOKUP(Logs_reseau[[#This Row],[Cell_ID]],'[1]Registre_Maintenance_combine '!A:B,2,FALSE),"Non trouvé")</f>
        <v>Mongala</v>
      </c>
      <c r="B1184" t="s">
        <v>429</v>
      </c>
      <c r="C1184" s="3">
        <v>45226.37777777778</v>
      </c>
      <c r="D1184" s="11">
        <f>Logs_reseau[[#This Row],[Duree_Panne_Min]]/1440</f>
        <v>5.1388888888888887E-2</v>
      </c>
      <c r="E1184">
        <v>74</v>
      </c>
      <c r="F1184" t="s">
        <v>4</v>
      </c>
      <c r="G1184">
        <f>IFERROR(VLOOKUP(Logs_reseau[[#This Row],[Cell_ID]],'[1]Registre_Maintenance_combine '!A:C,3,FALSE),"Non trouvé")</f>
        <v>4.6809229999999999</v>
      </c>
      <c r="H1184">
        <f>IFERROR(VLOOKUP(Logs_reseau[[#This Row],[Cell_ID]],'[1]Registre_Maintenance_combine '!A:D,4,FALSE),"Non trouvé")</f>
        <v>28.934242000000001</v>
      </c>
      <c r="I1184" t="str">
        <f>IFERROR(VLOOKUP(Logs_reseau[[#This Row],[Cell_ID]],'[1]Registre_Maintenance_combine '!A:E,5,FALSE),"Non trouvé")</f>
        <v>5G</v>
      </c>
      <c r="J1184" t="str">
        <f>IFERROR(VLOOKUP(Logs_reseau[[#This Row],[Cell_ID]],'[1]Registre_Maintenance_combine '!A:F,6,FALSE),"Non trouvé")</f>
        <v>Nokia</v>
      </c>
    </row>
    <row r="1185" spans="1:10" x14ac:dyDescent="0.25">
      <c r="A1185" t="str">
        <f>IFERROR(VLOOKUP(Logs_reseau[[#This Row],[Cell_ID]],'[1]Registre_Maintenance_combine '!A:B,2,FALSE),"Non trouvé")</f>
        <v>Ituri</v>
      </c>
      <c r="B1185" t="s">
        <v>430</v>
      </c>
      <c r="C1185" s="3">
        <v>45220.11041666667</v>
      </c>
      <c r="D1185" s="11">
        <f>Logs_reseau[[#This Row],[Duree_Panne_Min]]/1440</f>
        <v>7.7083333333333337E-2</v>
      </c>
      <c r="E1185">
        <v>111</v>
      </c>
      <c r="F1185" t="s">
        <v>4</v>
      </c>
      <c r="G1185">
        <f>IFERROR(VLOOKUP(Logs_reseau[[#This Row],[Cell_ID]],'[1]Registre_Maintenance_combine '!A:C,3,FALSE),"Non trouvé")</f>
        <v>-4.1250960000000001</v>
      </c>
      <c r="H1185">
        <f>IFERROR(VLOOKUP(Logs_reseau[[#This Row],[Cell_ID]],'[1]Registre_Maintenance_combine '!A:D,4,FALSE),"Non trouvé")</f>
        <v>27.799897999999999</v>
      </c>
      <c r="I1185" t="str">
        <f>IFERROR(VLOOKUP(Logs_reseau[[#This Row],[Cell_ID]],'[1]Registre_Maintenance_combine '!A:E,5,FALSE),"Non trouvé")</f>
        <v>3G</v>
      </c>
      <c r="J1185" t="str">
        <f>IFERROR(VLOOKUP(Logs_reseau[[#This Row],[Cell_ID]],'[1]Registre_Maintenance_combine '!A:F,6,FALSE),"Non trouvé")</f>
        <v>Nokia</v>
      </c>
    </row>
    <row r="1186" spans="1:10" x14ac:dyDescent="0.25">
      <c r="A1186" t="str">
        <f>IFERROR(VLOOKUP(Logs_reseau[[#This Row],[Cell_ID]],'[1]Registre_Maintenance_combine '!A:B,2,FALSE),"Non trouvé")</f>
        <v>Kongo-Central</v>
      </c>
      <c r="B1186" t="s">
        <v>431</v>
      </c>
      <c r="C1186" s="3">
        <v>45219.683333333334</v>
      </c>
      <c r="D1186" s="11">
        <f>Logs_reseau[[#This Row],[Duree_Panne_Min]]/1440</f>
        <v>6.8750000000000006E-2</v>
      </c>
      <c r="E1186">
        <v>99</v>
      </c>
      <c r="F1186" t="s">
        <v>2</v>
      </c>
      <c r="G1186">
        <f>IFERROR(VLOOKUP(Logs_reseau[[#This Row],[Cell_ID]],'[1]Registre_Maintenance_combine '!A:C,3,FALSE),"Non trouvé")</f>
        <v>-9.5840350000000001</v>
      </c>
      <c r="H1186">
        <f>IFERROR(VLOOKUP(Logs_reseau[[#This Row],[Cell_ID]],'[1]Registre_Maintenance_combine '!A:D,4,FALSE),"Non trouvé")</f>
        <v>15.966024000000001</v>
      </c>
      <c r="I1186" t="str">
        <f>IFERROR(VLOOKUP(Logs_reseau[[#This Row],[Cell_ID]],'[1]Registre_Maintenance_combine '!A:E,5,FALSE),"Non trouvé")</f>
        <v>5G</v>
      </c>
      <c r="J1186" t="str">
        <f>IFERROR(VLOOKUP(Logs_reseau[[#This Row],[Cell_ID]],'[1]Registre_Maintenance_combine '!A:F,6,FALSE),"Non trouvé")</f>
        <v>Nokia</v>
      </c>
    </row>
    <row r="1187" spans="1:10" x14ac:dyDescent="0.25">
      <c r="A1187" t="str">
        <f>IFERROR(VLOOKUP(Logs_reseau[[#This Row],[Cell_ID]],'[1]Registre_Maintenance_combine '!A:B,2,FALSE),"Non trouvé")</f>
        <v>Sud-Ubangi</v>
      </c>
      <c r="B1187" t="s">
        <v>260</v>
      </c>
      <c r="C1187" s="3">
        <v>45214.774305555555</v>
      </c>
      <c r="D1187" s="11">
        <f>Logs_reseau[[#This Row],[Duree_Panne_Min]]/1440</f>
        <v>8.1944444444444445E-2</v>
      </c>
      <c r="E1187">
        <v>118</v>
      </c>
      <c r="F1187" t="s">
        <v>1</v>
      </c>
      <c r="G1187">
        <f>IFERROR(VLOOKUP(Logs_reseau[[#This Row],[Cell_ID]],'[1]Registre_Maintenance_combine '!A:C,3,FALSE),"Non trouvé")</f>
        <v>-10.914952</v>
      </c>
      <c r="H1187">
        <f>IFERROR(VLOOKUP(Logs_reseau[[#This Row],[Cell_ID]],'[1]Registre_Maintenance_combine '!A:D,4,FALSE),"Non trouvé")</f>
        <v>26.409648000000001</v>
      </c>
      <c r="I1187" t="str">
        <f>IFERROR(VLOOKUP(Logs_reseau[[#This Row],[Cell_ID]],'[1]Registre_Maintenance_combine '!A:E,5,FALSE),"Non trouvé")</f>
        <v>4G</v>
      </c>
      <c r="J1187" t="str">
        <f>IFERROR(VLOOKUP(Logs_reseau[[#This Row],[Cell_ID]],'[1]Registre_Maintenance_combine '!A:F,6,FALSE),"Non trouvé")</f>
        <v>Huawei</v>
      </c>
    </row>
    <row r="1188" spans="1:10" x14ac:dyDescent="0.25">
      <c r="A1188" t="str">
        <f>IFERROR(VLOOKUP(Logs_reseau[[#This Row],[Cell_ID]],'[1]Registre_Maintenance_combine '!A:B,2,FALSE),"Non trouvé")</f>
        <v>Ituri</v>
      </c>
      <c r="B1188" t="s">
        <v>432</v>
      </c>
      <c r="C1188" s="3">
        <v>45230.997916666667</v>
      </c>
      <c r="D1188" s="11">
        <f>Logs_reseau[[#This Row],[Duree_Panne_Min]]/1440</f>
        <v>0.05</v>
      </c>
      <c r="E1188">
        <v>72</v>
      </c>
      <c r="F1188" t="s">
        <v>4</v>
      </c>
      <c r="G1188">
        <f>IFERROR(VLOOKUP(Logs_reseau[[#This Row],[Cell_ID]],'[1]Registre_Maintenance_combine '!A:C,3,FALSE),"Non trouvé")</f>
        <v>-1.9120569999999999</v>
      </c>
      <c r="H1188">
        <f>IFERROR(VLOOKUP(Logs_reseau[[#This Row],[Cell_ID]],'[1]Registre_Maintenance_combine '!A:D,4,FALSE),"Non trouvé")</f>
        <v>15.236072999999999</v>
      </c>
      <c r="I1188" t="str">
        <f>IFERROR(VLOOKUP(Logs_reseau[[#This Row],[Cell_ID]],'[1]Registre_Maintenance_combine '!A:E,5,FALSE),"Non trouvé")</f>
        <v>5G</v>
      </c>
      <c r="J1188" t="str">
        <f>IFERROR(VLOOKUP(Logs_reseau[[#This Row],[Cell_ID]],'[1]Registre_Maintenance_combine '!A:F,6,FALSE),"Non trouvé")</f>
        <v>Huawei</v>
      </c>
    </row>
    <row r="1189" spans="1:10" x14ac:dyDescent="0.25">
      <c r="A1189" t="str">
        <f>IFERROR(VLOOKUP(Logs_reseau[[#This Row],[Cell_ID]],'[1]Registre_Maintenance_combine '!A:B,2,FALSE),"Non trouvé")</f>
        <v>Non trouvé</v>
      </c>
      <c r="B1189" t="s">
        <v>198</v>
      </c>
      <c r="C1189" s="3">
        <v>45201.623611111114</v>
      </c>
      <c r="D1189" s="11">
        <f>Logs_reseau[[#This Row],[Duree_Panne_Min]]/1440</f>
        <v>6.2500000000000003E-3</v>
      </c>
      <c r="E1189">
        <v>9</v>
      </c>
      <c r="F1189" t="s">
        <v>1</v>
      </c>
      <c r="G1189" t="str">
        <f>IFERROR(VLOOKUP(Logs_reseau[[#This Row],[Cell_ID]],'[1]Registre_Maintenance_combine '!A:C,3,FALSE),"Non trouvé")</f>
        <v>Non trouvé</v>
      </c>
      <c r="H1189" t="str">
        <f>IFERROR(VLOOKUP(Logs_reseau[[#This Row],[Cell_ID]],'[1]Registre_Maintenance_combine '!A:D,4,FALSE),"Non trouvé")</f>
        <v>Non trouvé</v>
      </c>
      <c r="I1189" t="str">
        <f>IFERROR(VLOOKUP(Logs_reseau[[#This Row],[Cell_ID]],'[1]Registre_Maintenance_combine '!A:E,5,FALSE),"Non trouvé")</f>
        <v>Non trouvé</v>
      </c>
      <c r="J1189" t="str">
        <f>IFERROR(VLOOKUP(Logs_reseau[[#This Row],[Cell_ID]],'[1]Registre_Maintenance_combine '!A:F,6,FALSE),"Non trouvé")</f>
        <v>Non trouvé</v>
      </c>
    </row>
    <row r="1190" spans="1:10" x14ac:dyDescent="0.25">
      <c r="A1190" t="str">
        <f>IFERROR(VLOOKUP(Logs_reseau[[#This Row],[Cell_ID]],'[1]Registre_Maintenance_combine '!A:B,2,FALSE),"Non trouvé")</f>
        <v>Non trouvé</v>
      </c>
      <c r="B1190" t="s">
        <v>433</v>
      </c>
      <c r="C1190" s="3">
        <v>45225.77847222222</v>
      </c>
      <c r="D1190" s="11">
        <f>Logs_reseau[[#This Row],[Duree_Panne_Min]]/1440</f>
        <v>6.1805555555555558E-2</v>
      </c>
      <c r="E1190">
        <v>89</v>
      </c>
      <c r="F1190" t="s">
        <v>1</v>
      </c>
      <c r="G1190" t="str">
        <f>IFERROR(VLOOKUP(Logs_reseau[[#This Row],[Cell_ID]],'[1]Registre_Maintenance_combine '!A:C,3,FALSE),"Non trouvé")</f>
        <v>Non trouvé</v>
      </c>
      <c r="H1190" t="str">
        <f>IFERROR(VLOOKUP(Logs_reseau[[#This Row],[Cell_ID]],'[1]Registre_Maintenance_combine '!A:D,4,FALSE),"Non trouvé")</f>
        <v>Non trouvé</v>
      </c>
      <c r="I1190" t="str">
        <f>IFERROR(VLOOKUP(Logs_reseau[[#This Row],[Cell_ID]],'[1]Registre_Maintenance_combine '!A:E,5,FALSE),"Non trouvé")</f>
        <v>Non trouvé</v>
      </c>
      <c r="J1190" t="str">
        <f>IFERROR(VLOOKUP(Logs_reseau[[#This Row],[Cell_ID]],'[1]Registre_Maintenance_combine '!A:F,6,FALSE),"Non trouvé")</f>
        <v>Non trouvé</v>
      </c>
    </row>
    <row r="1191" spans="1:10" x14ac:dyDescent="0.25">
      <c r="A1191" t="str">
        <f>IFERROR(VLOOKUP(Logs_reseau[[#This Row],[Cell_ID]],'[1]Registre_Maintenance_combine '!A:B,2,FALSE),"Non trouvé")</f>
        <v>Haut-Lomami</v>
      </c>
      <c r="B1191" t="s">
        <v>434</v>
      </c>
      <c r="C1191" s="3">
        <v>45206.443055555559</v>
      </c>
      <c r="D1191" s="11">
        <f>Logs_reseau[[#This Row],[Duree_Panne_Min]]/1440</f>
        <v>3.3333333333333333E-2</v>
      </c>
      <c r="E1191">
        <v>48</v>
      </c>
      <c r="F1191" t="s">
        <v>4</v>
      </c>
      <c r="G1191">
        <f>IFERROR(VLOOKUP(Logs_reseau[[#This Row],[Cell_ID]],'[1]Registre_Maintenance_combine '!A:C,3,FALSE),"Non trouvé")</f>
        <v>0.16327700000000001</v>
      </c>
      <c r="H1191">
        <f>IFERROR(VLOOKUP(Logs_reseau[[#This Row],[Cell_ID]],'[1]Registre_Maintenance_combine '!A:D,4,FALSE),"Non trouvé")</f>
        <v>14.871577</v>
      </c>
      <c r="I1191" t="str">
        <f>IFERROR(VLOOKUP(Logs_reseau[[#This Row],[Cell_ID]],'[1]Registre_Maintenance_combine '!A:E,5,FALSE),"Non trouvé")</f>
        <v>4G</v>
      </c>
      <c r="J1191" t="str">
        <f>IFERROR(VLOOKUP(Logs_reseau[[#This Row],[Cell_ID]],'[1]Registre_Maintenance_combine '!A:F,6,FALSE),"Non trouvé")</f>
        <v>Huawei</v>
      </c>
    </row>
    <row r="1192" spans="1:10" x14ac:dyDescent="0.25">
      <c r="A1192" t="str">
        <f>IFERROR(VLOOKUP(Logs_reseau[[#This Row],[Cell_ID]],'[1]Registre_Maintenance_combine '!A:B,2,FALSE),"Non trouvé")</f>
        <v>Nord-Kivu</v>
      </c>
      <c r="B1192" t="s">
        <v>235</v>
      </c>
      <c r="C1192" s="3">
        <v>45215.67291666667</v>
      </c>
      <c r="D1192" s="11">
        <f>Logs_reseau[[#This Row],[Duree_Panne_Min]]/1440</f>
        <v>8.1250000000000003E-2</v>
      </c>
      <c r="E1192">
        <v>117</v>
      </c>
      <c r="F1192" t="s">
        <v>4</v>
      </c>
      <c r="G1192">
        <f>IFERROR(VLOOKUP(Logs_reseau[[#This Row],[Cell_ID]],'[1]Registre_Maintenance_combine '!A:C,3,FALSE),"Non trouvé")</f>
        <v>-11.866133</v>
      </c>
      <c r="H1192">
        <f>IFERROR(VLOOKUP(Logs_reseau[[#This Row],[Cell_ID]],'[1]Registre_Maintenance_combine '!A:D,4,FALSE),"Non trouvé")</f>
        <v>27.068932</v>
      </c>
      <c r="I1192" t="str">
        <f>IFERROR(VLOOKUP(Logs_reseau[[#This Row],[Cell_ID]],'[1]Registre_Maintenance_combine '!A:E,5,FALSE),"Non trouvé")</f>
        <v>3G</v>
      </c>
      <c r="J1192" t="str">
        <f>IFERROR(VLOOKUP(Logs_reseau[[#This Row],[Cell_ID]],'[1]Registre_Maintenance_combine '!A:F,6,FALSE),"Non trouvé")</f>
        <v>Huawei</v>
      </c>
    </row>
    <row r="1193" spans="1:10" x14ac:dyDescent="0.25">
      <c r="A1193" t="str">
        <f>IFERROR(VLOOKUP(Logs_reseau[[#This Row],[Cell_ID]],'[1]Registre_Maintenance_combine '!A:B,2,FALSE),"Non trouvé")</f>
        <v>Non trouvé</v>
      </c>
      <c r="B1193" t="s">
        <v>435</v>
      </c>
      <c r="C1193" s="3">
        <v>45230.061111111114</v>
      </c>
      <c r="D1193" s="11">
        <f>Logs_reseau[[#This Row],[Duree_Panne_Min]]/1440</f>
        <v>7.1527777777777773E-2</v>
      </c>
      <c r="E1193">
        <v>103</v>
      </c>
      <c r="F1193" t="s">
        <v>1</v>
      </c>
      <c r="G1193" t="str">
        <f>IFERROR(VLOOKUP(Logs_reseau[[#This Row],[Cell_ID]],'[1]Registre_Maintenance_combine '!A:C,3,FALSE),"Non trouvé")</f>
        <v>Non trouvé</v>
      </c>
      <c r="H1193" t="str">
        <f>IFERROR(VLOOKUP(Logs_reseau[[#This Row],[Cell_ID]],'[1]Registre_Maintenance_combine '!A:D,4,FALSE),"Non trouvé")</f>
        <v>Non trouvé</v>
      </c>
      <c r="I1193" t="str">
        <f>IFERROR(VLOOKUP(Logs_reseau[[#This Row],[Cell_ID]],'[1]Registre_Maintenance_combine '!A:E,5,FALSE),"Non trouvé")</f>
        <v>Non trouvé</v>
      </c>
      <c r="J1193" t="str">
        <f>IFERROR(VLOOKUP(Logs_reseau[[#This Row],[Cell_ID]],'[1]Registre_Maintenance_combine '!A:F,6,FALSE),"Non trouvé")</f>
        <v>Non trouvé</v>
      </c>
    </row>
    <row r="1194" spans="1:10" x14ac:dyDescent="0.25">
      <c r="A1194" t="str">
        <f>IFERROR(VLOOKUP(Logs_reseau[[#This Row],[Cell_ID]],'[1]Registre_Maintenance_combine '!A:B,2,FALSE),"Non trouvé")</f>
        <v>Non trouvé</v>
      </c>
      <c r="B1194" t="s">
        <v>375</v>
      </c>
      <c r="C1194" s="3">
        <v>45203.447916666664</v>
      </c>
      <c r="D1194" s="11">
        <f>Logs_reseau[[#This Row],[Duree_Panne_Min]]/1440</f>
        <v>5.8333333333333334E-2</v>
      </c>
      <c r="E1194">
        <v>84</v>
      </c>
      <c r="F1194" t="s">
        <v>4</v>
      </c>
      <c r="G1194" t="str">
        <f>IFERROR(VLOOKUP(Logs_reseau[[#This Row],[Cell_ID]],'[1]Registre_Maintenance_combine '!A:C,3,FALSE),"Non trouvé")</f>
        <v>Non trouvé</v>
      </c>
      <c r="H1194" t="str">
        <f>IFERROR(VLOOKUP(Logs_reseau[[#This Row],[Cell_ID]],'[1]Registre_Maintenance_combine '!A:D,4,FALSE),"Non trouvé")</f>
        <v>Non trouvé</v>
      </c>
      <c r="I1194" t="str">
        <f>IFERROR(VLOOKUP(Logs_reseau[[#This Row],[Cell_ID]],'[1]Registre_Maintenance_combine '!A:E,5,FALSE),"Non trouvé")</f>
        <v>Non trouvé</v>
      </c>
      <c r="J1194" t="str">
        <f>IFERROR(VLOOKUP(Logs_reseau[[#This Row],[Cell_ID]],'[1]Registre_Maintenance_combine '!A:F,6,FALSE),"Non trouvé")</f>
        <v>Non trouvé</v>
      </c>
    </row>
    <row r="1195" spans="1:10" x14ac:dyDescent="0.25">
      <c r="A1195" t="str">
        <f>IFERROR(VLOOKUP(Logs_reseau[[#This Row],[Cell_ID]],'[1]Registre_Maintenance_combine '!A:B,2,FALSE),"Non trouvé")</f>
        <v>Non trouvé</v>
      </c>
      <c r="B1195" t="s">
        <v>436</v>
      </c>
      <c r="C1195" s="3">
        <v>45202.695138888892</v>
      </c>
      <c r="D1195" s="11">
        <f>Logs_reseau[[#This Row],[Duree_Panne_Min]]/1440</f>
        <v>1.4583333333333334E-2</v>
      </c>
      <c r="E1195">
        <v>21</v>
      </c>
      <c r="F1195" t="s">
        <v>1</v>
      </c>
      <c r="G1195" t="str">
        <f>IFERROR(VLOOKUP(Logs_reseau[[#This Row],[Cell_ID]],'[1]Registre_Maintenance_combine '!A:C,3,FALSE),"Non trouvé")</f>
        <v>Non trouvé</v>
      </c>
      <c r="H1195" t="str">
        <f>IFERROR(VLOOKUP(Logs_reseau[[#This Row],[Cell_ID]],'[1]Registre_Maintenance_combine '!A:D,4,FALSE),"Non trouvé")</f>
        <v>Non trouvé</v>
      </c>
      <c r="I1195" t="str">
        <f>IFERROR(VLOOKUP(Logs_reseau[[#This Row],[Cell_ID]],'[1]Registre_Maintenance_combine '!A:E,5,FALSE),"Non trouvé")</f>
        <v>Non trouvé</v>
      </c>
      <c r="J1195" t="str">
        <f>IFERROR(VLOOKUP(Logs_reseau[[#This Row],[Cell_ID]],'[1]Registre_Maintenance_combine '!A:F,6,FALSE),"Non trouvé")</f>
        <v>Non trouvé</v>
      </c>
    </row>
    <row r="1196" spans="1:10" x14ac:dyDescent="0.25">
      <c r="A1196" t="str">
        <f>IFERROR(VLOOKUP(Logs_reseau[[#This Row],[Cell_ID]],'[1]Registre_Maintenance_combine '!A:B,2,FALSE),"Non trouvé")</f>
        <v>Kasai</v>
      </c>
      <c r="B1196" t="s">
        <v>437</v>
      </c>
      <c r="C1196" s="3">
        <v>45205.052083333336</v>
      </c>
      <c r="D1196" s="11">
        <f>Logs_reseau[[#This Row],[Duree_Panne_Min]]/1440</f>
        <v>5.6250000000000001E-2</v>
      </c>
      <c r="E1196">
        <v>81</v>
      </c>
      <c r="F1196" t="s">
        <v>4</v>
      </c>
      <c r="G1196">
        <f>IFERROR(VLOOKUP(Logs_reseau[[#This Row],[Cell_ID]],'[1]Registre_Maintenance_combine '!A:C,3,FALSE),"Non trouvé")</f>
        <v>1.5802860000000001</v>
      </c>
      <c r="H1196">
        <f>IFERROR(VLOOKUP(Logs_reseau[[#This Row],[Cell_ID]],'[1]Registre_Maintenance_combine '!A:D,4,FALSE),"Non trouvé")</f>
        <v>20.99053</v>
      </c>
      <c r="I1196" t="str">
        <f>IFERROR(VLOOKUP(Logs_reseau[[#This Row],[Cell_ID]],'[1]Registre_Maintenance_combine '!A:E,5,FALSE),"Non trouvé")</f>
        <v>4G</v>
      </c>
      <c r="J1196" t="str">
        <f>IFERROR(VLOOKUP(Logs_reseau[[#This Row],[Cell_ID]],'[1]Registre_Maintenance_combine '!A:F,6,FALSE),"Non trouvé")</f>
        <v>ZTE</v>
      </c>
    </row>
    <row r="1197" spans="1:10" x14ac:dyDescent="0.25">
      <c r="A1197" t="str">
        <f>IFERROR(VLOOKUP(Logs_reseau[[#This Row],[Cell_ID]],'[1]Registre_Maintenance_combine '!A:B,2,FALSE),"Non trouvé")</f>
        <v>Non trouvé</v>
      </c>
      <c r="B1197" t="s">
        <v>438</v>
      </c>
      <c r="C1197" s="3">
        <v>45222.602777777778</v>
      </c>
      <c r="D1197" s="11">
        <f>Logs_reseau[[#This Row],[Duree_Panne_Min]]/1440</f>
        <v>3.6805555555555557E-2</v>
      </c>
      <c r="E1197">
        <v>53</v>
      </c>
      <c r="F1197" t="s">
        <v>2</v>
      </c>
      <c r="G1197" t="str">
        <f>IFERROR(VLOOKUP(Logs_reseau[[#This Row],[Cell_ID]],'[1]Registre_Maintenance_combine '!A:C,3,FALSE),"Non trouvé")</f>
        <v>Non trouvé</v>
      </c>
      <c r="H1197" t="str">
        <f>IFERROR(VLOOKUP(Logs_reseau[[#This Row],[Cell_ID]],'[1]Registre_Maintenance_combine '!A:D,4,FALSE),"Non trouvé")</f>
        <v>Non trouvé</v>
      </c>
      <c r="I1197" t="str">
        <f>IFERROR(VLOOKUP(Logs_reseau[[#This Row],[Cell_ID]],'[1]Registre_Maintenance_combine '!A:E,5,FALSE),"Non trouvé")</f>
        <v>Non trouvé</v>
      </c>
      <c r="J1197" t="str">
        <f>IFERROR(VLOOKUP(Logs_reseau[[#This Row],[Cell_ID]],'[1]Registre_Maintenance_combine '!A:F,6,FALSE),"Non trouvé")</f>
        <v>Non trouvé</v>
      </c>
    </row>
    <row r="1198" spans="1:10" x14ac:dyDescent="0.25">
      <c r="A1198" t="str">
        <f>IFERROR(VLOOKUP(Logs_reseau[[#This Row],[Cell_ID]],'[1]Registre_Maintenance_combine '!A:B,2,FALSE),"Non trouvé")</f>
        <v>Haut-Uele</v>
      </c>
      <c r="B1198" t="s">
        <v>294</v>
      </c>
      <c r="C1198" s="3">
        <v>45216.693749999999</v>
      </c>
      <c r="D1198" s="11">
        <f>Logs_reseau[[#This Row],[Duree_Panne_Min]]/1440</f>
        <v>1.6666666666666666E-2</v>
      </c>
      <c r="E1198">
        <v>24</v>
      </c>
      <c r="F1198" t="s">
        <v>4</v>
      </c>
      <c r="G1198">
        <f>IFERROR(VLOOKUP(Logs_reseau[[#This Row],[Cell_ID]],'[1]Registre_Maintenance_combine '!A:C,3,FALSE),"Non trouvé")</f>
        <v>-12.100756000000001</v>
      </c>
      <c r="H1198">
        <f>IFERROR(VLOOKUP(Logs_reseau[[#This Row],[Cell_ID]],'[1]Registre_Maintenance_combine '!A:D,4,FALSE),"Non trouvé")</f>
        <v>21.938649999999999</v>
      </c>
      <c r="I1198" t="str">
        <f>IFERROR(VLOOKUP(Logs_reseau[[#This Row],[Cell_ID]],'[1]Registre_Maintenance_combine '!A:E,5,FALSE),"Non trouvé")</f>
        <v>4G</v>
      </c>
      <c r="J1198" t="str">
        <f>IFERROR(VLOOKUP(Logs_reseau[[#This Row],[Cell_ID]],'[1]Registre_Maintenance_combine '!A:F,6,FALSE),"Non trouvé")</f>
        <v>Huawei</v>
      </c>
    </row>
    <row r="1199" spans="1:10" x14ac:dyDescent="0.25">
      <c r="A1199" t="str">
        <f>IFERROR(VLOOKUP(Logs_reseau[[#This Row],[Cell_ID]],'[1]Registre_Maintenance_combine '!A:B,2,FALSE),"Non trouvé")</f>
        <v>Haut-Uele</v>
      </c>
      <c r="B1199" t="s">
        <v>439</v>
      </c>
      <c r="C1199" s="3">
        <v>45205.474305555559</v>
      </c>
      <c r="D1199" s="11">
        <f>Logs_reseau[[#This Row],[Duree_Panne_Min]]/1440</f>
        <v>1.7361111111111112E-2</v>
      </c>
      <c r="E1199">
        <v>25</v>
      </c>
      <c r="F1199" t="s">
        <v>1</v>
      </c>
      <c r="G1199">
        <f>IFERROR(VLOOKUP(Logs_reseau[[#This Row],[Cell_ID]],'[1]Registre_Maintenance_combine '!A:C,3,FALSE),"Non trouvé")</f>
        <v>-1.013558</v>
      </c>
      <c r="H1199">
        <f>IFERROR(VLOOKUP(Logs_reseau[[#This Row],[Cell_ID]],'[1]Registre_Maintenance_combine '!A:D,4,FALSE),"Non trouvé")</f>
        <v>17.346937</v>
      </c>
      <c r="I1199" t="str">
        <f>IFERROR(VLOOKUP(Logs_reseau[[#This Row],[Cell_ID]],'[1]Registre_Maintenance_combine '!A:E,5,FALSE),"Non trouvé")</f>
        <v>5G</v>
      </c>
      <c r="J1199" t="str">
        <f>IFERROR(VLOOKUP(Logs_reseau[[#This Row],[Cell_ID]],'[1]Registre_Maintenance_combine '!A:F,6,FALSE),"Non trouvé")</f>
        <v>Huawei</v>
      </c>
    </row>
    <row r="1200" spans="1:10" x14ac:dyDescent="0.25">
      <c r="A1200" t="str">
        <f>IFERROR(VLOOKUP(Logs_reseau[[#This Row],[Cell_ID]],'[1]Registre_Maintenance_combine '!A:B,2,FALSE),"Non trouvé")</f>
        <v>Lualaba</v>
      </c>
      <c r="B1200" t="s">
        <v>440</v>
      </c>
      <c r="C1200" s="3">
        <v>45229.39166666667</v>
      </c>
      <c r="D1200" s="11">
        <f>Logs_reseau[[#This Row],[Duree_Panne_Min]]/1440</f>
        <v>1.9444444444444445E-2</v>
      </c>
      <c r="E1200">
        <v>28</v>
      </c>
      <c r="F1200" t="s">
        <v>4</v>
      </c>
      <c r="G1200">
        <f>IFERROR(VLOOKUP(Logs_reseau[[#This Row],[Cell_ID]],'[1]Registre_Maintenance_combine '!A:C,3,FALSE),"Non trouvé")</f>
        <v>-10.967288</v>
      </c>
      <c r="H1200">
        <f>IFERROR(VLOOKUP(Logs_reseau[[#This Row],[Cell_ID]],'[1]Registre_Maintenance_combine '!A:D,4,FALSE),"Non trouvé")</f>
        <v>17.617781000000001</v>
      </c>
      <c r="I1200" t="str">
        <f>IFERROR(VLOOKUP(Logs_reseau[[#This Row],[Cell_ID]],'[1]Registre_Maintenance_combine '!A:E,5,FALSE),"Non trouvé")</f>
        <v>4G</v>
      </c>
      <c r="J1200" t="str">
        <f>IFERROR(VLOOKUP(Logs_reseau[[#This Row],[Cell_ID]],'[1]Registre_Maintenance_combine '!A:F,6,FALSE),"Non trouvé")</f>
        <v>Ericsson</v>
      </c>
    </row>
    <row r="1201" spans="1:10" x14ac:dyDescent="0.25">
      <c r="A1201" t="str">
        <f>IFERROR(VLOOKUP(Logs_reseau[[#This Row],[Cell_ID]],'[1]Registre_Maintenance_combine '!A:B,2,FALSE),"Non trouvé")</f>
        <v>Non trouvé</v>
      </c>
      <c r="B1201" t="s">
        <v>441</v>
      </c>
      <c r="C1201" s="3">
        <v>45213.446527777778</v>
      </c>
      <c r="D1201" s="11">
        <f>Logs_reseau[[#This Row],[Duree_Panne_Min]]/1440</f>
        <v>7.7083333333333337E-2</v>
      </c>
      <c r="E1201">
        <v>111</v>
      </c>
      <c r="F1201" t="s">
        <v>1</v>
      </c>
      <c r="G1201" t="str">
        <f>IFERROR(VLOOKUP(Logs_reseau[[#This Row],[Cell_ID]],'[1]Registre_Maintenance_combine '!A:C,3,FALSE),"Non trouvé")</f>
        <v>Non trouvé</v>
      </c>
      <c r="H1201" t="str">
        <f>IFERROR(VLOOKUP(Logs_reseau[[#This Row],[Cell_ID]],'[1]Registre_Maintenance_combine '!A:D,4,FALSE),"Non trouvé")</f>
        <v>Non trouvé</v>
      </c>
      <c r="I1201" t="str">
        <f>IFERROR(VLOOKUP(Logs_reseau[[#This Row],[Cell_ID]],'[1]Registre_Maintenance_combine '!A:E,5,FALSE),"Non trouvé")</f>
        <v>Non trouvé</v>
      </c>
      <c r="J1201" t="str">
        <f>IFERROR(VLOOKUP(Logs_reseau[[#This Row],[Cell_ID]],'[1]Registre_Maintenance_combine '!A:F,6,FALSE),"Non trouvé")</f>
        <v>Non trouvé</v>
      </c>
    </row>
    <row r="1202" spans="1:10" x14ac:dyDescent="0.25">
      <c r="A1202" t="str">
        <f>IFERROR(VLOOKUP(Logs_reseau[[#This Row],[Cell_ID]],'[1]Registre_Maintenance_combine '!A:B,2,FALSE),"Non trouvé")</f>
        <v>Non trouvé</v>
      </c>
      <c r="B1202" t="s">
        <v>442</v>
      </c>
      <c r="C1202" s="3">
        <v>45219.076388888891</v>
      </c>
      <c r="D1202" s="11">
        <f>Logs_reseau[[#This Row],[Duree_Panne_Min]]/1440</f>
        <v>6.458333333333334E-2</v>
      </c>
      <c r="E1202">
        <v>93</v>
      </c>
      <c r="F1202" t="s">
        <v>4</v>
      </c>
      <c r="G1202" t="str">
        <f>IFERROR(VLOOKUP(Logs_reseau[[#This Row],[Cell_ID]],'[1]Registre_Maintenance_combine '!A:C,3,FALSE),"Non trouvé")</f>
        <v>Non trouvé</v>
      </c>
      <c r="H1202" t="str">
        <f>IFERROR(VLOOKUP(Logs_reseau[[#This Row],[Cell_ID]],'[1]Registre_Maintenance_combine '!A:D,4,FALSE),"Non trouvé")</f>
        <v>Non trouvé</v>
      </c>
      <c r="I1202" t="str">
        <f>IFERROR(VLOOKUP(Logs_reseau[[#This Row],[Cell_ID]],'[1]Registre_Maintenance_combine '!A:E,5,FALSE),"Non trouvé")</f>
        <v>Non trouvé</v>
      </c>
      <c r="J1202" t="str">
        <f>IFERROR(VLOOKUP(Logs_reseau[[#This Row],[Cell_ID]],'[1]Registre_Maintenance_combine '!A:F,6,FALSE),"Non trouvé")</f>
        <v>Non trouvé</v>
      </c>
    </row>
    <row r="1203" spans="1:10" x14ac:dyDescent="0.25">
      <c r="A1203" t="str">
        <f>IFERROR(VLOOKUP(Logs_reseau[[#This Row],[Cell_ID]],'[1]Registre_Maintenance_combine '!A:B,2,FALSE),"Non trouvé")</f>
        <v>Kongo-Central</v>
      </c>
      <c r="B1203" t="s">
        <v>412</v>
      </c>
      <c r="C1203" s="3">
        <v>45220.847916666666</v>
      </c>
      <c r="D1203" s="11">
        <f>Logs_reseau[[#This Row],[Duree_Panne_Min]]/1440</f>
        <v>7.1527777777777773E-2</v>
      </c>
      <c r="E1203">
        <v>103</v>
      </c>
      <c r="F1203" t="s">
        <v>1</v>
      </c>
      <c r="G1203">
        <f>IFERROR(VLOOKUP(Logs_reseau[[#This Row],[Cell_ID]],'[1]Registre_Maintenance_combine '!A:C,3,FALSE),"Non trouvé")</f>
        <v>-12.112399999999999</v>
      </c>
      <c r="H1203">
        <f>IFERROR(VLOOKUP(Logs_reseau[[#This Row],[Cell_ID]],'[1]Registre_Maintenance_combine '!A:D,4,FALSE),"Non trouvé")</f>
        <v>15.872226</v>
      </c>
      <c r="I1203" t="str">
        <f>IFERROR(VLOOKUP(Logs_reseau[[#This Row],[Cell_ID]],'[1]Registre_Maintenance_combine '!A:E,5,FALSE),"Non trouvé")</f>
        <v>4G</v>
      </c>
      <c r="J1203" t="str">
        <f>IFERROR(VLOOKUP(Logs_reseau[[#This Row],[Cell_ID]],'[1]Registre_Maintenance_combine '!A:F,6,FALSE),"Non trouvé")</f>
        <v>Nokia</v>
      </c>
    </row>
    <row r="1204" spans="1:10" x14ac:dyDescent="0.25">
      <c r="A1204" t="str">
        <f>IFERROR(VLOOKUP(Logs_reseau[[#This Row],[Cell_ID]],'[1]Registre_Maintenance_combine '!A:B,2,FALSE),"Non trouvé")</f>
        <v>Sud-Ubangi</v>
      </c>
      <c r="B1204" t="s">
        <v>165</v>
      </c>
      <c r="C1204" s="3">
        <v>45202.42083333333</v>
      </c>
      <c r="D1204" s="11">
        <f>Logs_reseau[[#This Row],[Duree_Panne_Min]]/1440</f>
        <v>5.8333333333333334E-2</v>
      </c>
      <c r="E1204">
        <v>84</v>
      </c>
      <c r="F1204" t="s">
        <v>1</v>
      </c>
      <c r="G1204">
        <f>IFERROR(VLOOKUP(Logs_reseau[[#This Row],[Cell_ID]],'[1]Registre_Maintenance_combine '!A:C,3,FALSE),"Non trouvé")</f>
        <v>-10.56448</v>
      </c>
      <c r="H1204">
        <f>IFERROR(VLOOKUP(Logs_reseau[[#This Row],[Cell_ID]],'[1]Registre_Maintenance_combine '!A:D,4,FALSE),"Non trouvé")</f>
        <v>19.792876</v>
      </c>
      <c r="I1204" t="str">
        <f>IFERROR(VLOOKUP(Logs_reseau[[#This Row],[Cell_ID]],'[1]Registre_Maintenance_combine '!A:E,5,FALSE),"Non trouvé")</f>
        <v>5G</v>
      </c>
      <c r="J1204" t="str">
        <f>IFERROR(VLOOKUP(Logs_reseau[[#This Row],[Cell_ID]],'[1]Registre_Maintenance_combine '!A:F,6,FALSE),"Non trouvé")</f>
        <v>Ericsson</v>
      </c>
    </row>
    <row r="1205" spans="1:10" x14ac:dyDescent="0.25">
      <c r="A1205" t="str">
        <f>IFERROR(VLOOKUP(Logs_reseau[[#This Row],[Cell_ID]],'[1]Registre_Maintenance_combine '!A:B,2,FALSE),"Non trouvé")</f>
        <v>Mongala</v>
      </c>
      <c r="B1205" t="s">
        <v>443</v>
      </c>
      <c r="C1205" s="3">
        <v>45217.89166666667</v>
      </c>
      <c r="D1205" s="11">
        <f>Logs_reseau[[#This Row],[Duree_Panne_Min]]/1440</f>
        <v>7.4999999999999997E-2</v>
      </c>
      <c r="E1205">
        <v>108</v>
      </c>
      <c r="F1205" t="s">
        <v>4</v>
      </c>
      <c r="G1205">
        <f>IFERROR(VLOOKUP(Logs_reseau[[#This Row],[Cell_ID]],'[1]Registre_Maintenance_combine '!A:C,3,FALSE),"Non trouvé")</f>
        <v>-5.3762689999999997</v>
      </c>
      <c r="H1205">
        <f>IFERROR(VLOOKUP(Logs_reseau[[#This Row],[Cell_ID]],'[1]Registre_Maintenance_combine '!A:D,4,FALSE),"Non trouvé")</f>
        <v>28.189575999999999</v>
      </c>
      <c r="I1205" t="str">
        <f>IFERROR(VLOOKUP(Logs_reseau[[#This Row],[Cell_ID]],'[1]Registre_Maintenance_combine '!A:E,5,FALSE),"Non trouvé")</f>
        <v>5G</v>
      </c>
      <c r="J1205" t="str">
        <f>IFERROR(VLOOKUP(Logs_reseau[[#This Row],[Cell_ID]],'[1]Registre_Maintenance_combine '!A:F,6,FALSE),"Non trouvé")</f>
        <v>Huawei</v>
      </c>
    </row>
    <row r="1206" spans="1:10" x14ac:dyDescent="0.25">
      <c r="A1206" t="str">
        <f>IFERROR(VLOOKUP(Logs_reseau[[#This Row],[Cell_ID]],'[1]Registre_Maintenance_combine '!A:B,2,FALSE),"Non trouvé")</f>
        <v>Sankuru</v>
      </c>
      <c r="B1206" t="s">
        <v>444</v>
      </c>
      <c r="C1206" s="3">
        <v>45209.365277777775</v>
      </c>
      <c r="D1206" s="11">
        <f>Logs_reseau[[#This Row],[Duree_Panne_Min]]/1440</f>
        <v>8.3333333333333329E-2</v>
      </c>
      <c r="E1206">
        <v>120</v>
      </c>
      <c r="F1206" t="s">
        <v>1</v>
      </c>
      <c r="G1206">
        <f>IFERROR(VLOOKUP(Logs_reseau[[#This Row],[Cell_ID]],'[1]Registre_Maintenance_combine '!A:C,3,FALSE),"Non trouvé")</f>
        <v>-1.4110389999999999</v>
      </c>
      <c r="H1206">
        <f>IFERROR(VLOOKUP(Logs_reseau[[#This Row],[Cell_ID]],'[1]Registre_Maintenance_combine '!A:D,4,FALSE),"Non trouvé")</f>
        <v>21.261644</v>
      </c>
      <c r="I1206" t="str">
        <f>IFERROR(VLOOKUP(Logs_reseau[[#This Row],[Cell_ID]],'[1]Registre_Maintenance_combine '!A:E,5,FALSE),"Non trouvé")</f>
        <v>4G</v>
      </c>
      <c r="J1206" t="str">
        <f>IFERROR(VLOOKUP(Logs_reseau[[#This Row],[Cell_ID]],'[1]Registre_Maintenance_combine '!A:F,6,FALSE),"Non trouvé")</f>
        <v>ZTE</v>
      </c>
    </row>
    <row r="1207" spans="1:10" x14ac:dyDescent="0.25">
      <c r="A1207" t="str">
        <f>IFERROR(VLOOKUP(Logs_reseau[[#This Row],[Cell_ID]],'[1]Registre_Maintenance_combine '!A:B,2,FALSE),"Non trouvé")</f>
        <v>Ituri</v>
      </c>
      <c r="B1207" t="s">
        <v>413</v>
      </c>
      <c r="C1207" s="3">
        <v>45227.915277777778</v>
      </c>
      <c r="D1207" s="11">
        <f>Logs_reseau[[#This Row],[Duree_Panne_Min]]/1440</f>
        <v>1.8055555555555554E-2</v>
      </c>
      <c r="E1207">
        <v>26</v>
      </c>
      <c r="F1207" t="s">
        <v>2</v>
      </c>
      <c r="G1207">
        <f>IFERROR(VLOOKUP(Logs_reseau[[#This Row],[Cell_ID]],'[1]Registre_Maintenance_combine '!A:C,3,FALSE),"Non trouvé")</f>
        <v>-3.7720639999999999</v>
      </c>
      <c r="H1207">
        <f>IFERROR(VLOOKUP(Logs_reseau[[#This Row],[Cell_ID]],'[1]Registre_Maintenance_combine '!A:D,4,FALSE),"Non trouvé")</f>
        <v>16.006277999999998</v>
      </c>
      <c r="I1207" t="str">
        <f>IFERROR(VLOOKUP(Logs_reseau[[#This Row],[Cell_ID]],'[1]Registre_Maintenance_combine '!A:E,5,FALSE),"Non trouvé")</f>
        <v>5G</v>
      </c>
      <c r="J1207" t="str">
        <f>IFERROR(VLOOKUP(Logs_reseau[[#This Row],[Cell_ID]],'[1]Registre_Maintenance_combine '!A:F,6,FALSE),"Non trouvé")</f>
        <v>ZTE</v>
      </c>
    </row>
    <row r="1208" spans="1:10" x14ac:dyDescent="0.25">
      <c r="A1208" t="str">
        <f>IFERROR(VLOOKUP(Logs_reseau[[#This Row],[Cell_ID]],'[1]Registre_Maintenance_combine '!A:B,2,FALSE),"Non trouvé")</f>
        <v>Nord-Kivu</v>
      </c>
      <c r="B1208" t="s">
        <v>408</v>
      </c>
      <c r="C1208" s="3">
        <v>45219.181250000001</v>
      </c>
      <c r="D1208" s="11">
        <f>Logs_reseau[[#This Row],[Duree_Panne_Min]]/1440</f>
        <v>6.7361111111111108E-2</v>
      </c>
      <c r="E1208">
        <v>97</v>
      </c>
      <c r="F1208" t="s">
        <v>2</v>
      </c>
      <c r="G1208">
        <f>IFERROR(VLOOKUP(Logs_reseau[[#This Row],[Cell_ID]],'[1]Registre_Maintenance_combine '!A:C,3,FALSE),"Non trouvé")</f>
        <v>-4.1754939999999996</v>
      </c>
      <c r="H1208">
        <f>IFERROR(VLOOKUP(Logs_reseau[[#This Row],[Cell_ID]],'[1]Registre_Maintenance_combine '!A:D,4,FALSE),"Non trouvé")</f>
        <v>16.704664999999999</v>
      </c>
      <c r="I1208" t="str">
        <f>IFERROR(VLOOKUP(Logs_reseau[[#This Row],[Cell_ID]],'[1]Registre_Maintenance_combine '!A:E,5,FALSE),"Non trouvé")</f>
        <v>3G</v>
      </c>
      <c r="J1208" t="str">
        <f>IFERROR(VLOOKUP(Logs_reseau[[#This Row],[Cell_ID]],'[1]Registre_Maintenance_combine '!A:F,6,FALSE),"Non trouvé")</f>
        <v>Ericsson</v>
      </c>
    </row>
    <row r="1209" spans="1:10" x14ac:dyDescent="0.25">
      <c r="A1209" t="str">
        <f>IFERROR(VLOOKUP(Logs_reseau[[#This Row],[Cell_ID]],'[1]Registre_Maintenance_combine '!A:B,2,FALSE),"Non trouvé")</f>
        <v>Tanganyika</v>
      </c>
      <c r="B1209" t="s">
        <v>143</v>
      </c>
      <c r="C1209" s="3">
        <v>45202.779166666667</v>
      </c>
      <c r="D1209" s="11">
        <f>Logs_reseau[[#This Row],[Duree_Panne_Min]]/1440</f>
        <v>4.2361111111111113E-2</v>
      </c>
      <c r="E1209">
        <v>61</v>
      </c>
      <c r="F1209" t="s">
        <v>4</v>
      </c>
      <c r="G1209">
        <f>IFERROR(VLOOKUP(Logs_reseau[[#This Row],[Cell_ID]],'[1]Registre_Maintenance_combine '!A:C,3,FALSE),"Non trouvé")</f>
        <v>-12.229338</v>
      </c>
      <c r="H1209">
        <f>IFERROR(VLOOKUP(Logs_reseau[[#This Row],[Cell_ID]],'[1]Registre_Maintenance_combine '!A:D,4,FALSE),"Non trouvé")</f>
        <v>29.587834999999998</v>
      </c>
      <c r="I1209" t="str">
        <f>IFERROR(VLOOKUP(Logs_reseau[[#This Row],[Cell_ID]],'[1]Registre_Maintenance_combine '!A:E,5,FALSE),"Non trouvé")</f>
        <v>4G</v>
      </c>
      <c r="J1209" t="str">
        <f>IFERROR(VLOOKUP(Logs_reseau[[#This Row],[Cell_ID]],'[1]Registre_Maintenance_combine '!A:F,6,FALSE),"Non trouvé")</f>
        <v>Nokia</v>
      </c>
    </row>
    <row r="1210" spans="1:10" x14ac:dyDescent="0.25">
      <c r="A1210" t="str">
        <f>IFERROR(VLOOKUP(Logs_reseau[[#This Row],[Cell_ID]],'[1]Registre_Maintenance_combine '!A:B,2,FALSE),"Non trouvé")</f>
        <v>Nord-Kivu</v>
      </c>
      <c r="B1210" t="s">
        <v>445</v>
      </c>
      <c r="C1210" s="3">
        <v>45204.47152777778</v>
      </c>
      <c r="D1210" s="11">
        <f>Logs_reseau[[#This Row],[Duree_Panne_Min]]/1440</f>
        <v>6.9444444444444441E-3</v>
      </c>
      <c r="E1210">
        <v>10</v>
      </c>
      <c r="F1210" t="s">
        <v>1</v>
      </c>
      <c r="G1210">
        <f>IFERROR(VLOOKUP(Logs_reseau[[#This Row],[Cell_ID]],'[1]Registre_Maintenance_combine '!A:C,3,FALSE),"Non trouvé")</f>
        <v>4.9455159999999996</v>
      </c>
      <c r="H1210">
        <f>IFERROR(VLOOKUP(Logs_reseau[[#This Row],[Cell_ID]],'[1]Registre_Maintenance_combine '!A:D,4,FALSE),"Non trouvé")</f>
        <v>23.647746000000001</v>
      </c>
      <c r="I1210" t="str">
        <f>IFERROR(VLOOKUP(Logs_reseau[[#This Row],[Cell_ID]],'[1]Registre_Maintenance_combine '!A:E,5,FALSE),"Non trouvé")</f>
        <v>5G</v>
      </c>
      <c r="J1210" t="str">
        <f>IFERROR(VLOOKUP(Logs_reseau[[#This Row],[Cell_ID]],'[1]Registre_Maintenance_combine '!A:F,6,FALSE),"Non trouvé")</f>
        <v>Huawei</v>
      </c>
    </row>
    <row r="1211" spans="1:10" x14ac:dyDescent="0.25">
      <c r="A1211" t="str">
        <f>IFERROR(VLOOKUP(Logs_reseau[[#This Row],[Cell_ID]],'[1]Registre_Maintenance_combine '!A:B,2,FALSE),"Non trouvé")</f>
        <v>Sud-Kivu</v>
      </c>
      <c r="B1211" t="s">
        <v>446</v>
      </c>
      <c r="C1211" s="3">
        <v>45230.863888888889</v>
      </c>
      <c r="D1211" s="11">
        <f>Logs_reseau[[#This Row],[Duree_Panne_Min]]/1440</f>
        <v>3.9583333333333331E-2</v>
      </c>
      <c r="E1211">
        <v>57</v>
      </c>
      <c r="F1211" t="s">
        <v>1</v>
      </c>
      <c r="G1211">
        <f>IFERROR(VLOOKUP(Logs_reseau[[#This Row],[Cell_ID]],'[1]Registre_Maintenance_combine '!A:C,3,FALSE),"Non trouvé")</f>
        <v>-4.1694589999999998</v>
      </c>
      <c r="H1211">
        <f>IFERROR(VLOOKUP(Logs_reseau[[#This Row],[Cell_ID]],'[1]Registre_Maintenance_combine '!A:D,4,FALSE),"Non trouvé")</f>
        <v>23.376487000000001</v>
      </c>
      <c r="I1211" t="str">
        <f>IFERROR(VLOOKUP(Logs_reseau[[#This Row],[Cell_ID]],'[1]Registre_Maintenance_combine '!A:E,5,FALSE),"Non trouvé")</f>
        <v>3G</v>
      </c>
      <c r="J1211" t="str">
        <f>IFERROR(VLOOKUP(Logs_reseau[[#This Row],[Cell_ID]],'[1]Registre_Maintenance_combine '!A:F,6,FALSE),"Non trouvé")</f>
        <v>Nokia</v>
      </c>
    </row>
    <row r="1212" spans="1:10" x14ac:dyDescent="0.25">
      <c r="A1212" t="str">
        <f>IFERROR(VLOOKUP(Logs_reseau[[#This Row],[Cell_ID]],'[1]Registre_Maintenance_combine '!A:B,2,FALSE),"Non trouvé")</f>
        <v>Mongala</v>
      </c>
      <c r="B1212" t="s">
        <v>55</v>
      </c>
      <c r="C1212" s="3">
        <v>45221.505555555559</v>
      </c>
      <c r="D1212" s="11">
        <f>Logs_reseau[[#This Row],[Duree_Panne_Min]]/1440</f>
        <v>3.5416666666666666E-2</v>
      </c>
      <c r="E1212">
        <v>51</v>
      </c>
      <c r="F1212" t="s">
        <v>1</v>
      </c>
      <c r="G1212">
        <f>IFERROR(VLOOKUP(Logs_reseau[[#This Row],[Cell_ID]],'[1]Registre_Maintenance_combine '!A:C,3,FALSE),"Non trouvé")</f>
        <v>-1.231033</v>
      </c>
      <c r="H1212">
        <f>IFERROR(VLOOKUP(Logs_reseau[[#This Row],[Cell_ID]],'[1]Registre_Maintenance_combine '!A:D,4,FALSE),"Non trouvé")</f>
        <v>28.851388</v>
      </c>
      <c r="I1212" t="str">
        <f>IFERROR(VLOOKUP(Logs_reseau[[#This Row],[Cell_ID]],'[1]Registre_Maintenance_combine '!A:E,5,FALSE),"Non trouvé")</f>
        <v>3G</v>
      </c>
      <c r="J1212" t="str">
        <f>IFERROR(VLOOKUP(Logs_reseau[[#This Row],[Cell_ID]],'[1]Registre_Maintenance_combine '!A:F,6,FALSE),"Non trouvé")</f>
        <v>Ericsson</v>
      </c>
    </row>
    <row r="1213" spans="1:10" x14ac:dyDescent="0.25">
      <c r="A1213" t="str">
        <f>IFERROR(VLOOKUP(Logs_reseau[[#This Row],[Cell_ID]],'[1]Registre_Maintenance_combine '!A:B,2,FALSE),"Non trouvé")</f>
        <v>Non trouvé</v>
      </c>
      <c r="B1213" t="s">
        <v>447</v>
      </c>
      <c r="C1213" s="3">
        <v>45219.920138888891</v>
      </c>
      <c r="D1213" s="11">
        <f>Logs_reseau[[#This Row],[Duree_Panne_Min]]/1440</f>
        <v>6.3194444444444442E-2</v>
      </c>
      <c r="E1213">
        <v>91</v>
      </c>
      <c r="F1213" t="s">
        <v>4</v>
      </c>
      <c r="G1213" t="str">
        <f>IFERROR(VLOOKUP(Logs_reseau[[#This Row],[Cell_ID]],'[1]Registre_Maintenance_combine '!A:C,3,FALSE),"Non trouvé")</f>
        <v>Non trouvé</v>
      </c>
      <c r="H1213" t="str">
        <f>IFERROR(VLOOKUP(Logs_reseau[[#This Row],[Cell_ID]],'[1]Registre_Maintenance_combine '!A:D,4,FALSE),"Non trouvé")</f>
        <v>Non trouvé</v>
      </c>
      <c r="I1213" t="str">
        <f>IFERROR(VLOOKUP(Logs_reseau[[#This Row],[Cell_ID]],'[1]Registre_Maintenance_combine '!A:E,5,FALSE),"Non trouvé")</f>
        <v>Non trouvé</v>
      </c>
      <c r="J1213" t="str">
        <f>IFERROR(VLOOKUP(Logs_reseau[[#This Row],[Cell_ID]],'[1]Registre_Maintenance_combine '!A:F,6,FALSE),"Non trouvé")</f>
        <v>Non trouvé</v>
      </c>
    </row>
    <row r="1214" spans="1:10" x14ac:dyDescent="0.25">
      <c r="A1214" t="str">
        <f>IFERROR(VLOOKUP(Logs_reseau[[#This Row],[Cell_ID]],'[1]Registre_Maintenance_combine '!A:B,2,FALSE),"Non trouvé")</f>
        <v>Non trouvé</v>
      </c>
      <c r="B1214" t="s">
        <v>448</v>
      </c>
      <c r="C1214" s="3">
        <v>45209.724999999999</v>
      </c>
      <c r="D1214" s="11">
        <f>Logs_reseau[[#This Row],[Duree_Panne_Min]]/1440</f>
        <v>6.7361111111111108E-2</v>
      </c>
      <c r="E1214">
        <v>97</v>
      </c>
      <c r="F1214" t="s">
        <v>4</v>
      </c>
      <c r="G1214" t="str">
        <f>IFERROR(VLOOKUP(Logs_reseau[[#This Row],[Cell_ID]],'[1]Registre_Maintenance_combine '!A:C,3,FALSE),"Non trouvé")</f>
        <v>Non trouvé</v>
      </c>
      <c r="H1214" t="str">
        <f>IFERROR(VLOOKUP(Logs_reseau[[#This Row],[Cell_ID]],'[1]Registre_Maintenance_combine '!A:D,4,FALSE),"Non trouvé")</f>
        <v>Non trouvé</v>
      </c>
      <c r="I1214" t="str">
        <f>IFERROR(VLOOKUP(Logs_reseau[[#This Row],[Cell_ID]],'[1]Registre_Maintenance_combine '!A:E,5,FALSE),"Non trouvé")</f>
        <v>Non trouvé</v>
      </c>
      <c r="J1214" t="str">
        <f>IFERROR(VLOOKUP(Logs_reseau[[#This Row],[Cell_ID]],'[1]Registre_Maintenance_combine '!A:F,6,FALSE),"Non trouvé")</f>
        <v>Non trouvé</v>
      </c>
    </row>
    <row r="1215" spans="1:10" x14ac:dyDescent="0.25">
      <c r="A1215" t="str">
        <f>IFERROR(VLOOKUP(Logs_reseau[[#This Row],[Cell_ID]],'[1]Registre_Maintenance_combine '!A:B,2,FALSE),"Non trouvé")</f>
        <v>Non trouvé</v>
      </c>
      <c r="B1215" t="s">
        <v>449</v>
      </c>
      <c r="C1215" s="3">
        <v>45220.452777777777</v>
      </c>
      <c r="D1215" s="11">
        <f>Logs_reseau[[#This Row],[Duree_Panne_Min]]/1440</f>
        <v>2.4305555555555556E-2</v>
      </c>
      <c r="E1215">
        <v>35</v>
      </c>
      <c r="F1215" t="s">
        <v>2</v>
      </c>
      <c r="G1215" t="str">
        <f>IFERROR(VLOOKUP(Logs_reseau[[#This Row],[Cell_ID]],'[1]Registre_Maintenance_combine '!A:C,3,FALSE),"Non trouvé")</f>
        <v>Non trouvé</v>
      </c>
      <c r="H1215" t="str">
        <f>IFERROR(VLOOKUP(Logs_reseau[[#This Row],[Cell_ID]],'[1]Registre_Maintenance_combine '!A:D,4,FALSE),"Non trouvé")</f>
        <v>Non trouvé</v>
      </c>
      <c r="I1215" t="str">
        <f>IFERROR(VLOOKUP(Logs_reseau[[#This Row],[Cell_ID]],'[1]Registre_Maintenance_combine '!A:E,5,FALSE),"Non trouvé")</f>
        <v>Non trouvé</v>
      </c>
      <c r="J1215" t="str">
        <f>IFERROR(VLOOKUP(Logs_reseau[[#This Row],[Cell_ID]],'[1]Registre_Maintenance_combine '!A:F,6,FALSE),"Non trouvé")</f>
        <v>Non trouvé</v>
      </c>
    </row>
    <row r="1216" spans="1:10" x14ac:dyDescent="0.25">
      <c r="A1216" t="str">
        <f>IFERROR(VLOOKUP(Logs_reseau[[#This Row],[Cell_ID]],'[1]Registre_Maintenance_combine '!A:B,2,FALSE),"Non trouvé")</f>
        <v>Bas-Uele</v>
      </c>
      <c r="B1216" t="s">
        <v>450</v>
      </c>
      <c r="C1216" s="3">
        <v>45204.905555555553</v>
      </c>
      <c r="D1216" s="11">
        <f>Logs_reseau[[#This Row],[Duree_Panne_Min]]/1440</f>
        <v>4.2361111111111113E-2</v>
      </c>
      <c r="E1216">
        <v>61</v>
      </c>
      <c r="F1216" t="s">
        <v>1</v>
      </c>
      <c r="G1216">
        <f>IFERROR(VLOOKUP(Logs_reseau[[#This Row],[Cell_ID]],'[1]Registre_Maintenance_combine '!A:C,3,FALSE),"Non trouvé")</f>
        <v>4.497306</v>
      </c>
      <c r="H1216">
        <f>IFERROR(VLOOKUP(Logs_reseau[[#This Row],[Cell_ID]],'[1]Registre_Maintenance_combine '!A:D,4,FALSE),"Non trouvé")</f>
        <v>12.857251</v>
      </c>
      <c r="I1216" t="str">
        <f>IFERROR(VLOOKUP(Logs_reseau[[#This Row],[Cell_ID]],'[1]Registre_Maintenance_combine '!A:E,5,FALSE),"Non trouvé")</f>
        <v>5G</v>
      </c>
      <c r="J1216" t="str">
        <f>IFERROR(VLOOKUP(Logs_reseau[[#This Row],[Cell_ID]],'[1]Registre_Maintenance_combine '!A:F,6,FALSE),"Non trouvé")</f>
        <v>Ericsson</v>
      </c>
    </row>
    <row r="1217" spans="1:10" x14ac:dyDescent="0.25">
      <c r="A1217" t="str">
        <f>IFERROR(VLOOKUP(Logs_reseau[[#This Row],[Cell_ID]],'[1]Registre_Maintenance_combine '!A:B,2,FALSE),"Non trouvé")</f>
        <v>Non trouvé</v>
      </c>
      <c r="B1217" t="s">
        <v>451</v>
      </c>
      <c r="C1217" s="3">
        <v>45226.988194444442</v>
      </c>
      <c r="D1217" s="11">
        <f>Logs_reseau[[#This Row],[Duree_Panne_Min]]/1440</f>
        <v>5.7638888888888892E-2</v>
      </c>
      <c r="E1217">
        <v>83</v>
      </c>
      <c r="F1217" t="s">
        <v>2</v>
      </c>
      <c r="G1217" t="str">
        <f>IFERROR(VLOOKUP(Logs_reseau[[#This Row],[Cell_ID]],'[1]Registre_Maintenance_combine '!A:C,3,FALSE),"Non trouvé")</f>
        <v>Non trouvé</v>
      </c>
      <c r="H1217" t="str">
        <f>IFERROR(VLOOKUP(Logs_reseau[[#This Row],[Cell_ID]],'[1]Registre_Maintenance_combine '!A:D,4,FALSE),"Non trouvé")</f>
        <v>Non trouvé</v>
      </c>
      <c r="I1217" t="str">
        <f>IFERROR(VLOOKUP(Logs_reseau[[#This Row],[Cell_ID]],'[1]Registre_Maintenance_combine '!A:E,5,FALSE),"Non trouvé")</f>
        <v>Non trouvé</v>
      </c>
      <c r="J1217" t="str">
        <f>IFERROR(VLOOKUP(Logs_reseau[[#This Row],[Cell_ID]],'[1]Registre_Maintenance_combine '!A:F,6,FALSE),"Non trouvé")</f>
        <v>Non trouvé</v>
      </c>
    </row>
    <row r="1218" spans="1:10" x14ac:dyDescent="0.25">
      <c r="A1218" t="str">
        <f>IFERROR(VLOOKUP(Logs_reseau[[#This Row],[Cell_ID]],'[1]Registre_Maintenance_combine '!A:B,2,FALSE),"Non trouvé")</f>
        <v>Haut-Lomami</v>
      </c>
      <c r="B1218" t="s">
        <v>452</v>
      </c>
      <c r="C1218" s="3">
        <v>45229.670138888891</v>
      </c>
      <c r="D1218" s="11">
        <f>Logs_reseau[[#This Row],[Duree_Panne_Min]]/1440</f>
        <v>2.8472222222222222E-2</v>
      </c>
      <c r="E1218">
        <v>41</v>
      </c>
      <c r="F1218" t="s">
        <v>4</v>
      </c>
      <c r="G1218">
        <f>IFERROR(VLOOKUP(Logs_reseau[[#This Row],[Cell_ID]],'[1]Registre_Maintenance_combine '!A:C,3,FALSE),"Non trouvé")</f>
        <v>-7.1785899999999998</v>
      </c>
      <c r="H1218">
        <f>IFERROR(VLOOKUP(Logs_reseau[[#This Row],[Cell_ID]],'[1]Registre_Maintenance_combine '!A:D,4,FALSE),"Non trouvé")</f>
        <v>24.4404</v>
      </c>
      <c r="I1218" t="str">
        <f>IFERROR(VLOOKUP(Logs_reseau[[#This Row],[Cell_ID]],'[1]Registre_Maintenance_combine '!A:E,5,FALSE),"Non trouvé")</f>
        <v>4G</v>
      </c>
      <c r="J1218" t="str">
        <f>IFERROR(VLOOKUP(Logs_reseau[[#This Row],[Cell_ID]],'[1]Registre_Maintenance_combine '!A:F,6,FALSE),"Non trouvé")</f>
        <v>Nokia</v>
      </c>
    </row>
    <row r="1219" spans="1:10" x14ac:dyDescent="0.25">
      <c r="A1219" t="str">
        <f>IFERROR(VLOOKUP(Logs_reseau[[#This Row],[Cell_ID]],'[1]Registre_Maintenance_combine '!A:B,2,FALSE),"Non trouvé")</f>
        <v>Bas-Uele</v>
      </c>
      <c r="B1219" t="s">
        <v>107</v>
      </c>
      <c r="C1219" s="3">
        <v>45220.893750000003</v>
      </c>
      <c r="D1219" s="11">
        <f>Logs_reseau[[#This Row],[Duree_Panne_Min]]/1440</f>
        <v>7.013888888888889E-2</v>
      </c>
      <c r="E1219">
        <v>101</v>
      </c>
      <c r="F1219" t="s">
        <v>4</v>
      </c>
      <c r="G1219">
        <f>IFERROR(VLOOKUP(Logs_reseau[[#This Row],[Cell_ID]],'[1]Registre_Maintenance_combine '!A:C,3,FALSE),"Non trouvé")</f>
        <v>-2.2876210000000001</v>
      </c>
      <c r="H1219">
        <f>IFERROR(VLOOKUP(Logs_reseau[[#This Row],[Cell_ID]],'[1]Registre_Maintenance_combine '!A:D,4,FALSE),"Non trouvé")</f>
        <v>27.582545</v>
      </c>
      <c r="I1219" t="str">
        <f>IFERROR(VLOOKUP(Logs_reseau[[#This Row],[Cell_ID]],'[1]Registre_Maintenance_combine '!A:E,5,FALSE),"Non trouvé")</f>
        <v>4G</v>
      </c>
      <c r="J1219" t="str">
        <f>IFERROR(VLOOKUP(Logs_reseau[[#This Row],[Cell_ID]],'[1]Registre_Maintenance_combine '!A:F,6,FALSE),"Non trouvé")</f>
        <v>Huawei</v>
      </c>
    </row>
    <row r="1220" spans="1:10" x14ac:dyDescent="0.25">
      <c r="A1220" t="str">
        <f>IFERROR(VLOOKUP(Logs_reseau[[#This Row],[Cell_ID]],'[1]Registre_Maintenance_combine '!A:B,2,FALSE),"Non trouvé")</f>
        <v>Non trouvé</v>
      </c>
      <c r="B1220" t="s">
        <v>318</v>
      </c>
      <c r="C1220" s="3">
        <v>45216.459027777775</v>
      </c>
      <c r="D1220" s="11">
        <f>Logs_reseau[[#This Row],[Duree_Panne_Min]]/1440</f>
        <v>6.9444444444444448E-2</v>
      </c>
      <c r="E1220">
        <v>100</v>
      </c>
      <c r="F1220" t="s">
        <v>2</v>
      </c>
      <c r="G1220" t="str">
        <f>IFERROR(VLOOKUP(Logs_reseau[[#This Row],[Cell_ID]],'[1]Registre_Maintenance_combine '!A:C,3,FALSE),"Non trouvé")</f>
        <v>Non trouvé</v>
      </c>
      <c r="H1220" t="str">
        <f>IFERROR(VLOOKUP(Logs_reseau[[#This Row],[Cell_ID]],'[1]Registre_Maintenance_combine '!A:D,4,FALSE),"Non trouvé")</f>
        <v>Non trouvé</v>
      </c>
      <c r="I1220" t="str">
        <f>IFERROR(VLOOKUP(Logs_reseau[[#This Row],[Cell_ID]],'[1]Registre_Maintenance_combine '!A:E,5,FALSE),"Non trouvé")</f>
        <v>Non trouvé</v>
      </c>
      <c r="J1220" t="str">
        <f>IFERROR(VLOOKUP(Logs_reseau[[#This Row],[Cell_ID]],'[1]Registre_Maintenance_combine '!A:F,6,FALSE),"Non trouvé")</f>
        <v>Non trouvé</v>
      </c>
    </row>
    <row r="1221" spans="1:10" x14ac:dyDescent="0.25">
      <c r="A1221" t="str">
        <f>IFERROR(VLOOKUP(Logs_reseau[[#This Row],[Cell_ID]],'[1]Registre_Maintenance_combine '!A:B,2,FALSE),"Non trouvé")</f>
        <v>Non trouvé</v>
      </c>
      <c r="B1221" t="s">
        <v>243</v>
      </c>
      <c r="C1221" s="3">
        <v>45211.382638888892</v>
      </c>
      <c r="D1221" s="11">
        <f>Logs_reseau[[#This Row],[Duree_Panne_Min]]/1440</f>
        <v>7.2916666666666671E-2</v>
      </c>
      <c r="E1221">
        <v>105</v>
      </c>
      <c r="F1221" t="s">
        <v>1</v>
      </c>
      <c r="G1221" t="str">
        <f>IFERROR(VLOOKUP(Logs_reseau[[#This Row],[Cell_ID]],'[1]Registre_Maintenance_combine '!A:C,3,FALSE),"Non trouvé")</f>
        <v>Non trouvé</v>
      </c>
      <c r="H1221" t="str">
        <f>IFERROR(VLOOKUP(Logs_reseau[[#This Row],[Cell_ID]],'[1]Registre_Maintenance_combine '!A:D,4,FALSE),"Non trouvé")</f>
        <v>Non trouvé</v>
      </c>
      <c r="I1221" t="str">
        <f>IFERROR(VLOOKUP(Logs_reseau[[#This Row],[Cell_ID]],'[1]Registre_Maintenance_combine '!A:E,5,FALSE),"Non trouvé")</f>
        <v>Non trouvé</v>
      </c>
      <c r="J1221" t="str">
        <f>IFERROR(VLOOKUP(Logs_reseau[[#This Row],[Cell_ID]],'[1]Registre_Maintenance_combine '!A:F,6,FALSE),"Non trouvé")</f>
        <v>Non trouvé</v>
      </c>
    </row>
    <row r="1222" spans="1:10" x14ac:dyDescent="0.25">
      <c r="A1222" t="str">
        <f>IFERROR(VLOOKUP(Logs_reseau[[#This Row],[Cell_ID]],'[1]Registre_Maintenance_combine '!A:B,2,FALSE),"Non trouvé")</f>
        <v>Mongala</v>
      </c>
      <c r="B1222" t="s">
        <v>453</v>
      </c>
      <c r="C1222" s="3">
        <v>45230.26458333333</v>
      </c>
      <c r="D1222" s="11">
        <f>Logs_reseau[[#This Row],[Duree_Panne_Min]]/1440</f>
        <v>4.3055555555555555E-2</v>
      </c>
      <c r="E1222">
        <v>62</v>
      </c>
      <c r="F1222" t="s">
        <v>1</v>
      </c>
      <c r="G1222">
        <f>IFERROR(VLOOKUP(Logs_reseau[[#This Row],[Cell_ID]],'[1]Registre_Maintenance_combine '!A:C,3,FALSE),"Non trouvé")</f>
        <v>3.6344850000000002</v>
      </c>
      <c r="H1222">
        <f>IFERROR(VLOOKUP(Logs_reseau[[#This Row],[Cell_ID]],'[1]Registre_Maintenance_combine '!A:D,4,FALSE),"Non trouvé")</f>
        <v>12.158348999999999</v>
      </c>
      <c r="I1222" t="str">
        <f>IFERROR(VLOOKUP(Logs_reseau[[#This Row],[Cell_ID]],'[1]Registre_Maintenance_combine '!A:E,5,FALSE),"Non trouvé")</f>
        <v>5G</v>
      </c>
      <c r="J1222" t="str">
        <f>IFERROR(VLOOKUP(Logs_reseau[[#This Row],[Cell_ID]],'[1]Registre_Maintenance_combine '!A:F,6,FALSE),"Non trouvé")</f>
        <v>Ericsson</v>
      </c>
    </row>
    <row r="1223" spans="1:10" x14ac:dyDescent="0.25">
      <c r="A1223" t="str">
        <f>IFERROR(VLOOKUP(Logs_reseau[[#This Row],[Cell_ID]],'[1]Registre_Maintenance_combine '!A:B,2,FALSE),"Non trouvé")</f>
        <v>Kasai-Oriental</v>
      </c>
      <c r="B1223" t="s">
        <v>454</v>
      </c>
      <c r="C1223" s="3">
        <v>45230.633333333331</v>
      </c>
      <c r="D1223" s="11">
        <f>Logs_reseau[[#This Row],[Duree_Panne_Min]]/1440</f>
        <v>2.361111111111111E-2</v>
      </c>
      <c r="E1223">
        <v>34</v>
      </c>
      <c r="F1223" t="s">
        <v>1</v>
      </c>
      <c r="G1223">
        <f>IFERROR(VLOOKUP(Logs_reseau[[#This Row],[Cell_ID]],'[1]Registre_Maintenance_combine '!A:C,3,FALSE),"Non trouvé")</f>
        <v>2.486888</v>
      </c>
      <c r="H1223">
        <f>IFERROR(VLOOKUP(Logs_reseau[[#This Row],[Cell_ID]],'[1]Registre_Maintenance_combine '!A:D,4,FALSE),"Non trouvé")</f>
        <v>23.798074</v>
      </c>
      <c r="I1223" t="str">
        <f>IFERROR(VLOOKUP(Logs_reseau[[#This Row],[Cell_ID]],'[1]Registre_Maintenance_combine '!A:E,5,FALSE),"Non trouvé")</f>
        <v>5G</v>
      </c>
      <c r="J1223" t="str">
        <f>IFERROR(VLOOKUP(Logs_reseau[[#This Row],[Cell_ID]],'[1]Registre_Maintenance_combine '!A:F,6,FALSE),"Non trouvé")</f>
        <v>ZTE</v>
      </c>
    </row>
    <row r="1224" spans="1:10" x14ac:dyDescent="0.25">
      <c r="A1224" t="str">
        <f>IFERROR(VLOOKUP(Logs_reseau[[#This Row],[Cell_ID]],'[1]Registre_Maintenance_combine '!A:B,2,FALSE),"Non trouvé")</f>
        <v>Non trouvé</v>
      </c>
      <c r="B1224" t="s">
        <v>129</v>
      </c>
      <c r="C1224" s="3">
        <v>45207.17291666667</v>
      </c>
      <c r="D1224" s="11">
        <f>Logs_reseau[[#This Row],[Duree_Panne_Min]]/1440</f>
        <v>5.0694444444444445E-2</v>
      </c>
      <c r="E1224">
        <v>73</v>
      </c>
      <c r="F1224" t="s">
        <v>4</v>
      </c>
      <c r="G1224" t="str">
        <f>IFERROR(VLOOKUP(Logs_reseau[[#This Row],[Cell_ID]],'[1]Registre_Maintenance_combine '!A:C,3,FALSE),"Non trouvé")</f>
        <v>Non trouvé</v>
      </c>
      <c r="H1224" t="str">
        <f>IFERROR(VLOOKUP(Logs_reseau[[#This Row],[Cell_ID]],'[1]Registre_Maintenance_combine '!A:D,4,FALSE),"Non trouvé")</f>
        <v>Non trouvé</v>
      </c>
      <c r="I1224" t="str">
        <f>IFERROR(VLOOKUP(Logs_reseau[[#This Row],[Cell_ID]],'[1]Registre_Maintenance_combine '!A:E,5,FALSE),"Non trouvé")</f>
        <v>Non trouvé</v>
      </c>
      <c r="J1224" t="str">
        <f>IFERROR(VLOOKUP(Logs_reseau[[#This Row],[Cell_ID]],'[1]Registre_Maintenance_combine '!A:F,6,FALSE),"Non trouvé")</f>
        <v>Non trouvé</v>
      </c>
    </row>
    <row r="1225" spans="1:10" x14ac:dyDescent="0.25">
      <c r="A1225" t="str">
        <f>IFERROR(VLOOKUP(Logs_reseau[[#This Row],[Cell_ID]],'[1]Registre_Maintenance_combine '!A:B,2,FALSE),"Non trouvé")</f>
        <v>Bas-Uele</v>
      </c>
      <c r="B1225" t="s">
        <v>455</v>
      </c>
      <c r="C1225" s="3">
        <v>45202.412499999999</v>
      </c>
      <c r="D1225" s="11">
        <f>Logs_reseau[[#This Row],[Duree_Panne_Min]]/1440</f>
        <v>2.4305555555555556E-2</v>
      </c>
      <c r="E1225">
        <v>35</v>
      </c>
      <c r="F1225" t="s">
        <v>1</v>
      </c>
      <c r="G1225">
        <f>IFERROR(VLOOKUP(Logs_reseau[[#This Row],[Cell_ID]],'[1]Registre_Maintenance_combine '!A:C,3,FALSE),"Non trouvé")</f>
        <v>-6.4197189999999997</v>
      </c>
      <c r="H1225">
        <f>IFERROR(VLOOKUP(Logs_reseau[[#This Row],[Cell_ID]],'[1]Registre_Maintenance_combine '!A:D,4,FALSE),"Non trouvé")</f>
        <v>22.287264</v>
      </c>
      <c r="I1225" t="str">
        <f>IFERROR(VLOOKUP(Logs_reseau[[#This Row],[Cell_ID]],'[1]Registre_Maintenance_combine '!A:E,5,FALSE),"Non trouvé")</f>
        <v>3G</v>
      </c>
      <c r="J1225" t="str">
        <f>IFERROR(VLOOKUP(Logs_reseau[[#This Row],[Cell_ID]],'[1]Registre_Maintenance_combine '!A:F,6,FALSE),"Non trouvé")</f>
        <v>Ericsson</v>
      </c>
    </row>
    <row r="1226" spans="1:10" x14ac:dyDescent="0.25">
      <c r="A1226" t="str">
        <f>IFERROR(VLOOKUP(Logs_reseau[[#This Row],[Cell_ID]],'[1]Registre_Maintenance_combine '!A:B,2,FALSE),"Non trouvé")</f>
        <v>Sud-Kivu</v>
      </c>
      <c r="B1226" t="s">
        <v>87</v>
      </c>
      <c r="C1226" s="3">
        <v>45225.147222222222</v>
      </c>
      <c r="D1226" s="11">
        <f>Logs_reseau[[#This Row],[Duree_Panne_Min]]/1440</f>
        <v>3.0555555555555555E-2</v>
      </c>
      <c r="E1226">
        <v>44</v>
      </c>
      <c r="F1226" t="s">
        <v>1</v>
      </c>
      <c r="G1226">
        <f>IFERROR(VLOOKUP(Logs_reseau[[#This Row],[Cell_ID]],'[1]Registre_Maintenance_combine '!A:C,3,FALSE),"Non trouvé")</f>
        <v>4.2904629999999999</v>
      </c>
      <c r="H1226">
        <f>IFERROR(VLOOKUP(Logs_reseau[[#This Row],[Cell_ID]],'[1]Registre_Maintenance_combine '!A:D,4,FALSE),"Non trouvé")</f>
        <v>26.354195000000001</v>
      </c>
      <c r="I1226" t="str">
        <f>IFERROR(VLOOKUP(Logs_reseau[[#This Row],[Cell_ID]],'[1]Registre_Maintenance_combine '!A:E,5,FALSE),"Non trouvé")</f>
        <v>3G</v>
      </c>
      <c r="J1226" t="str">
        <f>IFERROR(VLOOKUP(Logs_reseau[[#This Row],[Cell_ID]],'[1]Registre_Maintenance_combine '!A:F,6,FALSE),"Non trouvé")</f>
        <v>Ericsson</v>
      </c>
    </row>
    <row r="1227" spans="1:10" x14ac:dyDescent="0.25">
      <c r="A1227" t="str">
        <f>IFERROR(VLOOKUP(Logs_reseau[[#This Row],[Cell_ID]],'[1]Registre_Maintenance_combine '!A:B,2,FALSE),"Non trouvé")</f>
        <v>Non trouvé</v>
      </c>
      <c r="B1227" t="s">
        <v>398</v>
      </c>
      <c r="C1227" s="3">
        <v>45207.379861111112</v>
      </c>
      <c r="D1227" s="11">
        <f>Logs_reseau[[#This Row],[Duree_Panne_Min]]/1440</f>
        <v>8.1944444444444445E-2</v>
      </c>
      <c r="E1227">
        <v>118</v>
      </c>
      <c r="F1227" t="s">
        <v>4</v>
      </c>
      <c r="G1227" t="str">
        <f>IFERROR(VLOOKUP(Logs_reseau[[#This Row],[Cell_ID]],'[1]Registre_Maintenance_combine '!A:C,3,FALSE),"Non trouvé")</f>
        <v>Non trouvé</v>
      </c>
      <c r="H1227" t="str">
        <f>IFERROR(VLOOKUP(Logs_reseau[[#This Row],[Cell_ID]],'[1]Registre_Maintenance_combine '!A:D,4,FALSE),"Non trouvé")</f>
        <v>Non trouvé</v>
      </c>
      <c r="I1227" t="str">
        <f>IFERROR(VLOOKUP(Logs_reseau[[#This Row],[Cell_ID]],'[1]Registre_Maintenance_combine '!A:E,5,FALSE),"Non trouvé")</f>
        <v>Non trouvé</v>
      </c>
      <c r="J1227" t="str">
        <f>IFERROR(VLOOKUP(Logs_reseau[[#This Row],[Cell_ID]],'[1]Registre_Maintenance_combine '!A:F,6,FALSE),"Non trouvé")</f>
        <v>Non trouvé</v>
      </c>
    </row>
    <row r="1228" spans="1:10" x14ac:dyDescent="0.25">
      <c r="A1228" t="str">
        <f>IFERROR(VLOOKUP(Logs_reseau[[#This Row],[Cell_ID]],'[1]Registre_Maintenance_combine '!A:B,2,FALSE),"Non trouvé")</f>
        <v>Non trouvé</v>
      </c>
      <c r="B1228" t="s">
        <v>456</v>
      </c>
      <c r="C1228" s="3">
        <v>45201.30972222222</v>
      </c>
      <c r="D1228" s="11">
        <f>Logs_reseau[[#This Row],[Duree_Panne_Min]]/1440</f>
        <v>3.888888888888889E-2</v>
      </c>
      <c r="E1228">
        <v>56</v>
      </c>
      <c r="F1228" t="s">
        <v>4</v>
      </c>
      <c r="G1228" t="str">
        <f>IFERROR(VLOOKUP(Logs_reseau[[#This Row],[Cell_ID]],'[1]Registre_Maintenance_combine '!A:C,3,FALSE),"Non trouvé")</f>
        <v>Non trouvé</v>
      </c>
      <c r="H1228" t="str">
        <f>IFERROR(VLOOKUP(Logs_reseau[[#This Row],[Cell_ID]],'[1]Registre_Maintenance_combine '!A:D,4,FALSE),"Non trouvé")</f>
        <v>Non trouvé</v>
      </c>
      <c r="I1228" t="str">
        <f>IFERROR(VLOOKUP(Logs_reseau[[#This Row],[Cell_ID]],'[1]Registre_Maintenance_combine '!A:E,5,FALSE),"Non trouvé")</f>
        <v>Non trouvé</v>
      </c>
      <c r="J1228" t="str">
        <f>IFERROR(VLOOKUP(Logs_reseau[[#This Row],[Cell_ID]],'[1]Registre_Maintenance_combine '!A:F,6,FALSE),"Non trouvé")</f>
        <v>Non trouvé</v>
      </c>
    </row>
    <row r="1229" spans="1:10" x14ac:dyDescent="0.25">
      <c r="A1229" t="str">
        <f>IFERROR(VLOOKUP(Logs_reseau[[#This Row],[Cell_ID]],'[1]Registre_Maintenance_combine '!A:B,2,FALSE),"Non trouvé")</f>
        <v>Kwilu</v>
      </c>
      <c r="B1229" t="s">
        <v>457</v>
      </c>
      <c r="C1229" s="3">
        <v>45220.811805555553</v>
      </c>
      <c r="D1229" s="11">
        <f>Logs_reseau[[#This Row],[Duree_Panne_Min]]/1440</f>
        <v>6.9444444444444448E-2</v>
      </c>
      <c r="E1229">
        <v>100</v>
      </c>
      <c r="F1229" t="s">
        <v>4</v>
      </c>
      <c r="G1229">
        <f>IFERROR(VLOOKUP(Logs_reseau[[#This Row],[Cell_ID]],'[1]Registre_Maintenance_combine '!A:C,3,FALSE),"Non trouvé")</f>
        <v>-0.98830399999999996</v>
      </c>
      <c r="H1229">
        <f>IFERROR(VLOOKUP(Logs_reseau[[#This Row],[Cell_ID]],'[1]Registre_Maintenance_combine '!A:D,4,FALSE),"Non trouvé")</f>
        <v>28.099966999999999</v>
      </c>
      <c r="I1229" t="str">
        <f>IFERROR(VLOOKUP(Logs_reseau[[#This Row],[Cell_ID]],'[1]Registre_Maintenance_combine '!A:E,5,FALSE),"Non trouvé")</f>
        <v>3G</v>
      </c>
      <c r="J1229" t="str">
        <f>IFERROR(VLOOKUP(Logs_reseau[[#This Row],[Cell_ID]],'[1]Registre_Maintenance_combine '!A:F,6,FALSE),"Non trouvé")</f>
        <v>Huawei</v>
      </c>
    </row>
    <row r="1230" spans="1:10" x14ac:dyDescent="0.25">
      <c r="A1230" t="str">
        <f>IFERROR(VLOOKUP(Logs_reseau[[#This Row],[Cell_ID]],'[1]Registre_Maintenance_combine '!A:B,2,FALSE),"Non trouvé")</f>
        <v>Nord-Kivu</v>
      </c>
      <c r="B1230" t="s">
        <v>45</v>
      </c>
      <c r="C1230" s="3">
        <v>45202.161805555559</v>
      </c>
      <c r="D1230" s="11">
        <f>Logs_reseau[[#This Row],[Duree_Panne_Min]]/1440</f>
        <v>4.2361111111111113E-2</v>
      </c>
      <c r="E1230">
        <v>61</v>
      </c>
      <c r="F1230" t="s">
        <v>2</v>
      </c>
      <c r="G1230">
        <f>IFERROR(VLOOKUP(Logs_reseau[[#This Row],[Cell_ID]],'[1]Registre_Maintenance_combine '!A:C,3,FALSE),"Non trouvé")</f>
        <v>-6.5529849999999996</v>
      </c>
      <c r="H1230">
        <f>IFERROR(VLOOKUP(Logs_reseau[[#This Row],[Cell_ID]],'[1]Registre_Maintenance_combine '!A:D,4,FALSE),"Non trouvé")</f>
        <v>21.990606</v>
      </c>
      <c r="I1230" t="str">
        <f>IFERROR(VLOOKUP(Logs_reseau[[#This Row],[Cell_ID]],'[1]Registre_Maintenance_combine '!A:E,5,FALSE),"Non trouvé")</f>
        <v>3G</v>
      </c>
      <c r="J1230" t="str">
        <f>IFERROR(VLOOKUP(Logs_reseau[[#This Row],[Cell_ID]],'[1]Registre_Maintenance_combine '!A:F,6,FALSE),"Non trouvé")</f>
        <v>Huawei</v>
      </c>
    </row>
    <row r="1231" spans="1:10" x14ac:dyDescent="0.25">
      <c r="A1231" t="str">
        <f>IFERROR(VLOOKUP(Logs_reseau[[#This Row],[Cell_ID]],'[1]Registre_Maintenance_combine '!A:B,2,FALSE),"Non trouvé")</f>
        <v>Sud-Kivu</v>
      </c>
      <c r="B1231" t="s">
        <v>458</v>
      </c>
      <c r="C1231" s="3">
        <v>45228.651388888888</v>
      </c>
      <c r="D1231" s="11">
        <f>Logs_reseau[[#This Row],[Duree_Panne_Min]]/1440</f>
        <v>8.2638888888888887E-2</v>
      </c>
      <c r="E1231">
        <v>119</v>
      </c>
      <c r="F1231" t="s">
        <v>1</v>
      </c>
      <c r="G1231">
        <f>IFERROR(VLOOKUP(Logs_reseau[[#This Row],[Cell_ID]],'[1]Registre_Maintenance_combine '!A:C,3,FALSE),"Non trouvé")</f>
        <v>2.453036</v>
      </c>
      <c r="H1231">
        <f>IFERROR(VLOOKUP(Logs_reseau[[#This Row],[Cell_ID]],'[1]Registre_Maintenance_combine '!A:D,4,FALSE),"Non trouvé")</f>
        <v>20.555484</v>
      </c>
      <c r="I1231" t="str">
        <f>IFERROR(VLOOKUP(Logs_reseau[[#This Row],[Cell_ID]],'[1]Registre_Maintenance_combine '!A:E,5,FALSE),"Non trouvé")</f>
        <v>5G</v>
      </c>
      <c r="J1231" t="str">
        <f>IFERROR(VLOOKUP(Logs_reseau[[#This Row],[Cell_ID]],'[1]Registre_Maintenance_combine '!A:F,6,FALSE),"Non trouvé")</f>
        <v>Ericsson</v>
      </c>
    </row>
    <row r="1232" spans="1:10" x14ac:dyDescent="0.25">
      <c r="A1232" t="str">
        <f>IFERROR(VLOOKUP(Logs_reseau[[#This Row],[Cell_ID]],'[1]Registre_Maintenance_combine '!A:B,2,FALSE),"Non trouvé")</f>
        <v>Non trouvé</v>
      </c>
      <c r="B1232" t="s">
        <v>346</v>
      </c>
      <c r="C1232" s="3">
        <v>45217.027777777781</v>
      </c>
      <c r="D1232" s="11">
        <f>Logs_reseau[[#This Row],[Duree_Panne_Min]]/1440</f>
        <v>3.7499999999999999E-2</v>
      </c>
      <c r="E1232">
        <v>54</v>
      </c>
      <c r="F1232" t="s">
        <v>2</v>
      </c>
      <c r="G1232" t="str">
        <f>IFERROR(VLOOKUP(Logs_reseau[[#This Row],[Cell_ID]],'[1]Registre_Maintenance_combine '!A:C,3,FALSE),"Non trouvé")</f>
        <v>Non trouvé</v>
      </c>
      <c r="H1232" t="str">
        <f>IFERROR(VLOOKUP(Logs_reseau[[#This Row],[Cell_ID]],'[1]Registre_Maintenance_combine '!A:D,4,FALSE),"Non trouvé")</f>
        <v>Non trouvé</v>
      </c>
      <c r="I1232" t="str">
        <f>IFERROR(VLOOKUP(Logs_reseau[[#This Row],[Cell_ID]],'[1]Registre_Maintenance_combine '!A:E,5,FALSE),"Non trouvé")</f>
        <v>Non trouvé</v>
      </c>
      <c r="J1232" t="str">
        <f>IFERROR(VLOOKUP(Logs_reseau[[#This Row],[Cell_ID]],'[1]Registre_Maintenance_combine '!A:F,6,FALSE),"Non trouvé")</f>
        <v>Non trouvé</v>
      </c>
    </row>
    <row r="1233" spans="1:10" x14ac:dyDescent="0.25">
      <c r="A1233" t="str">
        <f>IFERROR(VLOOKUP(Logs_reseau[[#This Row],[Cell_ID]],'[1]Registre_Maintenance_combine '!A:B,2,FALSE),"Non trouvé")</f>
        <v>Ituri</v>
      </c>
      <c r="B1233" t="s">
        <v>459</v>
      </c>
      <c r="C1233" s="3">
        <v>45216.760416666664</v>
      </c>
      <c r="D1233" s="11">
        <f>Logs_reseau[[#This Row],[Duree_Panne_Min]]/1440</f>
        <v>3.3333333333333333E-2</v>
      </c>
      <c r="E1233">
        <v>48</v>
      </c>
      <c r="F1233" t="s">
        <v>1</v>
      </c>
      <c r="G1233">
        <f>IFERROR(VLOOKUP(Logs_reseau[[#This Row],[Cell_ID]],'[1]Registre_Maintenance_combine '!A:C,3,FALSE),"Non trouvé")</f>
        <v>-11.002602</v>
      </c>
      <c r="H1233">
        <f>IFERROR(VLOOKUP(Logs_reseau[[#This Row],[Cell_ID]],'[1]Registre_Maintenance_combine '!A:D,4,FALSE),"Non trouvé")</f>
        <v>23.918247999999998</v>
      </c>
      <c r="I1233" t="str">
        <f>IFERROR(VLOOKUP(Logs_reseau[[#This Row],[Cell_ID]],'[1]Registre_Maintenance_combine '!A:E,5,FALSE),"Non trouvé")</f>
        <v>5G</v>
      </c>
      <c r="J1233" t="str">
        <f>IFERROR(VLOOKUP(Logs_reseau[[#This Row],[Cell_ID]],'[1]Registre_Maintenance_combine '!A:F,6,FALSE),"Non trouvé")</f>
        <v>ZTE</v>
      </c>
    </row>
    <row r="1234" spans="1:10" x14ac:dyDescent="0.25">
      <c r="A1234" t="str">
        <f>IFERROR(VLOOKUP(Logs_reseau[[#This Row],[Cell_ID]],'[1]Registre_Maintenance_combine '!A:B,2,FALSE),"Non trouvé")</f>
        <v>Kinshasa</v>
      </c>
      <c r="B1234" t="s">
        <v>460</v>
      </c>
      <c r="C1234" s="3">
        <v>45222.179166666669</v>
      </c>
      <c r="D1234" s="11">
        <f>Logs_reseau[[#This Row],[Duree_Panne_Min]]/1440</f>
        <v>1.9444444444444445E-2</v>
      </c>
      <c r="E1234">
        <v>28</v>
      </c>
      <c r="F1234" t="s">
        <v>2</v>
      </c>
      <c r="G1234">
        <f>IFERROR(VLOOKUP(Logs_reseau[[#This Row],[Cell_ID]],'[1]Registre_Maintenance_combine '!A:C,3,FALSE),"Non trouvé")</f>
        <v>-0.90854400000000002</v>
      </c>
      <c r="H1234">
        <f>IFERROR(VLOOKUP(Logs_reseau[[#This Row],[Cell_ID]],'[1]Registre_Maintenance_combine '!A:D,4,FALSE),"Non trouvé")</f>
        <v>17.154896999999998</v>
      </c>
      <c r="I1234" t="str">
        <f>IFERROR(VLOOKUP(Logs_reseau[[#This Row],[Cell_ID]],'[1]Registre_Maintenance_combine '!A:E,5,FALSE),"Non trouvé")</f>
        <v>3G</v>
      </c>
      <c r="J1234" t="str">
        <f>IFERROR(VLOOKUP(Logs_reseau[[#This Row],[Cell_ID]],'[1]Registre_Maintenance_combine '!A:F,6,FALSE),"Non trouvé")</f>
        <v>Huawei</v>
      </c>
    </row>
    <row r="1235" spans="1:10" x14ac:dyDescent="0.25">
      <c r="A1235" t="str">
        <f>IFERROR(VLOOKUP(Logs_reseau[[#This Row],[Cell_ID]],'[1]Registre_Maintenance_combine '!A:B,2,FALSE),"Non trouvé")</f>
        <v>Kwango</v>
      </c>
      <c r="B1235" t="s">
        <v>461</v>
      </c>
      <c r="C1235" s="3">
        <v>45213.027083333334</v>
      </c>
      <c r="D1235" s="11">
        <f>Logs_reseau[[#This Row],[Duree_Panne_Min]]/1440</f>
        <v>4.7222222222222221E-2</v>
      </c>
      <c r="E1235">
        <v>68</v>
      </c>
      <c r="F1235" t="s">
        <v>4</v>
      </c>
      <c r="G1235">
        <f>IFERROR(VLOOKUP(Logs_reseau[[#This Row],[Cell_ID]],'[1]Registre_Maintenance_combine '!A:C,3,FALSE),"Non trouvé")</f>
        <v>-8.1210620000000002</v>
      </c>
      <c r="H1235">
        <f>IFERROR(VLOOKUP(Logs_reseau[[#This Row],[Cell_ID]],'[1]Registre_Maintenance_combine '!A:D,4,FALSE),"Non trouvé")</f>
        <v>21.094390000000001</v>
      </c>
      <c r="I1235" t="str">
        <f>IFERROR(VLOOKUP(Logs_reseau[[#This Row],[Cell_ID]],'[1]Registre_Maintenance_combine '!A:E,5,FALSE),"Non trouvé")</f>
        <v>5G</v>
      </c>
      <c r="J1235" t="str">
        <f>IFERROR(VLOOKUP(Logs_reseau[[#This Row],[Cell_ID]],'[1]Registre_Maintenance_combine '!A:F,6,FALSE),"Non trouvé")</f>
        <v>ZTE</v>
      </c>
    </row>
    <row r="1236" spans="1:10" x14ac:dyDescent="0.25">
      <c r="A1236" t="str">
        <f>IFERROR(VLOOKUP(Logs_reseau[[#This Row],[Cell_ID]],'[1]Registre_Maintenance_combine '!A:B,2,FALSE),"Non trouvé")</f>
        <v>Lualaba</v>
      </c>
      <c r="B1236" t="s">
        <v>462</v>
      </c>
      <c r="C1236" s="3">
        <v>45211.316666666666</v>
      </c>
      <c r="D1236" s="11">
        <f>Logs_reseau[[#This Row],[Duree_Panne_Min]]/1440</f>
        <v>6.458333333333334E-2</v>
      </c>
      <c r="E1236">
        <v>93</v>
      </c>
      <c r="F1236" t="s">
        <v>4</v>
      </c>
      <c r="G1236">
        <f>IFERROR(VLOOKUP(Logs_reseau[[#This Row],[Cell_ID]],'[1]Registre_Maintenance_combine '!A:C,3,FALSE),"Non trouvé")</f>
        <v>1.286548</v>
      </c>
      <c r="H1236">
        <f>IFERROR(VLOOKUP(Logs_reseau[[#This Row],[Cell_ID]],'[1]Registre_Maintenance_combine '!A:D,4,FALSE),"Non trouvé")</f>
        <v>29.823702999999998</v>
      </c>
      <c r="I1236" t="str">
        <f>IFERROR(VLOOKUP(Logs_reseau[[#This Row],[Cell_ID]],'[1]Registre_Maintenance_combine '!A:E,5,FALSE),"Non trouvé")</f>
        <v>4G</v>
      </c>
      <c r="J1236" t="str">
        <f>IFERROR(VLOOKUP(Logs_reseau[[#This Row],[Cell_ID]],'[1]Registre_Maintenance_combine '!A:F,6,FALSE),"Non trouvé")</f>
        <v>ZTE</v>
      </c>
    </row>
    <row r="1237" spans="1:10" x14ac:dyDescent="0.25">
      <c r="A1237" t="str">
        <f>IFERROR(VLOOKUP(Logs_reseau[[#This Row],[Cell_ID]],'[1]Registre_Maintenance_combine '!A:B,2,FALSE),"Non trouvé")</f>
        <v>Nord-Kivu</v>
      </c>
      <c r="B1237" t="s">
        <v>299</v>
      </c>
      <c r="C1237" s="3">
        <v>45213.237500000003</v>
      </c>
      <c r="D1237" s="11">
        <f>Logs_reseau[[#This Row],[Duree_Panne_Min]]/1440</f>
        <v>4.7222222222222221E-2</v>
      </c>
      <c r="E1237">
        <v>68</v>
      </c>
      <c r="F1237" t="s">
        <v>4</v>
      </c>
      <c r="G1237">
        <f>IFERROR(VLOOKUP(Logs_reseau[[#This Row],[Cell_ID]],'[1]Registre_Maintenance_combine '!A:C,3,FALSE),"Non trouvé")</f>
        <v>-10.25074</v>
      </c>
      <c r="H1237">
        <f>IFERROR(VLOOKUP(Logs_reseau[[#This Row],[Cell_ID]],'[1]Registre_Maintenance_combine '!A:D,4,FALSE),"Non trouvé")</f>
        <v>26.099086</v>
      </c>
      <c r="I1237" t="str">
        <f>IFERROR(VLOOKUP(Logs_reseau[[#This Row],[Cell_ID]],'[1]Registre_Maintenance_combine '!A:E,5,FALSE),"Non trouvé")</f>
        <v>4G</v>
      </c>
      <c r="J1237" t="str">
        <f>IFERROR(VLOOKUP(Logs_reseau[[#This Row],[Cell_ID]],'[1]Registre_Maintenance_combine '!A:F,6,FALSE),"Non trouvé")</f>
        <v>Huawei</v>
      </c>
    </row>
    <row r="1238" spans="1:10" x14ac:dyDescent="0.25">
      <c r="A1238" t="str">
        <f>IFERROR(VLOOKUP(Logs_reseau[[#This Row],[Cell_ID]],'[1]Registre_Maintenance_combine '!A:B,2,FALSE),"Non trouvé")</f>
        <v>Non trouvé</v>
      </c>
      <c r="B1238" t="s">
        <v>215</v>
      </c>
      <c r="C1238" s="3">
        <v>45221.106249999997</v>
      </c>
      <c r="D1238" s="11">
        <f>Logs_reseau[[#This Row],[Duree_Panne_Min]]/1440</f>
        <v>3.6111111111111108E-2</v>
      </c>
      <c r="E1238">
        <v>52</v>
      </c>
      <c r="F1238" t="s">
        <v>4</v>
      </c>
      <c r="G1238" t="str">
        <f>IFERROR(VLOOKUP(Logs_reseau[[#This Row],[Cell_ID]],'[1]Registre_Maintenance_combine '!A:C,3,FALSE),"Non trouvé")</f>
        <v>Non trouvé</v>
      </c>
      <c r="H1238" t="str">
        <f>IFERROR(VLOOKUP(Logs_reseau[[#This Row],[Cell_ID]],'[1]Registre_Maintenance_combine '!A:D,4,FALSE),"Non trouvé")</f>
        <v>Non trouvé</v>
      </c>
      <c r="I1238" t="str">
        <f>IFERROR(VLOOKUP(Logs_reseau[[#This Row],[Cell_ID]],'[1]Registre_Maintenance_combine '!A:E,5,FALSE),"Non trouvé")</f>
        <v>Non trouvé</v>
      </c>
      <c r="J1238" t="str">
        <f>IFERROR(VLOOKUP(Logs_reseau[[#This Row],[Cell_ID]],'[1]Registre_Maintenance_combine '!A:F,6,FALSE),"Non trouvé")</f>
        <v>Non trouvé</v>
      </c>
    </row>
    <row r="1239" spans="1:10" x14ac:dyDescent="0.25">
      <c r="A1239" t="str">
        <f>IFERROR(VLOOKUP(Logs_reseau[[#This Row],[Cell_ID]],'[1]Registre_Maintenance_combine '!A:B,2,FALSE),"Non trouvé")</f>
        <v>Kasai</v>
      </c>
      <c r="B1239" t="s">
        <v>463</v>
      </c>
      <c r="C1239" s="3">
        <v>45211.106249999997</v>
      </c>
      <c r="D1239" s="11">
        <f>Logs_reseau[[#This Row],[Duree_Panne_Min]]/1440</f>
        <v>7.4305555555555555E-2</v>
      </c>
      <c r="E1239">
        <v>107</v>
      </c>
      <c r="F1239" t="s">
        <v>1</v>
      </c>
      <c r="G1239">
        <f>IFERROR(VLOOKUP(Logs_reseau[[#This Row],[Cell_ID]],'[1]Registre_Maintenance_combine '!A:C,3,FALSE),"Non trouvé")</f>
        <v>-5.125</v>
      </c>
      <c r="H1239">
        <f>IFERROR(VLOOKUP(Logs_reseau[[#This Row],[Cell_ID]],'[1]Registre_Maintenance_combine '!A:D,4,FALSE),"Non trouvé")</f>
        <v>23.513119</v>
      </c>
      <c r="I1239" t="str">
        <f>IFERROR(VLOOKUP(Logs_reseau[[#This Row],[Cell_ID]],'[1]Registre_Maintenance_combine '!A:E,5,FALSE),"Non trouvé")</f>
        <v>5G</v>
      </c>
      <c r="J1239" t="str">
        <f>IFERROR(VLOOKUP(Logs_reseau[[#This Row],[Cell_ID]],'[1]Registre_Maintenance_combine '!A:F,6,FALSE),"Non trouvé")</f>
        <v>Huawei</v>
      </c>
    </row>
    <row r="1240" spans="1:10" x14ac:dyDescent="0.25">
      <c r="A1240" t="str">
        <f>IFERROR(VLOOKUP(Logs_reseau[[#This Row],[Cell_ID]],'[1]Registre_Maintenance_combine '!A:B,2,FALSE),"Non trouvé")</f>
        <v>Non trouvé</v>
      </c>
      <c r="B1240" t="s">
        <v>310</v>
      </c>
      <c r="C1240" s="3">
        <v>45217.701388888891</v>
      </c>
      <c r="D1240" s="11">
        <f>Logs_reseau[[#This Row],[Duree_Panne_Min]]/1440</f>
        <v>4.9305555555555554E-2</v>
      </c>
      <c r="E1240">
        <v>71</v>
      </c>
      <c r="F1240" t="s">
        <v>2</v>
      </c>
      <c r="G1240" t="str">
        <f>IFERROR(VLOOKUP(Logs_reseau[[#This Row],[Cell_ID]],'[1]Registre_Maintenance_combine '!A:C,3,FALSE),"Non trouvé")</f>
        <v>Non trouvé</v>
      </c>
      <c r="H1240" t="str">
        <f>IFERROR(VLOOKUP(Logs_reseau[[#This Row],[Cell_ID]],'[1]Registre_Maintenance_combine '!A:D,4,FALSE),"Non trouvé")</f>
        <v>Non trouvé</v>
      </c>
      <c r="I1240" t="str">
        <f>IFERROR(VLOOKUP(Logs_reseau[[#This Row],[Cell_ID]],'[1]Registre_Maintenance_combine '!A:E,5,FALSE),"Non trouvé")</f>
        <v>Non trouvé</v>
      </c>
      <c r="J1240" t="str">
        <f>IFERROR(VLOOKUP(Logs_reseau[[#This Row],[Cell_ID]],'[1]Registre_Maintenance_combine '!A:F,6,FALSE),"Non trouvé")</f>
        <v>Non trouvé</v>
      </c>
    </row>
    <row r="1241" spans="1:10" x14ac:dyDescent="0.25">
      <c r="A1241" t="str">
        <f>IFERROR(VLOOKUP(Logs_reseau[[#This Row],[Cell_ID]],'[1]Registre_Maintenance_combine '!A:B,2,FALSE),"Non trouvé")</f>
        <v>Ituri</v>
      </c>
      <c r="B1241" t="s">
        <v>60</v>
      </c>
      <c r="C1241" s="3">
        <v>45216.709027777775</v>
      </c>
      <c r="D1241" s="11">
        <f>Logs_reseau[[#This Row],[Duree_Panne_Min]]/1440</f>
        <v>2.7083333333333334E-2</v>
      </c>
      <c r="E1241">
        <v>39</v>
      </c>
      <c r="F1241" t="s">
        <v>1</v>
      </c>
      <c r="G1241">
        <f>IFERROR(VLOOKUP(Logs_reseau[[#This Row],[Cell_ID]],'[1]Registre_Maintenance_combine '!A:C,3,FALSE),"Non trouvé")</f>
        <v>-0.34051900000000002</v>
      </c>
      <c r="H1241">
        <f>IFERROR(VLOOKUP(Logs_reseau[[#This Row],[Cell_ID]],'[1]Registre_Maintenance_combine '!A:D,4,FALSE),"Non trouvé")</f>
        <v>17.079799000000001</v>
      </c>
      <c r="I1241" t="str">
        <f>IFERROR(VLOOKUP(Logs_reseau[[#This Row],[Cell_ID]],'[1]Registre_Maintenance_combine '!A:E,5,FALSE),"Non trouvé")</f>
        <v>5G</v>
      </c>
      <c r="J1241" t="str">
        <f>IFERROR(VLOOKUP(Logs_reseau[[#This Row],[Cell_ID]],'[1]Registre_Maintenance_combine '!A:F,6,FALSE),"Non trouvé")</f>
        <v>Ericsson</v>
      </c>
    </row>
    <row r="1242" spans="1:10" x14ac:dyDescent="0.25">
      <c r="A1242" t="str">
        <f>IFERROR(VLOOKUP(Logs_reseau[[#This Row],[Cell_ID]],'[1]Registre_Maintenance_combine '!A:B,2,FALSE),"Non trouvé")</f>
        <v>Non trouvé</v>
      </c>
      <c r="B1242" t="s">
        <v>78</v>
      </c>
      <c r="C1242" s="3">
        <v>45212.626388888886</v>
      </c>
      <c r="D1242" s="11">
        <f>Logs_reseau[[#This Row],[Duree_Panne_Min]]/1440</f>
        <v>7.4305555555555555E-2</v>
      </c>
      <c r="E1242">
        <v>107</v>
      </c>
      <c r="F1242" t="s">
        <v>2</v>
      </c>
      <c r="G1242" t="str">
        <f>IFERROR(VLOOKUP(Logs_reseau[[#This Row],[Cell_ID]],'[1]Registre_Maintenance_combine '!A:C,3,FALSE),"Non trouvé")</f>
        <v>Non trouvé</v>
      </c>
      <c r="H1242" t="str">
        <f>IFERROR(VLOOKUP(Logs_reseau[[#This Row],[Cell_ID]],'[1]Registre_Maintenance_combine '!A:D,4,FALSE),"Non trouvé")</f>
        <v>Non trouvé</v>
      </c>
      <c r="I1242" t="str">
        <f>IFERROR(VLOOKUP(Logs_reseau[[#This Row],[Cell_ID]],'[1]Registre_Maintenance_combine '!A:E,5,FALSE),"Non trouvé")</f>
        <v>Non trouvé</v>
      </c>
      <c r="J1242" t="str">
        <f>IFERROR(VLOOKUP(Logs_reseau[[#This Row],[Cell_ID]],'[1]Registre_Maintenance_combine '!A:F,6,FALSE),"Non trouvé")</f>
        <v>Non trouvé</v>
      </c>
    </row>
    <row r="1243" spans="1:10" x14ac:dyDescent="0.25">
      <c r="A1243" t="str">
        <f>IFERROR(VLOOKUP(Logs_reseau[[#This Row],[Cell_ID]],'[1]Registre_Maintenance_combine '!A:B,2,FALSE),"Non trouvé")</f>
        <v>Non trouvé</v>
      </c>
      <c r="B1243" t="s">
        <v>464</v>
      </c>
      <c r="C1243" s="3">
        <v>45220.515972222223</v>
      </c>
      <c r="D1243" s="11">
        <f>Logs_reseau[[#This Row],[Duree_Panne_Min]]/1440</f>
        <v>1.0416666666666666E-2</v>
      </c>
      <c r="E1243">
        <v>15</v>
      </c>
      <c r="F1243" t="s">
        <v>4</v>
      </c>
      <c r="G1243" t="str">
        <f>IFERROR(VLOOKUP(Logs_reseau[[#This Row],[Cell_ID]],'[1]Registre_Maintenance_combine '!A:C,3,FALSE),"Non trouvé")</f>
        <v>Non trouvé</v>
      </c>
      <c r="H1243" t="str">
        <f>IFERROR(VLOOKUP(Logs_reseau[[#This Row],[Cell_ID]],'[1]Registre_Maintenance_combine '!A:D,4,FALSE),"Non trouvé")</f>
        <v>Non trouvé</v>
      </c>
      <c r="I1243" t="str">
        <f>IFERROR(VLOOKUP(Logs_reseau[[#This Row],[Cell_ID]],'[1]Registre_Maintenance_combine '!A:E,5,FALSE),"Non trouvé")</f>
        <v>Non trouvé</v>
      </c>
      <c r="J1243" t="str">
        <f>IFERROR(VLOOKUP(Logs_reseau[[#This Row],[Cell_ID]],'[1]Registre_Maintenance_combine '!A:F,6,FALSE),"Non trouvé")</f>
        <v>Non trouvé</v>
      </c>
    </row>
    <row r="1244" spans="1:10" x14ac:dyDescent="0.25">
      <c r="A1244" t="str">
        <f>IFERROR(VLOOKUP(Logs_reseau[[#This Row],[Cell_ID]],'[1]Registre_Maintenance_combine '!A:B,2,FALSE),"Non trouvé")</f>
        <v>Nord-Kivu</v>
      </c>
      <c r="B1244" t="s">
        <v>249</v>
      </c>
      <c r="C1244" s="3">
        <v>45208.959027777775</v>
      </c>
      <c r="D1244" s="11">
        <f>Logs_reseau[[#This Row],[Duree_Panne_Min]]/1440</f>
        <v>6.805555555555555E-2</v>
      </c>
      <c r="E1244">
        <v>98</v>
      </c>
      <c r="F1244" t="s">
        <v>4</v>
      </c>
      <c r="G1244">
        <f>IFERROR(VLOOKUP(Logs_reseau[[#This Row],[Cell_ID]],'[1]Registre_Maintenance_combine '!A:C,3,FALSE),"Non trouvé")</f>
        <v>0.82868600000000003</v>
      </c>
      <c r="H1244">
        <f>IFERROR(VLOOKUP(Logs_reseau[[#This Row],[Cell_ID]],'[1]Registre_Maintenance_combine '!A:D,4,FALSE),"Non trouvé")</f>
        <v>26.958843999999999</v>
      </c>
      <c r="I1244" t="str">
        <f>IFERROR(VLOOKUP(Logs_reseau[[#This Row],[Cell_ID]],'[1]Registre_Maintenance_combine '!A:E,5,FALSE),"Non trouvé")</f>
        <v>5G</v>
      </c>
      <c r="J1244" t="str">
        <f>IFERROR(VLOOKUP(Logs_reseau[[#This Row],[Cell_ID]],'[1]Registre_Maintenance_combine '!A:F,6,FALSE),"Non trouvé")</f>
        <v>ZTE</v>
      </c>
    </row>
    <row r="1245" spans="1:10" x14ac:dyDescent="0.25">
      <c r="A1245" t="str">
        <f>IFERROR(VLOOKUP(Logs_reseau[[#This Row],[Cell_ID]],'[1]Registre_Maintenance_combine '!A:B,2,FALSE),"Non trouvé")</f>
        <v>Sud-Ubangi</v>
      </c>
      <c r="B1245" t="s">
        <v>465</v>
      </c>
      <c r="C1245" s="3">
        <v>45211.098611111112</v>
      </c>
      <c r="D1245" s="11">
        <f>Logs_reseau[[#This Row],[Duree_Panne_Min]]/1440</f>
        <v>4.0972222222222222E-2</v>
      </c>
      <c r="E1245">
        <v>59</v>
      </c>
      <c r="F1245" t="s">
        <v>4</v>
      </c>
      <c r="G1245">
        <f>IFERROR(VLOOKUP(Logs_reseau[[#This Row],[Cell_ID]],'[1]Registre_Maintenance_combine '!A:C,3,FALSE),"Non trouvé")</f>
        <v>-11.387295999999999</v>
      </c>
      <c r="H1245">
        <f>IFERROR(VLOOKUP(Logs_reseau[[#This Row],[Cell_ID]],'[1]Registre_Maintenance_combine '!A:D,4,FALSE),"Non trouvé")</f>
        <v>19.384257999999999</v>
      </c>
      <c r="I1245" t="str">
        <f>IFERROR(VLOOKUP(Logs_reseau[[#This Row],[Cell_ID]],'[1]Registre_Maintenance_combine '!A:E,5,FALSE),"Non trouvé")</f>
        <v>3G</v>
      </c>
      <c r="J1245" t="str">
        <f>IFERROR(VLOOKUP(Logs_reseau[[#This Row],[Cell_ID]],'[1]Registre_Maintenance_combine '!A:F,6,FALSE),"Non trouvé")</f>
        <v>Huawei</v>
      </c>
    </row>
    <row r="1246" spans="1:10" x14ac:dyDescent="0.25">
      <c r="A1246" t="str">
        <f>IFERROR(VLOOKUP(Logs_reseau[[#This Row],[Cell_ID]],'[1]Registre_Maintenance_combine '!A:B,2,FALSE),"Non trouvé")</f>
        <v>Kwango</v>
      </c>
      <c r="B1246" t="s">
        <v>466</v>
      </c>
      <c r="C1246" s="3">
        <v>45207.987500000003</v>
      </c>
      <c r="D1246" s="11">
        <f>Logs_reseau[[#This Row],[Duree_Panne_Min]]/1440</f>
        <v>1.0416666666666666E-2</v>
      </c>
      <c r="E1246">
        <v>15</v>
      </c>
      <c r="F1246" t="s">
        <v>2</v>
      </c>
      <c r="G1246">
        <f>IFERROR(VLOOKUP(Logs_reseau[[#This Row],[Cell_ID]],'[1]Registre_Maintenance_combine '!A:C,3,FALSE),"Non trouvé")</f>
        <v>-9.0798120000000004</v>
      </c>
      <c r="H1246">
        <f>IFERROR(VLOOKUP(Logs_reseau[[#This Row],[Cell_ID]],'[1]Registre_Maintenance_combine '!A:D,4,FALSE),"Non trouvé")</f>
        <v>14.945484</v>
      </c>
      <c r="I1246" t="str">
        <f>IFERROR(VLOOKUP(Logs_reseau[[#This Row],[Cell_ID]],'[1]Registre_Maintenance_combine '!A:E,5,FALSE),"Non trouvé")</f>
        <v>5G</v>
      </c>
      <c r="J1246" t="str">
        <f>IFERROR(VLOOKUP(Logs_reseau[[#This Row],[Cell_ID]],'[1]Registre_Maintenance_combine '!A:F,6,FALSE),"Non trouvé")</f>
        <v>Ericsson</v>
      </c>
    </row>
    <row r="1247" spans="1:10" x14ac:dyDescent="0.25">
      <c r="A1247" t="str">
        <f>IFERROR(VLOOKUP(Logs_reseau[[#This Row],[Cell_ID]],'[1]Registre_Maintenance_combine '!A:B,2,FALSE),"Non trouvé")</f>
        <v>Tshopo</v>
      </c>
      <c r="B1247" t="s">
        <v>467</v>
      </c>
      <c r="C1247" s="3">
        <v>45220.15902777778</v>
      </c>
      <c r="D1247" s="11">
        <f>Logs_reseau[[#This Row],[Duree_Panne_Min]]/1440</f>
        <v>4.1666666666666664E-2</v>
      </c>
      <c r="E1247">
        <v>60</v>
      </c>
      <c r="F1247" t="s">
        <v>4</v>
      </c>
      <c r="G1247">
        <f>IFERROR(VLOOKUP(Logs_reseau[[#This Row],[Cell_ID]],'[1]Registre_Maintenance_combine '!A:C,3,FALSE),"Non trouvé")</f>
        <v>-9.4133639999999996</v>
      </c>
      <c r="H1247">
        <f>IFERROR(VLOOKUP(Logs_reseau[[#This Row],[Cell_ID]],'[1]Registre_Maintenance_combine '!A:D,4,FALSE),"Non trouvé")</f>
        <v>15.682482</v>
      </c>
      <c r="I1247" t="str">
        <f>IFERROR(VLOOKUP(Logs_reseau[[#This Row],[Cell_ID]],'[1]Registre_Maintenance_combine '!A:E,5,FALSE),"Non trouvé")</f>
        <v>4G</v>
      </c>
      <c r="J1247" t="str">
        <f>IFERROR(VLOOKUP(Logs_reseau[[#This Row],[Cell_ID]],'[1]Registre_Maintenance_combine '!A:F,6,FALSE),"Non trouvé")</f>
        <v>Huawei</v>
      </c>
    </row>
    <row r="1248" spans="1:10" x14ac:dyDescent="0.25">
      <c r="A1248" t="str">
        <f>IFERROR(VLOOKUP(Logs_reseau[[#This Row],[Cell_ID]],'[1]Registre_Maintenance_combine '!A:B,2,FALSE),"Non trouvé")</f>
        <v>Ituri</v>
      </c>
      <c r="B1248" t="s">
        <v>413</v>
      </c>
      <c r="C1248" s="3">
        <v>45218.991666666669</v>
      </c>
      <c r="D1248" s="11">
        <f>Logs_reseau[[#This Row],[Duree_Panne_Min]]/1440</f>
        <v>5.6944444444444443E-2</v>
      </c>
      <c r="E1248">
        <v>82</v>
      </c>
      <c r="F1248" t="s">
        <v>1</v>
      </c>
      <c r="G1248">
        <f>IFERROR(VLOOKUP(Logs_reseau[[#This Row],[Cell_ID]],'[1]Registre_Maintenance_combine '!A:C,3,FALSE),"Non trouvé")</f>
        <v>-3.7720639999999999</v>
      </c>
      <c r="H1248">
        <f>IFERROR(VLOOKUP(Logs_reseau[[#This Row],[Cell_ID]],'[1]Registre_Maintenance_combine '!A:D,4,FALSE),"Non trouvé")</f>
        <v>16.006277999999998</v>
      </c>
      <c r="I1248" t="str">
        <f>IFERROR(VLOOKUP(Logs_reseau[[#This Row],[Cell_ID]],'[1]Registre_Maintenance_combine '!A:E,5,FALSE),"Non trouvé")</f>
        <v>5G</v>
      </c>
      <c r="J1248" t="str">
        <f>IFERROR(VLOOKUP(Logs_reseau[[#This Row],[Cell_ID]],'[1]Registre_Maintenance_combine '!A:F,6,FALSE),"Non trouvé")</f>
        <v>ZTE</v>
      </c>
    </row>
    <row r="1249" spans="1:10" x14ac:dyDescent="0.25">
      <c r="A1249" t="str">
        <f>IFERROR(VLOOKUP(Logs_reseau[[#This Row],[Cell_ID]],'[1]Registre_Maintenance_combine '!A:B,2,FALSE),"Non trouvé")</f>
        <v>Tanganyika</v>
      </c>
      <c r="B1249" t="s">
        <v>468</v>
      </c>
      <c r="C1249" s="3">
        <v>45210.168055555558</v>
      </c>
      <c r="D1249" s="11">
        <f>Logs_reseau[[#This Row],[Duree_Panne_Min]]/1440</f>
        <v>7.6388888888888895E-2</v>
      </c>
      <c r="E1249">
        <v>110</v>
      </c>
      <c r="F1249" t="s">
        <v>1</v>
      </c>
      <c r="G1249">
        <f>IFERROR(VLOOKUP(Logs_reseau[[#This Row],[Cell_ID]],'[1]Registre_Maintenance_combine '!A:C,3,FALSE),"Non trouvé")</f>
        <v>-9.9565739999999998</v>
      </c>
      <c r="H1249">
        <f>IFERROR(VLOOKUP(Logs_reseau[[#This Row],[Cell_ID]],'[1]Registre_Maintenance_combine '!A:D,4,FALSE),"Non trouvé")</f>
        <v>21.017202000000001</v>
      </c>
      <c r="I1249" t="str">
        <f>IFERROR(VLOOKUP(Logs_reseau[[#This Row],[Cell_ID]],'[1]Registre_Maintenance_combine '!A:E,5,FALSE),"Non trouvé")</f>
        <v>4G</v>
      </c>
      <c r="J1249" t="str">
        <f>IFERROR(VLOOKUP(Logs_reseau[[#This Row],[Cell_ID]],'[1]Registre_Maintenance_combine '!A:F,6,FALSE),"Non trouvé")</f>
        <v>Huawei</v>
      </c>
    </row>
    <row r="1250" spans="1:10" x14ac:dyDescent="0.25">
      <c r="A1250" t="str">
        <f>IFERROR(VLOOKUP(Logs_reseau[[#This Row],[Cell_ID]],'[1]Registre_Maintenance_combine '!A:B,2,FALSE),"Non trouvé")</f>
        <v>Haut-Uele</v>
      </c>
      <c r="B1250" t="s">
        <v>469</v>
      </c>
      <c r="C1250" s="3">
        <v>45211.722916666666</v>
      </c>
      <c r="D1250" s="11">
        <f>Logs_reseau[[#This Row],[Duree_Panne_Min]]/1440</f>
        <v>1.9444444444444445E-2</v>
      </c>
      <c r="E1250">
        <v>28</v>
      </c>
      <c r="F1250" t="s">
        <v>1</v>
      </c>
      <c r="G1250">
        <f>IFERROR(VLOOKUP(Logs_reseau[[#This Row],[Cell_ID]],'[1]Registre_Maintenance_combine '!A:C,3,FALSE),"Non trouvé")</f>
        <v>-6.9624990000000002</v>
      </c>
      <c r="H1250">
        <f>IFERROR(VLOOKUP(Logs_reseau[[#This Row],[Cell_ID]],'[1]Registre_Maintenance_combine '!A:D,4,FALSE),"Non trouvé")</f>
        <v>20.759834999999999</v>
      </c>
      <c r="I1250" t="str">
        <f>IFERROR(VLOOKUP(Logs_reseau[[#This Row],[Cell_ID]],'[1]Registre_Maintenance_combine '!A:E,5,FALSE),"Non trouvé")</f>
        <v>4G</v>
      </c>
      <c r="J1250" t="str">
        <f>IFERROR(VLOOKUP(Logs_reseau[[#This Row],[Cell_ID]],'[1]Registre_Maintenance_combine '!A:F,6,FALSE),"Non trouvé")</f>
        <v>Huawei</v>
      </c>
    </row>
    <row r="1251" spans="1:10" x14ac:dyDescent="0.25">
      <c r="A1251" t="str">
        <f>IFERROR(VLOOKUP(Logs_reseau[[#This Row],[Cell_ID]],'[1]Registre_Maintenance_combine '!A:B,2,FALSE),"Non trouvé")</f>
        <v>Kinshasa</v>
      </c>
      <c r="B1251" t="s">
        <v>163</v>
      </c>
      <c r="C1251" s="3">
        <v>45226.84097222222</v>
      </c>
      <c r="D1251" s="11">
        <f>Logs_reseau[[#This Row],[Duree_Panne_Min]]/1440</f>
        <v>5.1388888888888887E-2</v>
      </c>
      <c r="E1251">
        <v>74</v>
      </c>
      <c r="F1251" t="s">
        <v>2</v>
      </c>
      <c r="G1251">
        <f>IFERROR(VLOOKUP(Logs_reseau[[#This Row],[Cell_ID]],'[1]Registre_Maintenance_combine '!A:C,3,FALSE),"Non trouvé")</f>
        <v>-11.389362</v>
      </c>
      <c r="H1251">
        <f>IFERROR(VLOOKUP(Logs_reseau[[#This Row],[Cell_ID]],'[1]Registre_Maintenance_combine '!A:D,4,FALSE),"Non trouvé")</f>
        <v>22.240174</v>
      </c>
      <c r="I1251" t="str">
        <f>IFERROR(VLOOKUP(Logs_reseau[[#This Row],[Cell_ID]],'[1]Registre_Maintenance_combine '!A:E,5,FALSE),"Non trouvé")</f>
        <v>5G</v>
      </c>
      <c r="J1251" t="str">
        <f>IFERROR(VLOOKUP(Logs_reseau[[#This Row],[Cell_ID]],'[1]Registre_Maintenance_combine '!A:F,6,FALSE),"Non trouvé")</f>
        <v>ZTE</v>
      </c>
    </row>
    <row r="1252" spans="1:10" x14ac:dyDescent="0.25">
      <c r="A1252" t="str">
        <f>IFERROR(VLOOKUP(Logs_reseau[[#This Row],[Cell_ID]],'[1]Registre_Maintenance_combine '!A:B,2,FALSE),"Non trouvé")</f>
        <v>Non trouvé</v>
      </c>
      <c r="B1252" t="s">
        <v>470</v>
      </c>
      <c r="C1252" s="3">
        <v>45226.895138888889</v>
      </c>
      <c r="D1252" s="11">
        <f>Logs_reseau[[#This Row],[Duree_Panne_Min]]/1440</f>
        <v>2.9166666666666667E-2</v>
      </c>
      <c r="E1252">
        <v>42</v>
      </c>
      <c r="F1252" t="s">
        <v>1</v>
      </c>
      <c r="G1252" t="str">
        <f>IFERROR(VLOOKUP(Logs_reseau[[#This Row],[Cell_ID]],'[1]Registre_Maintenance_combine '!A:C,3,FALSE),"Non trouvé")</f>
        <v>Non trouvé</v>
      </c>
      <c r="H1252" t="str">
        <f>IFERROR(VLOOKUP(Logs_reseau[[#This Row],[Cell_ID]],'[1]Registre_Maintenance_combine '!A:D,4,FALSE),"Non trouvé")</f>
        <v>Non trouvé</v>
      </c>
      <c r="I1252" t="str">
        <f>IFERROR(VLOOKUP(Logs_reseau[[#This Row],[Cell_ID]],'[1]Registre_Maintenance_combine '!A:E,5,FALSE),"Non trouvé")</f>
        <v>Non trouvé</v>
      </c>
      <c r="J1252" t="str">
        <f>IFERROR(VLOOKUP(Logs_reseau[[#This Row],[Cell_ID]],'[1]Registre_Maintenance_combine '!A:F,6,FALSE),"Non trouvé")</f>
        <v>Non trouvé</v>
      </c>
    </row>
    <row r="1253" spans="1:10" x14ac:dyDescent="0.25">
      <c r="A1253" t="str">
        <f>IFERROR(VLOOKUP(Logs_reseau[[#This Row],[Cell_ID]],'[1]Registre_Maintenance_combine '!A:B,2,FALSE),"Non trouvé")</f>
        <v>Lomami</v>
      </c>
      <c r="B1253" t="s">
        <v>471</v>
      </c>
      <c r="C1253" s="3">
        <v>45222.652777777781</v>
      </c>
      <c r="D1253" s="11">
        <f>Logs_reseau[[#This Row],[Duree_Panne_Min]]/1440</f>
        <v>3.1944444444444442E-2</v>
      </c>
      <c r="E1253">
        <v>46</v>
      </c>
      <c r="F1253" t="s">
        <v>4</v>
      </c>
      <c r="G1253">
        <f>IFERROR(VLOOKUP(Logs_reseau[[#This Row],[Cell_ID]],'[1]Registre_Maintenance_combine '!A:C,3,FALSE),"Non trouvé")</f>
        <v>-11.266565999999999</v>
      </c>
      <c r="H1253">
        <f>IFERROR(VLOOKUP(Logs_reseau[[#This Row],[Cell_ID]],'[1]Registre_Maintenance_combine '!A:D,4,FALSE),"Non trouvé")</f>
        <v>26.245055000000001</v>
      </c>
      <c r="I1253" t="str">
        <f>IFERROR(VLOOKUP(Logs_reseau[[#This Row],[Cell_ID]],'[1]Registre_Maintenance_combine '!A:E,5,FALSE),"Non trouvé")</f>
        <v>3G</v>
      </c>
      <c r="J1253" t="str">
        <f>IFERROR(VLOOKUP(Logs_reseau[[#This Row],[Cell_ID]],'[1]Registre_Maintenance_combine '!A:F,6,FALSE),"Non trouvé")</f>
        <v>Ericsson</v>
      </c>
    </row>
    <row r="1254" spans="1:10" x14ac:dyDescent="0.25">
      <c r="A1254" t="str">
        <f>IFERROR(VLOOKUP(Logs_reseau[[#This Row],[Cell_ID]],'[1]Registre_Maintenance_combine '!A:B,2,FALSE),"Non trouvé")</f>
        <v>Kasai</v>
      </c>
      <c r="B1254" t="s">
        <v>148</v>
      </c>
      <c r="C1254" s="3">
        <v>45205.169444444444</v>
      </c>
      <c r="D1254" s="11">
        <f>Logs_reseau[[#This Row],[Duree_Panne_Min]]/1440</f>
        <v>1.2500000000000001E-2</v>
      </c>
      <c r="E1254">
        <v>18</v>
      </c>
      <c r="F1254" t="s">
        <v>2</v>
      </c>
      <c r="G1254">
        <f>IFERROR(VLOOKUP(Logs_reseau[[#This Row],[Cell_ID]],'[1]Registre_Maintenance_combine '!A:C,3,FALSE),"Non trouvé")</f>
        <v>4.8689660000000003</v>
      </c>
      <c r="H1254">
        <f>IFERROR(VLOOKUP(Logs_reseau[[#This Row],[Cell_ID]],'[1]Registre_Maintenance_combine '!A:D,4,FALSE),"Non trouvé")</f>
        <v>25.112373000000002</v>
      </c>
      <c r="I1254" t="str">
        <f>IFERROR(VLOOKUP(Logs_reseau[[#This Row],[Cell_ID]],'[1]Registre_Maintenance_combine '!A:E,5,FALSE),"Non trouvé")</f>
        <v>3G</v>
      </c>
      <c r="J1254" t="str">
        <f>IFERROR(VLOOKUP(Logs_reseau[[#This Row],[Cell_ID]],'[1]Registre_Maintenance_combine '!A:F,6,FALSE),"Non trouvé")</f>
        <v>Huawei</v>
      </c>
    </row>
    <row r="1255" spans="1:10" x14ac:dyDescent="0.25">
      <c r="A1255" t="str">
        <f>IFERROR(VLOOKUP(Logs_reseau[[#This Row],[Cell_ID]],'[1]Registre_Maintenance_combine '!A:B,2,FALSE),"Non trouvé")</f>
        <v>Equateur</v>
      </c>
      <c r="B1255" t="s">
        <v>472</v>
      </c>
      <c r="C1255" s="3">
        <v>45222.584722222222</v>
      </c>
      <c r="D1255" s="11">
        <f>Logs_reseau[[#This Row],[Duree_Panne_Min]]/1440</f>
        <v>1.0416666666666666E-2</v>
      </c>
      <c r="E1255">
        <v>15</v>
      </c>
      <c r="F1255" t="s">
        <v>4</v>
      </c>
      <c r="G1255">
        <f>IFERROR(VLOOKUP(Logs_reseau[[#This Row],[Cell_ID]],'[1]Registre_Maintenance_combine '!A:C,3,FALSE),"Non trouvé")</f>
        <v>-9.1215879999999991</v>
      </c>
      <c r="H1255">
        <f>IFERROR(VLOOKUP(Logs_reseau[[#This Row],[Cell_ID]],'[1]Registre_Maintenance_combine '!A:D,4,FALSE),"Non trouvé")</f>
        <v>16.457916999999998</v>
      </c>
      <c r="I1255" t="str">
        <f>IFERROR(VLOOKUP(Logs_reseau[[#This Row],[Cell_ID]],'[1]Registre_Maintenance_combine '!A:E,5,FALSE),"Non trouvé")</f>
        <v>4G</v>
      </c>
      <c r="J1255" t="str">
        <f>IFERROR(VLOOKUP(Logs_reseau[[#This Row],[Cell_ID]],'[1]Registre_Maintenance_combine '!A:F,6,FALSE),"Non trouvé")</f>
        <v>Nokia</v>
      </c>
    </row>
    <row r="1256" spans="1:10" x14ac:dyDescent="0.25">
      <c r="A1256" t="str">
        <f>IFERROR(VLOOKUP(Logs_reseau[[#This Row],[Cell_ID]],'[1]Registre_Maintenance_combine '!A:B,2,FALSE),"Non trouvé")</f>
        <v>Non trouvé</v>
      </c>
      <c r="B1256" t="s">
        <v>401</v>
      </c>
      <c r="C1256" s="3">
        <v>45209.251388888886</v>
      </c>
      <c r="D1256" s="11">
        <f>Logs_reseau[[#This Row],[Duree_Panne_Min]]/1440</f>
        <v>3.1944444444444442E-2</v>
      </c>
      <c r="E1256">
        <v>46</v>
      </c>
      <c r="F1256" t="s">
        <v>2</v>
      </c>
      <c r="G1256" t="str">
        <f>IFERROR(VLOOKUP(Logs_reseau[[#This Row],[Cell_ID]],'[1]Registre_Maintenance_combine '!A:C,3,FALSE),"Non trouvé")</f>
        <v>Non trouvé</v>
      </c>
      <c r="H1256" t="str">
        <f>IFERROR(VLOOKUP(Logs_reseau[[#This Row],[Cell_ID]],'[1]Registre_Maintenance_combine '!A:D,4,FALSE),"Non trouvé")</f>
        <v>Non trouvé</v>
      </c>
      <c r="I1256" t="str">
        <f>IFERROR(VLOOKUP(Logs_reseau[[#This Row],[Cell_ID]],'[1]Registre_Maintenance_combine '!A:E,5,FALSE),"Non trouvé")</f>
        <v>Non trouvé</v>
      </c>
      <c r="J1256" t="str">
        <f>IFERROR(VLOOKUP(Logs_reseau[[#This Row],[Cell_ID]],'[1]Registre_Maintenance_combine '!A:F,6,FALSE),"Non trouvé")</f>
        <v>Non trouvé</v>
      </c>
    </row>
    <row r="1257" spans="1:10" x14ac:dyDescent="0.25">
      <c r="A1257" t="str">
        <f>IFERROR(VLOOKUP(Logs_reseau[[#This Row],[Cell_ID]],'[1]Registre_Maintenance_combine '!A:B,2,FALSE),"Non trouvé")</f>
        <v>Haut-Lomami</v>
      </c>
      <c r="B1257" t="s">
        <v>434</v>
      </c>
      <c r="C1257" s="3">
        <v>45225.288888888892</v>
      </c>
      <c r="D1257" s="11">
        <f>Logs_reseau[[#This Row],[Duree_Panne_Min]]/1440</f>
        <v>6.1805555555555558E-2</v>
      </c>
      <c r="E1257">
        <v>89</v>
      </c>
      <c r="F1257" t="s">
        <v>1</v>
      </c>
      <c r="G1257">
        <f>IFERROR(VLOOKUP(Logs_reseau[[#This Row],[Cell_ID]],'[1]Registre_Maintenance_combine '!A:C,3,FALSE),"Non trouvé")</f>
        <v>0.16327700000000001</v>
      </c>
      <c r="H1257">
        <f>IFERROR(VLOOKUP(Logs_reseau[[#This Row],[Cell_ID]],'[1]Registre_Maintenance_combine '!A:D,4,FALSE),"Non trouvé")</f>
        <v>14.871577</v>
      </c>
      <c r="I1257" t="str">
        <f>IFERROR(VLOOKUP(Logs_reseau[[#This Row],[Cell_ID]],'[1]Registre_Maintenance_combine '!A:E,5,FALSE),"Non trouvé")</f>
        <v>4G</v>
      </c>
      <c r="J1257" t="str">
        <f>IFERROR(VLOOKUP(Logs_reseau[[#This Row],[Cell_ID]],'[1]Registre_Maintenance_combine '!A:F,6,FALSE),"Non trouvé")</f>
        <v>Huawei</v>
      </c>
    </row>
    <row r="1258" spans="1:10" x14ac:dyDescent="0.25">
      <c r="A1258" t="str">
        <f>IFERROR(VLOOKUP(Logs_reseau[[#This Row],[Cell_ID]],'[1]Registre_Maintenance_combine '!A:B,2,FALSE),"Non trouvé")</f>
        <v>Non trouvé</v>
      </c>
      <c r="B1258" t="s">
        <v>473</v>
      </c>
      <c r="C1258" s="3">
        <v>45201.457638888889</v>
      </c>
      <c r="D1258" s="11">
        <f>Logs_reseau[[#This Row],[Duree_Panne_Min]]/1440</f>
        <v>2.9166666666666667E-2</v>
      </c>
      <c r="E1258">
        <v>42</v>
      </c>
      <c r="F1258" t="s">
        <v>4</v>
      </c>
      <c r="G1258" t="str">
        <f>IFERROR(VLOOKUP(Logs_reseau[[#This Row],[Cell_ID]],'[1]Registre_Maintenance_combine '!A:C,3,FALSE),"Non trouvé")</f>
        <v>Non trouvé</v>
      </c>
      <c r="H1258" t="str">
        <f>IFERROR(VLOOKUP(Logs_reseau[[#This Row],[Cell_ID]],'[1]Registre_Maintenance_combine '!A:D,4,FALSE),"Non trouvé")</f>
        <v>Non trouvé</v>
      </c>
      <c r="I1258" t="str">
        <f>IFERROR(VLOOKUP(Logs_reseau[[#This Row],[Cell_ID]],'[1]Registre_Maintenance_combine '!A:E,5,FALSE),"Non trouvé")</f>
        <v>Non trouvé</v>
      </c>
      <c r="J1258" t="str">
        <f>IFERROR(VLOOKUP(Logs_reseau[[#This Row],[Cell_ID]],'[1]Registre_Maintenance_combine '!A:F,6,FALSE),"Non trouvé")</f>
        <v>Non trouvé</v>
      </c>
    </row>
    <row r="1259" spans="1:10" x14ac:dyDescent="0.25">
      <c r="A1259" t="str">
        <f>IFERROR(VLOOKUP(Logs_reseau[[#This Row],[Cell_ID]],'[1]Registre_Maintenance_combine '!A:B,2,FALSE),"Non trouvé")</f>
        <v>Non trouvé</v>
      </c>
      <c r="B1259" t="s">
        <v>361</v>
      </c>
      <c r="C1259" s="3">
        <v>45209.684027777781</v>
      </c>
      <c r="D1259" s="11">
        <f>Logs_reseau[[#This Row],[Duree_Panne_Min]]/1440</f>
        <v>3.0555555555555555E-2</v>
      </c>
      <c r="E1259">
        <v>44</v>
      </c>
      <c r="F1259" t="s">
        <v>4</v>
      </c>
      <c r="G1259" t="str">
        <f>IFERROR(VLOOKUP(Logs_reseau[[#This Row],[Cell_ID]],'[1]Registre_Maintenance_combine '!A:C,3,FALSE),"Non trouvé")</f>
        <v>Non trouvé</v>
      </c>
      <c r="H1259" t="str">
        <f>IFERROR(VLOOKUP(Logs_reseau[[#This Row],[Cell_ID]],'[1]Registre_Maintenance_combine '!A:D,4,FALSE),"Non trouvé")</f>
        <v>Non trouvé</v>
      </c>
      <c r="I1259" t="str">
        <f>IFERROR(VLOOKUP(Logs_reseau[[#This Row],[Cell_ID]],'[1]Registre_Maintenance_combine '!A:E,5,FALSE),"Non trouvé")</f>
        <v>Non trouvé</v>
      </c>
      <c r="J1259" t="str">
        <f>IFERROR(VLOOKUP(Logs_reseau[[#This Row],[Cell_ID]],'[1]Registre_Maintenance_combine '!A:F,6,FALSE),"Non trouvé")</f>
        <v>Non trouvé</v>
      </c>
    </row>
    <row r="1260" spans="1:10" x14ac:dyDescent="0.25">
      <c r="A1260" t="str">
        <f>IFERROR(VLOOKUP(Logs_reseau[[#This Row],[Cell_ID]],'[1]Registre_Maintenance_combine '!A:B,2,FALSE),"Non trouvé")</f>
        <v>Non trouvé</v>
      </c>
      <c r="B1260" t="s">
        <v>37</v>
      </c>
      <c r="C1260" s="3">
        <v>45226.729166666664</v>
      </c>
      <c r="D1260" s="11">
        <f>Logs_reseau[[#This Row],[Duree_Panne_Min]]/1440</f>
        <v>4.3055555555555555E-2</v>
      </c>
      <c r="E1260">
        <v>62</v>
      </c>
      <c r="F1260" t="s">
        <v>2</v>
      </c>
      <c r="G1260" t="str">
        <f>IFERROR(VLOOKUP(Logs_reseau[[#This Row],[Cell_ID]],'[1]Registre_Maintenance_combine '!A:C,3,FALSE),"Non trouvé")</f>
        <v>Non trouvé</v>
      </c>
      <c r="H1260" t="str">
        <f>IFERROR(VLOOKUP(Logs_reseau[[#This Row],[Cell_ID]],'[1]Registre_Maintenance_combine '!A:D,4,FALSE),"Non trouvé")</f>
        <v>Non trouvé</v>
      </c>
      <c r="I1260" t="str">
        <f>IFERROR(VLOOKUP(Logs_reseau[[#This Row],[Cell_ID]],'[1]Registre_Maintenance_combine '!A:E,5,FALSE),"Non trouvé")</f>
        <v>Non trouvé</v>
      </c>
      <c r="J1260" t="str">
        <f>IFERROR(VLOOKUP(Logs_reseau[[#This Row],[Cell_ID]],'[1]Registre_Maintenance_combine '!A:F,6,FALSE),"Non trouvé")</f>
        <v>Non trouvé</v>
      </c>
    </row>
    <row r="1261" spans="1:10" x14ac:dyDescent="0.25">
      <c r="A1261" t="str">
        <f>IFERROR(VLOOKUP(Logs_reseau[[#This Row],[Cell_ID]],'[1]Registre_Maintenance_combine '!A:B,2,FALSE),"Non trouvé")</f>
        <v>Non trouvé</v>
      </c>
      <c r="B1261" t="s">
        <v>131</v>
      </c>
      <c r="C1261" s="3">
        <v>45208.074999999997</v>
      </c>
      <c r="D1261" s="11">
        <f>Logs_reseau[[#This Row],[Duree_Panne_Min]]/1440</f>
        <v>5.6944444444444443E-2</v>
      </c>
      <c r="E1261">
        <v>82</v>
      </c>
      <c r="F1261" t="s">
        <v>4</v>
      </c>
      <c r="G1261" t="str">
        <f>IFERROR(VLOOKUP(Logs_reseau[[#This Row],[Cell_ID]],'[1]Registre_Maintenance_combine '!A:C,3,FALSE),"Non trouvé")</f>
        <v>Non trouvé</v>
      </c>
      <c r="H1261" t="str">
        <f>IFERROR(VLOOKUP(Logs_reseau[[#This Row],[Cell_ID]],'[1]Registre_Maintenance_combine '!A:D,4,FALSE),"Non trouvé")</f>
        <v>Non trouvé</v>
      </c>
      <c r="I1261" t="str">
        <f>IFERROR(VLOOKUP(Logs_reseau[[#This Row],[Cell_ID]],'[1]Registre_Maintenance_combine '!A:E,5,FALSE),"Non trouvé")</f>
        <v>Non trouvé</v>
      </c>
      <c r="J1261" t="str">
        <f>IFERROR(VLOOKUP(Logs_reseau[[#This Row],[Cell_ID]],'[1]Registre_Maintenance_combine '!A:F,6,FALSE),"Non trouvé")</f>
        <v>Non trouvé</v>
      </c>
    </row>
    <row r="1262" spans="1:10" x14ac:dyDescent="0.25">
      <c r="A1262" t="str">
        <f>IFERROR(VLOOKUP(Logs_reseau[[#This Row],[Cell_ID]],'[1]Registre_Maintenance_combine '!A:B,2,FALSE),"Non trouvé")</f>
        <v>Non trouvé</v>
      </c>
      <c r="B1262" t="s">
        <v>70</v>
      </c>
      <c r="C1262" s="3">
        <v>45220.262499999997</v>
      </c>
      <c r="D1262" s="11">
        <f>Logs_reseau[[#This Row],[Duree_Panne_Min]]/1440</f>
        <v>6.6666666666666666E-2</v>
      </c>
      <c r="E1262">
        <v>96</v>
      </c>
      <c r="F1262" t="s">
        <v>1</v>
      </c>
      <c r="G1262" t="str">
        <f>IFERROR(VLOOKUP(Logs_reseau[[#This Row],[Cell_ID]],'[1]Registre_Maintenance_combine '!A:C,3,FALSE),"Non trouvé")</f>
        <v>Non trouvé</v>
      </c>
      <c r="H1262" t="str">
        <f>IFERROR(VLOOKUP(Logs_reseau[[#This Row],[Cell_ID]],'[1]Registre_Maintenance_combine '!A:D,4,FALSE),"Non trouvé")</f>
        <v>Non trouvé</v>
      </c>
      <c r="I1262" t="str">
        <f>IFERROR(VLOOKUP(Logs_reseau[[#This Row],[Cell_ID]],'[1]Registre_Maintenance_combine '!A:E,5,FALSE),"Non trouvé")</f>
        <v>Non trouvé</v>
      </c>
      <c r="J1262" t="str">
        <f>IFERROR(VLOOKUP(Logs_reseau[[#This Row],[Cell_ID]],'[1]Registre_Maintenance_combine '!A:F,6,FALSE),"Non trouvé")</f>
        <v>Non trouvé</v>
      </c>
    </row>
    <row r="1263" spans="1:10" x14ac:dyDescent="0.25">
      <c r="A1263" t="str">
        <f>IFERROR(VLOOKUP(Logs_reseau[[#This Row],[Cell_ID]],'[1]Registre_Maintenance_combine '!A:B,2,FALSE),"Non trouvé")</f>
        <v>Non trouvé</v>
      </c>
      <c r="B1263" t="s">
        <v>474</v>
      </c>
      <c r="C1263" s="3">
        <v>45211.079861111109</v>
      </c>
      <c r="D1263" s="11">
        <f>Logs_reseau[[#This Row],[Duree_Panne_Min]]/1440</f>
        <v>4.0972222222222222E-2</v>
      </c>
      <c r="E1263">
        <v>59</v>
      </c>
      <c r="F1263" t="s">
        <v>2</v>
      </c>
      <c r="G1263" t="str">
        <f>IFERROR(VLOOKUP(Logs_reseau[[#This Row],[Cell_ID]],'[1]Registre_Maintenance_combine '!A:C,3,FALSE),"Non trouvé")</f>
        <v>Non trouvé</v>
      </c>
      <c r="H1263" t="str">
        <f>IFERROR(VLOOKUP(Logs_reseau[[#This Row],[Cell_ID]],'[1]Registre_Maintenance_combine '!A:D,4,FALSE),"Non trouvé")</f>
        <v>Non trouvé</v>
      </c>
      <c r="I1263" t="str">
        <f>IFERROR(VLOOKUP(Logs_reseau[[#This Row],[Cell_ID]],'[1]Registre_Maintenance_combine '!A:E,5,FALSE),"Non trouvé")</f>
        <v>Non trouvé</v>
      </c>
      <c r="J1263" t="str">
        <f>IFERROR(VLOOKUP(Logs_reseau[[#This Row],[Cell_ID]],'[1]Registre_Maintenance_combine '!A:F,6,FALSE),"Non trouvé")</f>
        <v>Non trouvé</v>
      </c>
    </row>
    <row r="1264" spans="1:10" x14ac:dyDescent="0.25">
      <c r="A1264" t="str">
        <f>IFERROR(VLOOKUP(Logs_reseau[[#This Row],[Cell_ID]],'[1]Registre_Maintenance_combine '!A:B,2,FALSE),"Non trouvé")</f>
        <v>Non trouvé</v>
      </c>
      <c r="B1264" t="s">
        <v>220</v>
      </c>
      <c r="C1264" s="3">
        <v>45220.428472222222</v>
      </c>
      <c r="D1264" s="11">
        <f>Logs_reseau[[#This Row],[Duree_Panne_Min]]/1440</f>
        <v>1.8055555555555554E-2</v>
      </c>
      <c r="E1264">
        <v>26</v>
      </c>
      <c r="F1264" t="s">
        <v>4</v>
      </c>
      <c r="G1264" t="str">
        <f>IFERROR(VLOOKUP(Logs_reseau[[#This Row],[Cell_ID]],'[1]Registre_Maintenance_combine '!A:C,3,FALSE),"Non trouvé")</f>
        <v>Non trouvé</v>
      </c>
      <c r="H1264" t="str">
        <f>IFERROR(VLOOKUP(Logs_reseau[[#This Row],[Cell_ID]],'[1]Registre_Maintenance_combine '!A:D,4,FALSE),"Non trouvé")</f>
        <v>Non trouvé</v>
      </c>
      <c r="I1264" t="str">
        <f>IFERROR(VLOOKUP(Logs_reseau[[#This Row],[Cell_ID]],'[1]Registre_Maintenance_combine '!A:E,5,FALSE),"Non trouvé")</f>
        <v>Non trouvé</v>
      </c>
      <c r="J1264" t="str">
        <f>IFERROR(VLOOKUP(Logs_reseau[[#This Row],[Cell_ID]],'[1]Registre_Maintenance_combine '!A:F,6,FALSE),"Non trouvé")</f>
        <v>Non trouvé</v>
      </c>
    </row>
    <row r="1265" spans="1:10" x14ac:dyDescent="0.25">
      <c r="A1265" t="str">
        <f>IFERROR(VLOOKUP(Logs_reseau[[#This Row],[Cell_ID]],'[1]Registre_Maintenance_combine '!A:B,2,FALSE),"Non trouvé")</f>
        <v>Non trouvé</v>
      </c>
      <c r="B1265" t="s">
        <v>475</v>
      </c>
      <c r="C1265" s="3">
        <v>45203.477083333331</v>
      </c>
      <c r="D1265" s="11">
        <f>Logs_reseau[[#This Row],[Duree_Panne_Min]]/1440</f>
        <v>6.458333333333334E-2</v>
      </c>
      <c r="E1265">
        <v>93</v>
      </c>
      <c r="F1265" t="s">
        <v>2</v>
      </c>
      <c r="G1265" t="str">
        <f>IFERROR(VLOOKUP(Logs_reseau[[#This Row],[Cell_ID]],'[1]Registre_Maintenance_combine '!A:C,3,FALSE),"Non trouvé")</f>
        <v>Non trouvé</v>
      </c>
      <c r="H1265" t="str">
        <f>IFERROR(VLOOKUP(Logs_reseau[[#This Row],[Cell_ID]],'[1]Registre_Maintenance_combine '!A:D,4,FALSE),"Non trouvé")</f>
        <v>Non trouvé</v>
      </c>
      <c r="I1265" t="str">
        <f>IFERROR(VLOOKUP(Logs_reseau[[#This Row],[Cell_ID]],'[1]Registre_Maintenance_combine '!A:E,5,FALSE),"Non trouvé")</f>
        <v>Non trouvé</v>
      </c>
      <c r="J1265" t="str">
        <f>IFERROR(VLOOKUP(Logs_reseau[[#This Row],[Cell_ID]],'[1]Registre_Maintenance_combine '!A:F,6,FALSE),"Non trouvé")</f>
        <v>Non trouvé</v>
      </c>
    </row>
    <row r="1266" spans="1:10" x14ac:dyDescent="0.25">
      <c r="A1266" t="str">
        <f>IFERROR(VLOOKUP(Logs_reseau[[#This Row],[Cell_ID]],'[1]Registre_Maintenance_combine '!A:B,2,FALSE),"Non trouvé")</f>
        <v>Non trouvé</v>
      </c>
      <c r="B1266" t="s">
        <v>127</v>
      </c>
      <c r="C1266" s="3">
        <v>45202.912499999999</v>
      </c>
      <c r="D1266" s="11">
        <f>Logs_reseau[[#This Row],[Duree_Panne_Min]]/1440</f>
        <v>4.7222222222222221E-2</v>
      </c>
      <c r="E1266">
        <v>68</v>
      </c>
      <c r="F1266" t="s">
        <v>4</v>
      </c>
      <c r="G1266" t="str">
        <f>IFERROR(VLOOKUP(Logs_reseau[[#This Row],[Cell_ID]],'[1]Registre_Maintenance_combine '!A:C,3,FALSE),"Non trouvé")</f>
        <v>Non trouvé</v>
      </c>
      <c r="H1266" t="str">
        <f>IFERROR(VLOOKUP(Logs_reseau[[#This Row],[Cell_ID]],'[1]Registre_Maintenance_combine '!A:D,4,FALSE),"Non trouvé")</f>
        <v>Non trouvé</v>
      </c>
      <c r="I1266" t="str">
        <f>IFERROR(VLOOKUP(Logs_reseau[[#This Row],[Cell_ID]],'[1]Registre_Maintenance_combine '!A:E,5,FALSE),"Non trouvé")</f>
        <v>Non trouvé</v>
      </c>
      <c r="J1266" t="str">
        <f>IFERROR(VLOOKUP(Logs_reseau[[#This Row],[Cell_ID]],'[1]Registre_Maintenance_combine '!A:F,6,FALSE),"Non trouvé")</f>
        <v>Non trouvé</v>
      </c>
    </row>
    <row r="1267" spans="1:10" x14ac:dyDescent="0.25">
      <c r="A1267" t="str">
        <f>IFERROR(VLOOKUP(Logs_reseau[[#This Row],[Cell_ID]],'[1]Registre_Maintenance_combine '!A:B,2,FALSE),"Non trouvé")</f>
        <v>Non trouvé</v>
      </c>
      <c r="B1267" t="s">
        <v>357</v>
      </c>
      <c r="C1267" s="3">
        <v>45210.890277777777</v>
      </c>
      <c r="D1267" s="11">
        <f>Logs_reseau[[#This Row],[Duree_Panne_Min]]/1440</f>
        <v>8.1944444444444445E-2</v>
      </c>
      <c r="E1267">
        <v>118</v>
      </c>
      <c r="F1267" t="s">
        <v>1</v>
      </c>
      <c r="G1267" t="str">
        <f>IFERROR(VLOOKUP(Logs_reseau[[#This Row],[Cell_ID]],'[1]Registre_Maintenance_combine '!A:C,3,FALSE),"Non trouvé")</f>
        <v>Non trouvé</v>
      </c>
      <c r="H1267" t="str">
        <f>IFERROR(VLOOKUP(Logs_reseau[[#This Row],[Cell_ID]],'[1]Registre_Maintenance_combine '!A:D,4,FALSE),"Non trouvé")</f>
        <v>Non trouvé</v>
      </c>
      <c r="I1267" t="str">
        <f>IFERROR(VLOOKUP(Logs_reseau[[#This Row],[Cell_ID]],'[1]Registre_Maintenance_combine '!A:E,5,FALSE),"Non trouvé")</f>
        <v>Non trouvé</v>
      </c>
      <c r="J1267" t="str">
        <f>IFERROR(VLOOKUP(Logs_reseau[[#This Row],[Cell_ID]],'[1]Registre_Maintenance_combine '!A:F,6,FALSE),"Non trouvé")</f>
        <v>Non trouvé</v>
      </c>
    </row>
    <row r="1268" spans="1:10" x14ac:dyDescent="0.25">
      <c r="A1268" t="str">
        <f>IFERROR(VLOOKUP(Logs_reseau[[#This Row],[Cell_ID]],'[1]Registre_Maintenance_combine '!A:B,2,FALSE),"Non trouvé")</f>
        <v>Non trouvé</v>
      </c>
      <c r="B1268" t="s">
        <v>288</v>
      </c>
      <c r="C1268" s="3">
        <v>45222.107638888891</v>
      </c>
      <c r="D1268" s="11">
        <f>Logs_reseau[[#This Row],[Duree_Panne_Min]]/1440</f>
        <v>5.9027777777777776E-2</v>
      </c>
      <c r="E1268">
        <v>85</v>
      </c>
      <c r="F1268" t="s">
        <v>1</v>
      </c>
      <c r="G1268" t="str">
        <f>IFERROR(VLOOKUP(Logs_reseau[[#This Row],[Cell_ID]],'[1]Registre_Maintenance_combine '!A:C,3,FALSE),"Non trouvé")</f>
        <v>Non trouvé</v>
      </c>
      <c r="H1268" t="str">
        <f>IFERROR(VLOOKUP(Logs_reseau[[#This Row],[Cell_ID]],'[1]Registre_Maintenance_combine '!A:D,4,FALSE),"Non trouvé")</f>
        <v>Non trouvé</v>
      </c>
      <c r="I1268" t="str">
        <f>IFERROR(VLOOKUP(Logs_reseau[[#This Row],[Cell_ID]],'[1]Registre_Maintenance_combine '!A:E,5,FALSE),"Non trouvé")</f>
        <v>Non trouvé</v>
      </c>
      <c r="J1268" t="str">
        <f>IFERROR(VLOOKUP(Logs_reseau[[#This Row],[Cell_ID]],'[1]Registre_Maintenance_combine '!A:F,6,FALSE),"Non trouvé")</f>
        <v>Non trouvé</v>
      </c>
    </row>
    <row r="1269" spans="1:10" x14ac:dyDescent="0.25">
      <c r="A1269" t="str">
        <f>IFERROR(VLOOKUP(Logs_reseau[[#This Row],[Cell_ID]],'[1]Registre_Maintenance_combine '!A:B,2,FALSE),"Non trouvé")</f>
        <v>Non trouvé</v>
      </c>
      <c r="B1269" t="s">
        <v>291</v>
      </c>
      <c r="C1269" s="3">
        <v>45217.414583333331</v>
      </c>
      <c r="D1269" s="11">
        <f>Logs_reseau[[#This Row],[Duree_Panne_Min]]/1440</f>
        <v>5.1388888888888887E-2</v>
      </c>
      <c r="E1269">
        <v>74</v>
      </c>
      <c r="F1269" t="s">
        <v>4</v>
      </c>
      <c r="G1269" t="str">
        <f>IFERROR(VLOOKUP(Logs_reseau[[#This Row],[Cell_ID]],'[1]Registre_Maintenance_combine '!A:C,3,FALSE),"Non trouvé")</f>
        <v>Non trouvé</v>
      </c>
      <c r="H1269" t="str">
        <f>IFERROR(VLOOKUP(Logs_reseau[[#This Row],[Cell_ID]],'[1]Registre_Maintenance_combine '!A:D,4,FALSE),"Non trouvé")</f>
        <v>Non trouvé</v>
      </c>
      <c r="I1269" t="str">
        <f>IFERROR(VLOOKUP(Logs_reseau[[#This Row],[Cell_ID]],'[1]Registre_Maintenance_combine '!A:E,5,FALSE),"Non trouvé")</f>
        <v>Non trouvé</v>
      </c>
      <c r="J1269" t="str">
        <f>IFERROR(VLOOKUP(Logs_reseau[[#This Row],[Cell_ID]],'[1]Registre_Maintenance_combine '!A:F,6,FALSE),"Non trouvé")</f>
        <v>Non trouvé</v>
      </c>
    </row>
    <row r="1270" spans="1:10" x14ac:dyDescent="0.25">
      <c r="A1270" t="str">
        <f>IFERROR(VLOOKUP(Logs_reseau[[#This Row],[Cell_ID]],'[1]Registre_Maintenance_combine '!A:B,2,FALSE),"Non trouvé")</f>
        <v>Non trouvé</v>
      </c>
      <c r="B1270" t="s">
        <v>146</v>
      </c>
      <c r="C1270" s="3">
        <v>45209.239583333336</v>
      </c>
      <c r="D1270" s="11">
        <f>Logs_reseau[[#This Row],[Duree_Panne_Min]]/1440</f>
        <v>2.9166666666666667E-2</v>
      </c>
      <c r="E1270">
        <v>42</v>
      </c>
      <c r="F1270" t="s">
        <v>4</v>
      </c>
      <c r="G1270" t="str">
        <f>IFERROR(VLOOKUP(Logs_reseau[[#This Row],[Cell_ID]],'[1]Registre_Maintenance_combine '!A:C,3,FALSE),"Non trouvé")</f>
        <v>Non trouvé</v>
      </c>
      <c r="H1270" t="str">
        <f>IFERROR(VLOOKUP(Logs_reseau[[#This Row],[Cell_ID]],'[1]Registre_Maintenance_combine '!A:D,4,FALSE),"Non trouvé")</f>
        <v>Non trouvé</v>
      </c>
      <c r="I1270" t="str">
        <f>IFERROR(VLOOKUP(Logs_reseau[[#This Row],[Cell_ID]],'[1]Registre_Maintenance_combine '!A:E,5,FALSE),"Non trouvé")</f>
        <v>Non trouvé</v>
      </c>
      <c r="J1270" t="str">
        <f>IFERROR(VLOOKUP(Logs_reseau[[#This Row],[Cell_ID]],'[1]Registre_Maintenance_combine '!A:F,6,FALSE),"Non trouvé")</f>
        <v>Non trouvé</v>
      </c>
    </row>
    <row r="1271" spans="1:10" x14ac:dyDescent="0.25">
      <c r="A1271" t="str">
        <f>IFERROR(VLOOKUP(Logs_reseau[[#This Row],[Cell_ID]],'[1]Registre_Maintenance_combine '!A:B,2,FALSE),"Non trouvé")</f>
        <v>Non trouvé</v>
      </c>
      <c r="B1271" t="s">
        <v>101</v>
      </c>
      <c r="C1271" s="3">
        <v>45222.944444444445</v>
      </c>
      <c r="D1271" s="11">
        <f>Logs_reseau[[#This Row],[Duree_Panne_Min]]/1440</f>
        <v>6.0416666666666667E-2</v>
      </c>
      <c r="E1271">
        <v>87</v>
      </c>
      <c r="F1271" t="s">
        <v>2</v>
      </c>
      <c r="G1271" t="str">
        <f>IFERROR(VLOOKUP(Logs_reseau[[#This Row],[Cell_ID]],'[1]Registre_Maintenance_combine '!A:C,3,FALSE),"Non trouvé")</f>
        <v>Non trouvé</v>
      </c>
      <c r="H1271" t="str">
        <f>IFERROR(VLOOKUP(Logs_reseau[[#This Row],[Cell_ID]],'[1]Registre_Maintenance_combine '!A:D,4,FALSE),"Non trouvé")</f>
        <v>Non trouvé</v>
      </c>
      <c r="I1271" t="str">
        <f>IFERROR(VLOOKUP(Logs_reseau[[#This Row],[Cell_ID]],'[1]Registre_Maintenance_combine '!A:E,5,FALSE),"Non trouvé")</f>
        <v>Non trouvé</v>
      </c>
      <c r="J1271" t="str">
        <f>IFERROR(VLOOKUP(Logs_reseau[[#This Row],[Cell_ID]],'[1]Registre_Maintenance_combine '!A:F,6,FALSE),"Non trouvé")</f>
        <v>Non trouvé</v>
      </c>
    </row>
    <row r="1272" spans="1:10" x14ac:dyDescent="0.25">
      <c r="A1272" t="str">
        <f>IFERROR(VLOOKUP(Logs_reseau[[#This Row],[Cell_ID]],'[1]Registre_Maintenance_combine '!A:B,2,FALSE),"Non trouvé")</f>
        <v>Non trouvé</v>
      </c>
      <c r="B1272" t="s">
        <v>53</v>
      </c>
      <c r="C1272" s="3">
        <v>45205.480555555558</v>
      </c>
      <c r="D1272" s="11">
        <f>Logs_reseau[[#This Row],[Duree_Panne_Min]]/1440</f>
        <v>2.9861111111111113E-2</v>
      </c>
      <c r="E1272">
        <v>43</v>
      </c>
      <c r="F1272" t="s">
        <v>2</v>
      </c>
      <c r="G1272" t="str">
        <f>IFERROR(VLOOKUP(Logs_reseau[[#This Row],[Cell_ID]],'[1]Registre_Maintenance_combine '!A:C,3,FALSE),"Non trouvé")</f>
        <v>Non trouvé</v>
      </c>
      <c r="H1272" t="str">
        <f>IFERROR(VLOOKUP(Logs_reseau[[#This Row],[Cell_ID]],'[1]Registre_Maintenance_combine '!A:D,4,FALSE),"Non trouvé")</f>
        <v>Non trouvé</v>
      </c>
      <c r="I1272" t="str">
        <f>IFERROR(VLOOKUP(Logs_reseau[[#This Row],[Cell_ID]],'[1]Registre_Maintenance_combine '!A:E,5,FALSE),"Non trouvé")</f>
        <v>Non trouvé</v>
      </c>
      <c r="J1272" t="str">
        <f>IFERROR(VLOOKUP(Logs_reseau[[#This Row],[Cell_ID]],'[1]Registre_Maintenance_combine '!A:F,6,FALSE),"Non trouvé")</f>
        <v>Non trouvé</v>
      </c>
    </row>
    <row r="1273" spans="1:10" x14ac:dyDescent="0.25">
      <c r="A1273" t="str">
        <f>IFERROR(VLOOKUP(Logs_reseau[[#This Row],[Cell_ID]],'[1]Registre_Maintenance_combine '!A:B,2,FALSE),"Non trouvé")</f>
        <v>Kasai-Oriental</v>
      </c>
      <c r="B1273" t="s">
        <v>476</v>
      </c>
      <c r="C1273" s="3">
        <v>45207.133333333331</v>
      </c>
      <c r="D1273" s="11">
        <f>Logs_reseau[[#This Row],[Duree_Panne_Min]]/1440</f>
        <v>4.583333333333333E-2</v>
      </c>
      <c r="E1273">
        <v>66</v>
      </c>
      <c r="F1273" t="s">
        <v>2</v>
      </c>
      <c r="G1273">
        <f>IFERROR(VLOOKUP(Logs_reseau[[#This Row],[Cell_ID]],'[1]Registre_Maintenance_combine '!A:C,3,FALSE),"Non trouvé")</f>
        <v>-5.4073029999999997</v>
      </c>
      <c r="H1273">
        <f>IFERROR(VLOOKUP(Logs_reseau[[#This Row],[Cell_ID]],'[1]Registre_Maintenance_combine '!A:D,4,FALSE),"Non trouvé")</f>
        <v>29.762294000000001</v>
      </c>
      <c r="I1273" t="str">
        <f>IFERROR(VLOOKUP(Logs_reseau[[#This Row],[Cell_ID]],'[1]Registre_Maintenance_combine '!A:E,5,FALSE),"Non trouvé")</f>
        <v>3G</v>
      </c>
      <c r="J1273" t="str">
        <f>IFERROR(VLOOKUP(Logs_reseau[[#This Row],[Cell_ID]],'[1]Registre_Maintenance_combine '!A:F,6,FALSE),"Non trouvé")</f>
        <v>Ericsson</v>
      </c>
    </row>
    <row r="1274" spans="1:10" x14ac:dyDescent="0.25">
      <c r="A1274" t="str">
        <f>IFERROR(VLOOKUP(Logs_reseau[[#This Row],[Cell_ID]],'[1]Registre_Maintenance_combine '!A:B,2,FALSE),"Non trouvé")</f>
        <v>Non trouvé</v>
      </c>
      <c r="B1274" t="s">
        <v>477</v>
      </c>
      <c r="C1274" s="3">
        <v>45225.177083333336</v>
      </c>
      <c r="D1274" s="11">
        <f>Logs_reseau[[#This Row],[Duree_Panne_Min]]/1440</f>
        <v>2.5000000000000001E-2</v>
      </c>
      <c r="E1274">
        <v>36</v>
      </c>
      <c r="F1274" t="s">
        <v>4</v>
      </c>
      <c r="G1274" t="str">
        <f>IFERROR(VLOOKUP(Logs_reseau[[#This Row],[Cell_ID]],'[1]Registre_Maintenance_combine '!A:C,3,FALSE),"Non trouvé")</f>
        <v>Non trouvé</v>
      </c>
      <c r="H1274" t="str">
        <f>IFERROR(VLOOKUP(Logs_reseau[[#This Row],[Cell_ID]],'[1]Registre_Maintenance_combine '!A:D,4,FALSE),"Non trouvé")</f>
        <v>Non trouvé</v>
      </c>
      <c r="I1274" t="str">
        <f>IFERROR(VLOOKUP(Logs_reseau[[#This Row],[Cell_ID]],'[1]Registre_Maintenance_combine '!A:E,5,FALSE),"Non trouvé")</f>
        <v>Non trouvé</v>
      </c>
      <c r="J1274" t="str">
        <f>IFERROR(VLOOKUP(Logs_reseau[[#This Row],[Cell_ID]],'[1]Registre_Maintenance_combine '!A:F,6,FALSE),"Non trouvé")</f>
        <v>Non trouvé</v>
      </c>
    </row>
    <row r="1275" spans="1:10" x14ac:dyDescent="0.25">
      <c r="A1275" t="str">
        <f>IFERROR(VLOOKUP(Logs_reseau[[#This Row],[Cell_ID]],'[1]Registre_Maintenance_combine '!A:B,2,FALSE),"Non trouvé")</f>
        <v>Sud-Ubangi</v>
      </c>
      <c r="B1275" t="s">
        <v>478</v>
      </c>
      <c r="C1275" s="3">
        <v>45225.625694444447</v>
      </c>
      <c r="D1275" s="11">
        <f>Logs_reseau[[#This Row],[Duree_Panne_Min]]/1440</f>
        <v>7.4999999999999997E-2</v>
      </c>
      <c r="E1275">
        <v>108</v>
      </c>
      <c r="F1275" t="s">
        <v>4</v>
      </c>
      <c r="G1275">
        <f>IFERROR(VLOOKUP(Logs_reseau[[#This Row],[Cell_ID]],'[1]Registre_Maintenance_combine '!A:C,3,FALSE),"Non trouvé")</f>
        <v>-10.611184</v>
      </c>
      <c r="H1275">
        <f>IFERROR(VLOOKUP(Logs_reseau[[#This Row],[Cell_ID]],'[1]Registre_Maintenance_combine '!A:D,4,FALSE),"Non trouvé")</f>
        <v>23.022268</v>
      </c>
      <c r="I1275" t="str">
        <f>IFERROR(VLOOKUP(Logs_reseau[[#This Row],[Cell_ID]],'[1]Registre_Maintenance_combine '!A:E,5,FALSE),"Non trouvé")</f>
        <v>5G</v>
      </c>
      <c r="J1275" t="str">
        <f>IFERROR(VLOOKUP(Logs_reseau[[#This Row],[Cell_ID]],'[1]Registre_Maintenance_combine '!A:F,6,FALSE),"Non trouvé")</f>
        <v>ZTE</v>
      </c>
    </row>
    <row r="1276" spans="1:10" x14ac:dyDescent="0.25">
      <c r="A1276" t="str">
        <f>IFERROR(VLOOKUP(Logs_reseau[[#This Row],[Cell_ID]],'[1]Registre_Maintenance_combine '!A:B,2,FALSE),"Non trouvé")</f>
        <v>Non trouvé</v>
      </c>
      <c r="B1276" t="s">
        <v>479</v>
      </c>
      <c r="C1276" s="3">
        <v>45211.73333333333</v>
      </c>
      <c r="D1276" s="11">
        <f>Logs_reseau[[#This Row],[Duree_Panne_Min]]/1440</f>
        <v>7.4999999999999997E-2</v>
      </c>
      <c r="E1276">
        <v>108</v>
      </c>
      <c r="F1276" t="s">
        <v>2</v>
      </c>
      <c r="G1276" t="str">
        <f>IFERROR(VLOOKUP(Logs_reseau[[#This Row],[Cell_ID]],'[1]Registre_Maintenance_combine '!A:C,3,FALSE),"Non trouvé")</f>
        <v>Non trouvé</v>
      </c>
      <c r="H1276" t="str">
        <f>IFERROR(VLOOKUP(Logs_reseau[[#This Row],[Cell_ID]],'[1]Registre_Maintenance_combine '!A:D,4,FALSE),"Non trouvé")</f>
        <v>Non trouvé</v>
      </c>
      <c r="I1276" t="str">
        <f>IFERROR(VLOOKUP(Logs_reseau[[#This Row],[Cell_ID]],'[1]Registre_Maintenance_combine '!A:E,5,FALSE),"Non trouvé")</f>
        <v>Non trouvé</v>
      </c>
      <c r="J1276" t="str">
        <f>IFERROR(VLOOKUP(Logs_reseau[[#This Row],[Cell_ID]],'[1]Registre_Maintenance_combine '!A:F,6,FALSE),"Non trouvé")</f>
        <v>Non trouvé</v>
      </c>
    </row>
    <row r="1277" spans="1:10" x14ac:dyDescent="0.25">
      <c r="A1277" t="str">
        <f>IFERROR(VLOOKUP(Logs_reseau[[#This Row],[Cell_ID]],'[1]Registre_Maintenance_combine '!A:B,2,FALSE),"Non trouvé")</f>
        <v>Tshopo</v>
      </c>
      <c r="B1277" t="s">
        <v>480</v>
      </c>
      <c r="C1277" s="3">
        <v>45211.618750000001</v>
      </c>
      <c r="D1277" s="11">
        <f>Logs_reseau[[#This Row],[Duree_Panne_Min]]/1440</f>
        <v>6.3888888888888884E-2</v>
      </c>
      <c r="E1277">
        <v>92</v>
      </c>
      <c r="F1277" t="s">
        <v>1</v>
      </c>
      <c r="G1277">
        <f>IFERROR(VLOOKUP(Logs_reseau[[#This Row],[Cell_ID]],'[1]Registre_Maintenance_combine '!A:C,3,FALSE),"Non trouvé")</f>
        <v>-0.85624699999999998</v>
      </c>
      <c r="H1277">
        <f>IFERROR(VLOOKUP(Logs_reseau[[#This Row],[Cell_ID]],'[1]Registre_Maintenance_combine '!A:D,4,FALSE),"Non trouvé")</f>
        <v>28.624870000000001</v>
      </c>
      <c r="I1277" t="str">
        <f>IFERROR(VLOOKUP(Logs_reseau[[#This Row],[Cell_ID]],'[1]Registre_Maintenance_combine '!A:E,5,FALSE),"Non trouvé")</f>
        <v>3G</v>
      </c>
      <c r="J1277" t="str">
        <f>IFERROR(VLOOKUP(Logs_reseau[[#This Row],[Cell_ID]],'[1]Registre_Maintenance_combine '!A:F,6,FALSE),"Non trouvé")</f>
        <v>Ericsson</v>
      </c>
    </row>
    <row r="1278" spans="1:10" x14ac:dyDescent="0.25">
      <c r="A1278" t="str">
        <f>IFERROR(VLOOKUP(Logs_reseau[[#This Row],[Cell_ID]],'[1]Registre_Maintenance_combine '!A:B,2,FALSE),"Non trouvé")</f>
        <v>Non trouvé</v>
      </c>
      <c r="B1278" t="s">
        <v>442</v>
      </c>
      <c r="C1278" s="3">
        <v>45217.193749999999</v>
      </c>
      <c r="D1278" s="11">
        <f>Logs_reseau[[#This Row],[Duree_Panne_Min]]/1440</f>
        <v>3.888888888888889E-2</v>
      </c>
      <c r="E1278">
        <v>56</v>
      </c>
      <c r="F1278" t="s">
        <v>1</v>
      </c>
      <c r="G1278" t="str">
        <f>IFERROR(VLOOKUP(Logs_reseau[[#This Row],[Cell_ID]],'[1]Registre_Maintenance_combine '!A:C,3,FALSE),"Non trouvé")</f>
        <v>Non trouvé</v>
      </c>
      <c r="H1278" t="str">
        <f>IFERROR(VLOOKUP(Logs_reseau[[#This Row],[Cell_ID]],'[1]Registre_Maintenance_combine '!A:D,4,FALSE),"Non trouvé")</f>
        <v>Non trouvé</v>
      </c>
      <c r="I1278" t="str">
        <f>IFERROR(VLOOKUP(Logs_reseau[[#This Row],[Cell_ID]],'[1]Registre_Maintenance_combine '!A:E,5,FALSE),"Non trouvé")</f>
        <v>Non trouvé</v>
      </c>
      <c r="J1278" t="str">
        <f>IFERROR(VLOOKUP(Logs_reseau[[#This Row],[Cell_ID]],'[1]Registre_Maintenance_combine '!A:F,6,FALSE),"Non trouvé")</f>
        <v>Non trouvé</v>
      </c>
    </row>
    <row r="1279" spans="1:10" x14ac:dyDescent="0.25">
      <c r="A1279" t="str">
        <f>IFERROR(VLOOKUP(Logs_reseau[[#This Row],[Cell_ID]],'[1]Registre_Maintenance_combine '!A:B,2,FALSE),"Non trouvé")</f>
        <v>Sankuru</v>
      </c>
      <c r="B1279" t="s">
        <v>481</v>
      </c>
      <c r="C1279" s="3">
        <v>45228.086111111108</v>
      </c>
      <c r="D1279" s="11">
        <f>Logs_reseau[[#This Row],[Duree_Panne_Min]]/1440</f>
        <v>2.9861111111111113E-2</v>
      </c>
      <c r="E1279">
        <v>43</v>
      </c>
      <c r="F1279" t="s">
        <v>4</v>
      </c>
      <c r="G1279">
        <f>IFERROR(VLOOKUP(Logs_reseau[[#This Row],[Cell_ID]],'[1]Registre_Maintenance_combine '!A:C,3,FALSE),"Non trouvé")</f>
        <v>-6.4883290000000002</v>
      </c>
      <c r="H1279">
        <f>IFERROR(VLOOKUP(Logs_reseau[[#This Row],[Cell_ID]],'[1]Registre_Maintenance_combine '!A:D,4,FALSE),"Non trouvé")</f>
        <v>25.103404000000001</v>
      </c>
      <c r="I1279" t="str">
        <f>IFERROR(VLOOKUP(Logs_reseau[[#This Row],[Cell_ID]],'[1]Registre_Maintenance_combine '!A:E,5,FALSE),"Non trouvé")</f>
        <v>5G</v>
      </c>
      <c r="J1279" t="str">
        <f>IFERROR(VLOOKUP(Logs_reseau[[#This Row],[Cell_ID]],'[1]Registre_Maintenance_combine '!A:F,6,FALSE),"Non trouvé")</f>
        <v>ZTE</v>
      </c>
    </row>
    <row r="1280" spans="1:10" x14ac:dyDescent="0.25">
      <c r="A1280" t="str">
        <f>IFERROR(VLOOKUP(Logs_reseau[[#This Row],[Cell_ID]],'[1]Registre_Maintenance_combine '!A:B,2,FALSE),"Non trouvé")</f>
        <v>Maniema</v>
      </c>
      <c r="B1280" t="s">
        <v>482</v>
      </c>
      <c r="C1280" s="3">
        <v>45209.53125</v>
      </c>
      <c r="D1280" s="11">
        <f>Logs_reseau[[#This Row],[Duree_Panne_Min]]/1440</f>
        <v>4.3749999999999997E-2</v>
      </c>
      <c r="E1280">
        <v>63</v>
      </c>
      <c r="F1280" t="s">
        <v>1</v>
      </c>
      <c r="G1280">
        <f>IFERROR(VLOOKUP(Logs_reseau[[#This Row],[Cell_ID]],'[1]Registre_Maintenance_combine '!A:C,3,FALSE),"Non trouvé")</f>
        <v>1.727095</v>
      </c>
      <c r="H1280">
        <f>IFERROR(VLOOKUP(Logs_reseau[[#This Row],[Cell_ID]],'[1]Registre_Maintenance_combine '!A:D,4,FALSE),"Non trouvé")</f>
        <v>22.099651999999999</v>
      </c>
      <c r="I1280" t="str">
        <f>IFERROR(VLOOKUP(Logs_reseau[[#This Row],[Cell_ID]],'[1]Registre_Maintenance_combine '!A:E,5,FALSE),"Non trouvé")</f>
        <v>4G</v>
      </c>
      <c r="J1280" t="str">
        <f>IFERROR(VLOOKUP(Logs_reseau[[#This Row],[Cell_ID]],'[1]Registre_Maintenance_combine '!A:F,6,FALSE),"Non trouvé")</f>
        <v>Huawei</v>
      </c>
    </row>
    <row r="1281" spans="1:10" x14ac:dyDescent="0.25">
      <c r="A1281" t="str">
        <f>IFERROR(VLOOKUP(Logs_reseau[[#This Row],[Cell_ID]],'[1]Registre_Maintenance_combine '!A:B,2,FALSE),"Non trouvé")</f>
        <v>Non trouvé</v>
      </c>
      <c r="B1281" t="s">
        <v>483</v>
      </c>
      <c r="C1281" s="3">
        <v>45223.647916666669</v>
      </c>
      <c r="D1281" s="11">
        <f>Logs_reseau[[#This Row],[Duree_Panne_Min]]/1440</f>
        <v>9.7222222222222224E-3</v>
      </c>
      <c r="E1281">
        <v>14</v>
      </c>
      <c r="F1281" t="s">
        <v>4</v>
      </c>
      <c r="G1281" t="str">
        <f>IFERROR(VLOOKUP(Logs_reseau[[#This Row],[Cell_ID]],'[1]Registre_Maintenance_combine '!A:C,3,FALSE),"Non trouvé")</f>
        <v>Non trouvé</v>
      </c>
      <c r="H1281" t="str">
        <f>IFERROR(VLOOKUP(Logs_reseau[[#This Row],[Cell_ID]],'[1]Registre_Maintenance_combine '!A:D,4,FALSE),"Non trouvé")</f>
        <v>Non trouvé</v>
      </c>
      <c r="I1281" t="str">
        <f>IFERROR(VLOOKUP(Logs_reseau[[#This Row],[Cell_ID]],'[1]Registre_Maintenance_combine '!A:E,5,FALSE),"Non trouvé")</f>
        <v>Non trouvé</v>
      </c>
      <c r="J1281" t="str">
        <f>IFERROR(VLOOKUP(Logs_reseau[[#This Row],[Cell_ID]],'[1]Registre_Maintenance_combine '!A:F,6,FALSE),"Non trouvé")</f>
        <v>Non trouvé</v>
      </c>
    </row>
    <row r="1282" spans="1:10" x14ac:dyDescent="0.25">
      <c r="A1282" t="str">
        <f>IFERROR(VLOOKUP(Logs_reseau[[#This Row],[Cell_ID]],'[1]Registre_Maintenance_combine '!A:B,2,FALSE),"Non trouvé")</f>
        <v>Non trouvé</v>
      </c>
      <c r="B1282" t="s">
        <v>484</v>
      </c>
      <c r="C1282" s="3">
        <v>45213.577777777777</v>
      </c>
      <c r="D1282" s="11">
        <f>Logs_reseau[[#This Row],[Duree_Panne_Min]]/1440</f>
        <v>6.458333333333334E-2</v>
      </c>
      <c r="E1282">
        <v>93</v>
      </c>
      <c r="F1282" t="s">
        <v>2</v>
      </c>
      <c r="G1282" t="str">
        <f>IFERROR(VLOOKUP(Logs_reseau[[#This Row],[Cell_ID]],'[1]Registre_Maintenance_combine '!A:C,3,FALSE),"Non trouvé")</f>
        <v>Non trouvé</v>
      </c>
      <c r="H1282" t="str">
        <f>IFERROR(VLOOKUP(Logs_reseau[[#This Row],[Cell_ID]],'[1]Registre_Maintenance_combine '!A:D,4,FALSE),"Non trouvé")</f>
        <v>Non trouvé</v>
      </c>
      <c r="I1282" t="str">
        <f>IFERROR(VLOOKUP(Logs_reseau[[#This Row],[Cell_ID]],'[1]Registre_Maintenance_combine '!A:E,5,FALSE),"Non trouvé")</f>
        <v>Non trouvé</v>
      </c>
      <c r="J1282" t="str">
        <f>IFERROR(VLOOKUP(Logs_reseau[[#This Row],[Cell_ID]],'[1]Registre_Maintenance_combine '!A:F,6,FALSE),"Non trouvé")</f>
        <v>Non trouvé</v>
      </c>
    </row>
    <row r="1283" spans="1:10" x14ac:dyDescent="0.25">
      <c r="A1283" t="str">
        <f>IFERROR(VLOOKUP(Logs_reseau[[#This Row],[Cell_ID]],'[1]Registre_Maintenance_combine '!A:B,2,FALSE),"Non trouvé")</f>
        <v>Kinshasa</v>
      </c>
      <c r="B1283" t="s">
        <v>163</v>
      </c>
      <c r="C1283" s="3">
        <v>45218.088888888888</v>
      </c>
      <c r="D1283" s="11">
        <f>Logs_reseau[[#This Row],[Duree_Panne_Min]]/1440</f>
        <v>8.3333333333333332E-3</v>
      </c>
      <c r="E1283">
        <v>12</v>
      </c>
      <c r="F1283" t="s">
        <v>4</v>
      </c>
      <c r="G1283">
        <f>IFERROR(VLOOKUP(Logs_reseau[[#This Row],[Cell_ID]],'[1]Registre_Maintenance_combine '!A:C,3,FALSE),"Non trouvé")</f>
        <v>-11.389362</v>
      </c>
      <c r="H1283">
        <f>IFERROR(VLOOKUP(Logs_reseau[[#This Row],[Cell_ID]],'[1]Registre_Maintenance_combine '!A:D,4,FALSE),"Non trouvé")</f>
        <v>22.240174</v>
      </c>
      <c r="I1283" t="str">
        <f>IFERROR(VLOOKUP(Logs_reseau[[#This Row],[Cell_ID]],'[1]Registre_Maintenance_combine '!A:E,5,FALSE),"Non trouvé")</f>
        <v>5G</v>
      </c>
      <c r="J1283" t="str">
        <f>IFERROR(VLOOKUP(Logs_reseau[[#This Row],[Cell_ID]],'[1]Registre_Maintenance_combine '!A:F,6,FALSE),"Non trouvé")</f>
        <v>ZTE</v>
      </c>
    </row>
    <row r="1284" spans="1:10" x14ac:dyDescent="0.25">
      <c r="A1284" t="str">
        <f>IFERROR(VLOOKUP(Logs_reseau[[#This Row],[Cell_ID]],'[1]Registre_Maintenance_combine '!A:B,2,FALSE),"Non trouvé")</f>
        <v>Non trouvé</v>
      </c>
      <c r="B1284" t="s">
        <v>485</v>
      </c>
      <c r="C1284" s="3">
        <v>45210.836111111108</v>
      </c>
      <c r="D1284" s="11">
        <f>Logs_reseau[[#This Row],[Duree_Panne_Min]]/1440</f>
        <v>1.7361111111111112E-2</v>
      </c>
      <c r="E1284">
        <v>25</v>
      </c>
      <c r="F1284" t="s">
        <v>4</v>
      </c>
      <c r="G1284" t="str">
        <f>IFERROR(VLOOKUP(Logs_reseau[[#This Row],[Cell_ID]],'[1]Registre_Maintenance_combine '!A:C,3,FALSE),"Non trouvé")</f>
        <v>Non trouvé</v>
      </c>
      <c r="H1284" t="str">
        <f>IFERROR(VLOOKUP(Logs_reseau[[#This Row],[Cell_ID]],'[1]Registre_Maintenance_combine '!A:D,4,FALSE),"Non trouvé")</f>
        <v>Non trouvé</v>
      </c>
      <c r="I1284" t="str">
        <f>IFERROR(VLOOKUP(Logs_reseau[[#This Row],[Cell_ID]],'[1]Registre_Maintenance_combine '!A:E,5,FALSE),"Non trouvé")</f>
        <v>Non trouvé</v>
      </c>
      <c r="J1284" t="str">
        <f>IFERROR(VLOOKUP(Logs_reseau[[#This Row],[Cell_ID]],'[1]Registre_Maintenance_combine '!A:F,6,FALSE),"Non trouvé")</f>
        <v>Non trouvé</v>
      </c>
    </row>
    <row r="1285" spans="1:10" x14ac:dyDescent="0.25">
      <c r="A1285" t="str">
        <f>IFERROR(VLOOKUP(Logs_reseau[[#This Row],[Cell_ID]],'[1]Registre_Maintenance_combine '!A:B,2,FALSE),"Non trouvé")</f>
        <v>Non trouvé</v>
      </c>
      <c r="B1285" t="s">
        <v>486</v>
      </c>
      <c r="C1285" s="3">
        <v>45214.613194444442</v>
      </c>
      <c r="D1285" s="11">
        <f>Logs_reseau[[#This Row],[Duree_Panne_Min]]/1440</f>
        <v>4.2361111111111113E-2</v>
      </c>
      <c r="E1285">
        <v>61</v>
      </c>
      <c r="F1285" t="s">
        <v>4</v>
      </c>
      <c r="G1285" t="str">
        <f>IFERROR(VLOOKUP(Logs_reseau[[#This Row],[Cell_ID]],'[1]Registre_Maintenance_combine '!A:C,3,FALSE),"Non trouvé")</f>
        <v>Non trouvé</v>
      </c>
      <c r="H1285" t="str">
        <f>IFERROR(VLOOKUP(Logs_reseau[[#This Row],[Cell_ID]],'[1]Registre_Maintenance_combine '!A:D,4,FALSE),"Non trouvé")</f>
        <v>Non trouvé</v>
      </c>
      <c r="I1285" t="str">
        <f>IFERROR(VLOOKUP(Logs_reseau[[#This Row],[Cell_ID]],'[1]Registre_Maintenance_combine '!A:E,5,FALSE),"Non trouvé")</f>
        <v>Non trouvé</v>
      </c>
      <c r="J1285" t="str">
        <f>IFERROR(VLOOKUP(Logs_reseau[[#This Row],[Cell_ID]],'[1]Registre_Maintenance_combine '!A:F,6,FALSE),"Non trouvé")</f>
        <v>Non trouvé</v>
      </c>
    </row>
    <row r="1286" spans="1:10" x14ac:dyDescent="0.25">
      <c r="A1286" t="str">
        <f>IFERROR(VLOOKUP(Logs_reseau[[#This Row],[Cell_ID]],'[1]Registre_Maintenance_combine '!A:B,2,FALSE),"Non trouvé")</f>
        <v>Haut-Lomami</v>
      </c>
      <c r="B1286" t="s">
        <v>452</v>
      </c>
      <c r="C1286" s="3">
        <v>45216.463888888888</v>
      </c>
      <c r="D1286" s="11">
        <f>Logs_reseau[[#This Row],[Duree_Panne_Min]]/1440</f>
        <v>4.027777777777778E-2</v>
      </c>
      <c r="E1286">
        <v>58</v>
      </c>
      <c r="F1286" t="s">
        <v>1</v>
      </c>
      <c r="G1286">
        <f>IFERROR(VLOOKUP(Logs_reseau[[#This Row],[Cell_ID]],'[1]Registre_Maintenance_combine '!A:C,3,FALSE),"Non trouvé")</f>
        <v>-7.1785899999999998</v>
      </c>
      <c r="H1286">
        <f>IFERROR(VLOOKUP(Logs_reseau[[#This Row],[Cell_ID]],'[1]Registre_Maintenance_combine '!A:D,4,FALSE),"Non trouvé")</f>
        <v>24.4404</v>
      </c>
      <c r="I1286" t="str">
        <f>IFERROR(VLOOKUP(Logs_reseau[[#This Row],[Cell_ID]],'[1]Registre_Maintenance_combine '!A:E,5,FALSE),"Non trouvé")</f>
        <v>4G</v>
      </c>
      <c r="J1286" t="str">
        <f>IFERROR(VLOOKUP(Logs_reseau[[#This Row],[Cell_ID]],'[1]Registre_Maintenance_combine '!A:F,6,FALSE),"Non trouvé")</f>
        <v>Nokia</v>
      </c>
    </row>
    <row r="1287" spans="1:10" x14ac:dyDescent="0.25">
      <c r="A1287" t="str">
        <f>IFERROR(VLOOKUP(Logs_reseau[[#This Row],[Cell_ID]],'[1]Registre_Maintenance_combine '!A:B,2,FALSE),"Non trouvé")</f>
        <v>Kasai-Oriental</v>
      </c>
      <c r="B1287" t="s">
        <v>487</v>
      </c>
      <c r="C1287" s="3">
        <v>45228.736111111109</v>
      </c>
      <c r="D1287" s="11">
        <f>Logs_reseau[[#This Row],[Duree_Panne_Min]]/1440</f>
        <v>4.583333333333333E-2</v>
      </c>
      <c r="E1287">
        <v>66</v>
      </c>
      <c r="F1287" t="s">
        <v>4</v>
      </c>
      <c r="G1287">
        <f>IFERROR(VLOOKUP(Logs_reseau[[#This Row],[Cell_ID]],'[1]Registre_Maintenance_combine '!A:C,3,FALSE),"Non trouvé")</f>
        <v>-4.4831099999999999</v>
      </c>
      <c r="H1287">
        <f>IFERROR(VLOOKUP(Logs_reseau[[#This Row],[Cell_ID]],'[1]Registre_Maintenance_combine '!A:D,4,FALSE),"Non trouvé")</f>
        <v>25.406548000000001</v>
      </c>
      <c r="I1287" t="str">
        <f>IFERROR(VLOOKUP(Logs_reseau[[#This Row],[Cell_ID]],'[1]Registre_Maintenance_combine '!A:E,5,FALSE),"Non trouvé")</f>
        <v>5G</v>
      </c>
      <c r="J1287" t="str">
        <f>IFERROR(VLOOKUP(Logs_reseau[[#This Row],[Cell_ID]],'[1]Registre_Maintenance_combine '!A:F,6,FALSE),"Non trouvé")</f>
        <v>Nokia</v>
      </c>
    </row>
    <row r="1288" spans="1:10" x14ac:dyDescent="0.25">
      <c r="A1288" t="str">
        <f>IFERROR(VLOOKUP(Logs_reseau[[#This Row],[Cell_ID]],'[1]Registre_Maintenance_combine '!A:B,2,FALSE),"Non trouvé")</f>
        <v>Non trouvé</v>
      </c>
      <c r="B1288" t="s">
        <v>367</v>
      </c>
      <c r="C1288" s="3">
        <v>45218.242361111108</v>
      </c>
      <c r="D1288" s="11">
        <f>Logs_reseau[[#This Row],[Duree_Panne_Min]]/1440</f>
        <v>4.4444444444444446E-2</v>
      </c>
      <c r="E1288">
        <v>64</v>
      </c>
      <c r="F1288" t="s">
        <v>1</v>
      </c>
      <c r="G1288" t="str">
        <f>IFERROR(VLOOKUP(Logs_reseau[[#This Row],[Cell_ID]],'[1]Registre_Maintenance_combine '!A:C,3,FALSE),"Non trouvé")</f>
        <v>Non trouvé</v>
      </c>
      <c r="H1288" t="str">
        <f>IFERROR(VLOOKUP(Logs_reseau[[#This Row],[Cell_ID]],'[1]Registre_Maintenance_combine '!A:D,4,FALSE),"Non trouvé")</f>
        <v>Non trouvé</v>
      </c>
      <c r="I1288" t="str">
        <f>IFERROR(VLOOKUP(Logs_reseau[[#This Row],[Cell_ID]],'[1]Registre_Maintenance_combine '!A:E,5,FALSE),"Non trouvé")</f>
        <v>Non trouvé</v>
      </c>
      <c r="J1288" t="str">
        <f>IFERROR(VLOOKUP(Logs_reseau[[#This Row],[Cell_ID]],'[1]Registre_Maintenance_combine '!A:F,6,FALSE),"Non trouvé")</f>
        <v>Non trouvé</v>
      </c>
    </row>
    <row r="1289" spans="1:10" x14ac:dyDescent="0.25">
      <c r="A1289" t="str">
        <f>IFERROR(VLOOKUP(Logs_reseau[[#This Row],[Cell_ID]],'[1]Registre_Maintenance_combine '!A:B,2,FALSE),"Non trouvé")</f>
        <v>Non trouvé</v>
      </c>
      <c r="B1289" t="s">
        <v>488</v>
      </c>
      <c r="C1289" s="3">
        <v>45230.185416666667</v>
      </c>
      <c r="D1289" s="11">
        <f>Logs_reseau[[#This Row],[Duree_Panne_Min]]/1440</f>
        <v>2.1527777777777778E-2</v>
      </c>
      <c r="E1289">
        <v>31</v>
      </c>
      <c r="F1289" t="s">
        <v>2</v>
      </c>
      <c r="G1289" t="str">
        <f>IFERROR(VLOOKUP(Logs_reseau[[#This Row],[Cell_ID]],'[1]Registre_Maintenance_combine '!A:C,3,FALSE),"Non trouvé")</f>
        <v>Non trouvé</v>
      </c>
      <c r="H1289" t="str">
        <f>IFERROR(VLOOKUP(Logs_reseau[[#This Row],[Cell_ID]],'[1]Registre_Maintenance_combine '!A:D,4,FALSE),"Non trouvé")</f>
        <v>Non trouvé</v>
      </c>
      <c r="I1289" t="str">
        <f>IFERROR(VLOOKUP(Logs_reseau[[#This Row],[Cell_ID]],'[1]Registre_Maintenance_combine '!A:E,5,FALSE),"Non trouvé")</f>
        <v>Non trouvé</v>
      </c>
      <c r="J1289" t="str">
        <f>IFERROR(VLOOKUP(Logs_reseau[[#This Row],[Cell_ID]],'[1]Registre_Maintenance_combine '!A:F,6,FALSE),"Non trouvé")</f>
        <v>Non trouvé</v>
      </c>
    </row>
    <row r="1290" spans="1:10" x14ac:dyDescent="0.25">
      <c r="A1290" t="str">
        <f>IFERROR(VLOOKUP(Logs_reseau[[#This Row],[Cell_ID]],'[1]Registre_Maintenance_combine '!A:B,2,FALSE),"Non trouvé")</f>
        <v>Sud-Ubangi</v>
      </c>
      <c r="B1290" t="s">
        <v>194</v>
      </c>
      <c r="C1290" s="3">
        <v>45216.078472222223</v>
      </c>
      <c r="D1290" s="11">
        <f>Logs_reseau[[#This Row],[Duree_Panne_Min]]/1440</f>
        <v>3.3333333333333333E-2</v>
      </c>
      <c r="E1290">
        <v>48</v>
      </c>
      <c r="F1290" t="s">
        <v>2</v>
      </c>
      <c r="G1290">
        <f>IFERROR(VLOOKUP(Logs_reseau[[#This Row],[Cell_ID]],'[1]Registre_Maintenance_combine '!A:C,3,FALSE),"Non trouvé")</f>
        <v>-8.0864899999999995</v>
      </c>
      <c r="H1290">
        <f>IFERROR(VLOOKUP(Logs_reseau[[#This Row],[Cell_ID]],'[1]Registre_Maintenance_combine '!A:D,4,FALSE),"Non trouvé")</f>
        <v>14.555277</v>
      </c>
      <c r="I1290" t="str">
        <f>IFERROR(VLOOKUP(Logs_reseau[[#This Row],[Cell_ID]],'[1]Registre_Maintenance_combine '!A:E,5,FALSE),"Non trouvé")</f>
        <v>3G</v>
      </c>
      <c r="J1290" t="str">
        <f>IFERROR(VLOOKUP(Logs_reseau[[#This Row],[Cell_ID]],'[1]Registre_Maintenance_combine '!A:F,6,FALSE),"Non trouvé")</f>
        <v>Ericsson</v>
      </c>
    </row>
    <row r="1291" spans="1:10" x14ac:dyDescent="0.25">
      <c r="A1291" t="str">
        <f>IFERROR(VLOOKUP(Logs_reseau[[#This Row],[Cell_ID]],'[1]Registre_Maintenance_combine '!A:B,2,FALSE),"Non trouvé")</f>
        <v>Non trouvé</v>
      </c>
      <c r="B1291" t="s">
        <v>489</v>
      </c>
      <c r="C1291" s="3">
        <v>45203.67291666667</v>
      </c>
      <c r="D1291" s="11">
        <f>Logs_reseau[[#This Row],[Duree_Panne_Min]]/1440</f>
        <v>5.6944444444444443E-2</v>
      </c>
      <c r="E1291">
        <v>82</v>
      </c>
      <c r="F1291" t="s">
        <v>1</v>
      </c>
      <c r="G1291" t="str">
        <f>IFERROR(VLOOKUP(Logs_reseau[[#This Row],[Cell_ID]],'[1]Registre_Maintenance_combine '!A:C,3,FALSE),"Non trouvé")</f>
        <v>Non trouvé</v>
      </c>
      <c r="H1291" t="str">
        <f>IFERROR(VLOOKUP(Logs_reseau[[#This Row],[Cell_ID]],'[1]Registre_Maintenance_combine '!A:D,4,FALSE),"Non trouvé")</f>
        <v>Non trouvé</v>
      </c>
      <c r="I1291" t="str">
        <f>IFERROR(VLOOKUP(Logs_reseau[[#This Row],[Cell_ID]],'[1]Registre_Maintenance_combine '!A:E,5,FALSE),"Non trouvé")</f>
        <v>Non trouvé</v>
      </c>
      <c r="J1291" t="str">
        <f>IFERROR(VLOOKUP(Logs_reseau[[#This Row],[Cell_ID]],'[1]Registre_Maintenance_combine '!A:F,6,FALSE),"Non trouvé")</f>
        <v>Non trouvé</v>
      </c>
    </row>
    <row r="1292" spans="1:10" x14ac:dyDescent="0.25">
      <c r="A1292" t="str">
        <f>IFERROR(VLOOKUP(Logs_reseau[[#This Row],[Cell_ID]],'[1]Registre_Maintenance_combine '!A:B,2,FALSE),"Non trouvé")</f>
        <v>Kinshasa</v>
      </c>
      <c r="B1292" t="s">
        <v>163</v>
      </c>
      <c r="C1292" s="3">
        <v>45209.215277777781</v>
      </c>
      <c r="D1292" s="11">
        <f>Logs_reseau[[#This Row],[Duree_Panne_Min]]/1440</f>
        <v>1.5972222222222221E-2</v>
      </c>
      <c r="E1292">
        <v>23</v>
      </c>
      <c r="F1292" t="s">
        <v>4</v>
      </c>
      <c r="G1292">
        <f>IFERROR(VLOOKUP(Logs_reseau[[#This Row],[Cell_ID]],'[1]Registre_Maintenance_combine '!A:C,3,FALSE),"Non trouvé")</f>
        <v>-11.389362</v>
      </c>
      <c r="H1292">
        <f>IFERROR(VLOOKUP(Logs_reseau[[#This Row],[Cell_ID]],'[1]Registre_Maintenance_combine '!A:D,4,FALSE),"Non trouvé")</f>
        <v>22.240174</v>
      </c>
      <c r="I1292" t="str">
        <f>IFERROR(VLOOKUP(Logs_reseau[[#This Row],[Cell_ID]],'[1]Registre_Maintenance_combine '!A:E,5,FALSE),"Non trouvé")</f>
        <v>5G</v>
      </c>
      <c r="J1292" t="str">
        <f>IFERROR(VLOOKUP(Logs_reseau[[#This Row],[Cell_ID]],'[1]Registre_Maintenance_combine '!A:F,6,FALSE),"Non trouvé")</f>
        <v>ZTE</v>
      </c>
    </row>
    <row r="1293" spans="1:10" x14ac:dyDescent="0.25">
      <c r="A1293" t="str">
        <f>IFERROR(VLOOKUP(Logs_reseau[[#This Row],[Cell_ID]],'[1]Registre_Maintenance_combine '!A:B,2,FALSE),"Non trouvé")</f>
        <v>Haut-Lomami</v>
      </c>
      <c r="B1293" t="s">
        <v>354</v>
      </c>
      <c r="C1293" s="3">
        <v>45210.926388888889</v>
      </c>
      <c r="D1293" s="11">
        <f>Logs_reseau[[#This Row],[Duree_Panne_Min]]/1440</f>
        <v>3.125E-2</v>
      </c>
      <c r="E1293">
        <v>45</v>
      </c>
      <c r="F1293" t="s">
        <v>2</v>
      </c>
      <c r="G1293">
        <f>IFERROR(VLOOKUP(Logs_reseau[[#This Row],[Cell_ID]],'[1]Registre_Maintenance_combine '!A:C,3,FALSE),"Non trouvé")</f>
        <v>1.210869</v>
      </c>
      <c r="H1293">
        <f>IFERROR(VLOOKUP(Logs_reseau[[#This Row],[Cell_ID]],'[1]Registre_Maintenance_combine '!A:D,4,FALSE),"Non trouvé")</f>
        <v>25.598741</v>
      </c>
      <c r="I1293" t="str">
        <f>IFERROR(VLOOKUP(Logs_reseau[[#This Row],[Cell_ID]],'[1]Registre_Maintenance_combine '!A:E,5,FALSE),"Non trouvé")</f>
        <v>4G</v>
      </c>
      <c r="J1293" t="str">
        <f>IFERROR(VLOOKUP(Logs_reseau[[#This Row],[Cell_ID]],'[1]Registre_Maintenance_combine '!A:F,6,FALSE),"Non trouvé")</f>
        <v>Ericsson</v>
      </c>
    </row>
    <row r="1294" spans="1:10" x14ac:dyDescent="0.25">
      <c r="A1294" t="str">
        <f>IFERROR(VLOOKUP(Logs_reseau[[#This Row],[Cell_ID]],'[1]Registre_Maintenance_combine '!A:B,2,FALSE),"Non trouvé")</f>
        <v>Non trouvé</v>
      </c>
      <c r="B1294" t="s">
        <v>490</v>
      </c>
      <c r="C1294" s="3">
        <v>45211.706250000003</v>
      </c>
      <c r="D1294" s="11">
        <f>Logs_reseau[[#This Row],[Duree_Panne_Min]]/1440</f>
        <v>7.9861111111111105E-2</v>
      </c>
      <c r="E1294">
        <v>115</v>
      </c>
      <c r="F1294" t="s">
        <v>4</v>
      </c>
      <c r="G1294" t="str">
        <f>IFERROR(VLOOKUP(Logs_reseau[[#This Row],[Cell_ID]],'[1]Registre_Maintenance_combine '!A:C,3,FALSE),"Non trouvé")</f>
        <v>Non trouvé</v>
      </c>
      <c r="H1294" t="str">
        <f>IFERROR(VLOOKUP(Logs_reseau[[#This Row],[Cell_ID]],'[1]Registre_Maintenance_combine '!A:D,4,FALSE),"Non trouvé")</f>
        <v>Non trouvé</v>
      </c>
      <c r="I1294" t="str">
        <f>IFERROR(VLOOKUP(Logs_reseau[[#This Row],[Cell_ID]],'[1]Registre_Maintenance_combine '!A:E,5,FALSE),"Non trouvé")</f>
        <v>Non trouvé</v>
      </c>
      <c r="J1294" t="str">
        <f>IFERROR(VLOOKUP(Logs_reseau[[#This Row],[Cell_ID]],'[1]Registre_Maintenance_combine '!A:F,6,FALSE),"Non trouvé")</f>
        <v>Non trouvé</v>
      </c>
    </row>
    <row r="1295" spans="1:10" x14ac:dyDescent="0.25">
      <c r="A1295" t="str">
        <f>IFERROR(VLOOKUP(Logs_reseau[[#This Row],[Cell_ID]],'[1]Registre_Maintenance_combine '!A:B,2,FALSE),"Non trouvé")</f>
        <v>Non trouvé</v>
      </c>
      <c r="B1295" t="s">
        <v>491</v>
      </c>
      <c r="C1295" s="3">
        <v>45209.094444444447</v>
      </c>
      <c r="D1295" s="11">
        <f>Logs_reseau[[#This Row],[Duree_Panne_Min]]/1440</f>
        <v>6.6666666666666666E-2</v>
      </c>
      <c r="E1295">
        <v>96</v>
      </c>
      <c r="F1295" t="s">
        <v>1</v>
      </c>
      <c r="G1295" t="str">
        <f>IFERROR(VLOOKUP(Logs_reseau[[#This Row],[Cell_ID]],'[1]Registre_Maintenance_combine '!A:C,3,FALSE),"Non trouvé")</f>
        <v>Non trouvé</v>
      </c>
      <c r="H1295" t="str">
        <f>IFERROR(VLOOKUP(Logs_reseau[[#This Row],[Cell_ID]],'[1]Registre_Maintenance_combine '!A:D,4,FALSE),"Non trouvé")</f>
        <v>Non trouvé</v>
      </c>
      <c r="I1295" t="str">
        <f>IFERROR(VLOOKUP(Logs_reseau[[#This Row],[Cell_ID]],'[1]Registre_Maintenance_combine '!A:E,5,FALSE),"Non trouvé")</f>
        <v>Non trouvé</v>
      </c>
      <c r="J1295" t="str">
        <f>IFERROR(VLOOKUP(Logs_reseau[[#This Row],[Cell_ID]],'[1]Registre_Maintenance_combine '!A:F,6,FALSE),"Non trouvé")</f>
        <v>Non trouvé</v>
      </c>
    </row>
    <row r="1296" spans="1:10" x14ac:dyDescent="0.25">
      <c r="A1296" t="str">
        <f>IFERROR(VLOOKUP(Logs_reseau[[#This Row],[Cell_ID]],'[1]Registre_Maintenance_combine '!A:B,2,FALSE),"Non trouvé")</f>
        <v>Haut-Lomami</v>
      </c>
      <c r="B1296" t="s">
        <v>354</v>
      </c>
      <c r="C1296" s="3">
        <v>45206.857638888891</v>
      </c>
      <c r="D1296" s="11">
        <f>Logs_reseau[[#This Row],[Duree_Panne_Min]]/1440</f>
        <v>3.125E-2</v>
      </c>
      <c r="E1296">
        <v>45</v>
      </c>
      <c r="F1296" t="s">
        <v>4</v>
      </c>
      <c r="G1296">
        <f>IFERROR(VLOOKUP(Logs_reseau[[#This Row],[Cell_ID]],'[1]Registre_Maintenance_combine '!A:C,3,FALSE),"Non trouvé")</f>
        <v>1.210869</v>
      </c>
      <c r="H1296">
        <f>IFERROR(VLOOKUP(Logs_reseau[[#This Row],[Cell_ID]],'[1]Registre_Maintenance_combine '!A:D,4,FALSE),"Non trouvé")</f>
        <v>25.598741</v>
      </c>
      <c r="I1296" t="str">
        <f>IFERROR(VLOOKUP(Logs_reseau[[#This Row],[Cell_ID]],'[1]Registre_Maintenance_combine '!A:E,5,FALSE),"Non trouvé")</f>
        <v>4G</v>
      </c>
      <c r="J1296" t="str">
        <f>IFERROR(VLOOKUP(Logs_reseau[[#This Row],[Cell_ID]],'[1]Registre_Maintenance_combine '!A:F,6,FALSE),"Non trouvé")</f>
        <v>Ericsson</v>
      </c>
    </row>
    <row r="1297" spans="1:10" x14ac:dyDescent="0.25">
      <c r="A1297" t="str">
        <f>IFERROR(VLOOKUP(Logs_reseau[[#This Row],[Cell_ID]],'[1]Registre_Maintenance_combine '!A:B,2,FALSE),"Non trouvé")</f>
        <v>Non trouvé</v>
      </c>
      <c r="B1297" t="s">
        <v>492</v>
      </c>
      <c r="C1297" s="3">
        <v>45208.194444444445</v>
      </c>
      <c r="D1297" s="11">
        <f>Logs_reseau[[#This Row],[Duree_Panne_Min]]/1440</f>
        <v>6.805555555555555E-2</v>
      </c>
      <c r="E1297">
        <v>98</v>
      </c>
      <c r="F1297" t="s">
        <v>2</v>
      </c>
      <c r="G1297" t="str">
        <f>IFERROR(VLOOKUP(Logs_reseau[[#This Row],[Cell_ID]],'[1]Registre_Maintenance_combine '!A:C,3,FALSE),"Non trouvé")</f>
        <v>Non trouvé</v>
      </c>
      <c r="H1297" t="str">
        <f>IFERROR(VLOOKUP(Logs_reseau[[#This Row],[Cell_ID]],'[1]Registre_Maintenance_combine '!A:D,4,FALSE),"Non trouvé")</f>
        <v>Non trouvé</v>
      </c>
      <c r="I1297" t="str">
        <f>IFERROR(VLOOKUP(Logs_reseau[[#This Row],[Cell_ID]],'[1]Registre_Maintenance_combine '!A:E,5,FALSE),"Non trouvé")</f>
        <v>Non trouvé</v>
      </c>
      <c r="J1297" t="str">
        <f>IFERROR(VLOOKUP(Logs_reseau[[#This Row],[Cell_ID]],'[1]Registre_Maintenance_combine '!A:F,6,FALSE),"Non trouvé")</f>
        <v>Non trouvé</v>
      </c>
    </row>
    <row r="1298" spans="1:10" x14ac:dyDescent="0.25">
      <c r="A1298" t="str">
        <f>IFERROR(VLOOKUP(Logs_reseau[[#This Row],[Cell_ID]],'[1]Registre_Maintenance_combine '!A:B,2,FALSE),"Non trouvé")</f>
        <v>Non trouvé</v>
      </c>
      <c r="B1298" t="s">
        <v>267</v>
      </c>
      <c r="C1298" s="3">
        <v>45209.81527777778</v>
      </c>
      <c r="D1298" s="11">
        <f>Logs_reseau[[#This Row],[Duree_Panne_Min]]/1440</f>
        <v>7.9861111111111105E-2</v>
      </c>
      <c r="E1298">
        <v>115</v>
      </c>
      <c r="F1298" t="s">
        <v>4</v>
      </c>
      <c r="G1298" t="str">
        <f>IFERROR(VLOOKUP(Logs_reseau[[#This Row],[Cell_ID]],'[1]Registre_Maintenance_combine '!A:C,3,FALSE),"Non trouvé")</f>
        <v>Non trouvé</v>
      </c>
      <c r="H1298" t="str">
        <f>IFERROR(VLOOKUP(Logs_reseau[[#This Row],[Cell_ID]],'[1]Registre_Maintenance_combine '!A:D,4,FALSE),"Non trouvé")</f>
        <v>Non trouvé</v>
      </c>
      <c r="I1298" t="str">
        <f>IFERROR(VLOOKUP(Logs_reseau[[#This Row],[Cell_ID]],'[1]Registre_Maintenance_combine '!A:E,5,FALSE),"Non trouvé")</f>
        <v>Non trouvé</v>
      </c>
      <c r="J1298" t="str">
        <f>IFERROR(VLOOKUP(Logs_reseau[[#This Row],[Cell_ID]],'[1]Registre_Maintenance_combine '!A:F,6,FALSE),"Non trouvé")</f>
        <v>Non trouvé</v>
      </c>
    </row>
    <row r="1299" spans="1:10" x14ac:dyDescent="0.25">
      <c r="A1299" t="str">
        <f>IFERROR(VLOOKUP(Logs_reseau[[#This Row],[Cell_ID]],'[1]Registre_Maintenance_combine '!A:B,2,FALSE),"Non trouvé")</f>
        <v>Non trouvé</v>
      </c>
      <c r="B1299" t="s">
        <v>493</v>
      </c>
      <c r="C1299" s="3">
        <v>45202.695138888892</v>
      </c>
      <c r="D1299" s="11">
        <f>Logs_reseau[[#This Row],[Duree_Panne_Min]]/1440</f>
        <v>3.4027777777777775E-2</v>
      </c>
      <c r="E1299">
        <v>49</v>
      </c>
      <c r="F1299" t="s">
        <v>2</v>
      </c>
      <c r="G1299" t="str">
        <f>IFERROR(VLOOKUP(Logs_reseau[[#This Row],[Cell_ID]],'[1]Registre_Maintenance_combine '!A:C,3,FALSE),"Non trouvé")</f>
        <v>Non trouvé</v>
      </c>
      <c r="H1299" t="str">
        <f>IFERROR(VLOOKUP(Logs_reseau[[#This Row],[Cell_ID]],'[1]Registre_Maintenance_combine '!A:D,4,FALSE),"Non trouvé")</f>
        <v>Non trouvé</v>
      </c>
      <c r="I1299" t="str">
        <f>IFERROR(VLOOKUP(Logs_reseau[[#This Row],[Cell_ID]],'[1]Registre_Maintenance_combine '!A:E,5,FALSE),"Non trouvé")</f>
        <v>Non trouvé</v>
      </c>
      <c r="J1299" t="str">
        <f>IFERROR(VLOOKUP(Logs_reseau[[#This Row],[Cell_ID]],'[1]Registre_Maintenance_combine '!A:F,6,FALSE),"Non trouvé")</f>
        <v>Non trouvé</v>
      </c>
    </row>
    <row r="1300" spans="1:10" x14ac:dyDescent="0.25">
      <c r="A1300" t="str">
        <f>IFERROR(VLOOKUP(Logs_reseau[[#This Row],[Cell_ID]],'[1]Registre_Maintenance_combine '!A:B,2,FALSE),"Non trouvé")</f>
        <v>Non trouvé</v>
      </c>
      <c r="B1300" t="s">
        <v>26</v>
      </c>
      <c r="C1300" s="3">
        <v>45205.775694444441</v>
      </c>
      <c r="D1300" s="11">
        <f>Logs_reseau[[#This Row],[Duree_Panne_Min]]/1440</f>
        <v>3.888888888888889E-2</v>
      </c>
      <c r="E1300">
        <v>56</v>
      </c>
      <c r="F1300" t="s">
        <v>4</v>
      </c>
      <c r="G1300" t="str">
        <f>IFERROR(VLOOKUP(Logs_reseau[[#This Row],[Cell_ID]],'[1]Registre_Maintenance_combine '!A:C,3,FALSE),"Non trouvé")</f>
        <v>Non trouvé</v>
      </c>
      <c r="H1300" t="str">
        <f>IFERROR(VLOOKUP(Logs_reseau[[#This Row],[Cell_ID]],'[1]Registre_Maintenance_combine '!A:D,4,FALSE),"Non trouvé")</f>
        <v>Non trouvé</v>
      </c>
      <c r="I1300" t="str">
        <f>IFERROR(VLOOKUP(Logs_reseau[[#This Row],[Cell_ID]],'[1]Registre_Maintenance_combine '!A:E,5,FALSE),"Non trouvé")</f>
        <v>Non trouvé</v>
      </c>
      <c r="J1300" t="str">
        <f>IFERROR(VLOOKUP(Logs_reseau[[#This Row],[Cell_ID]],'[1]Registre_Maintenance_combine '!A:F,6,FALSE),"Non trouvé")</f>
        <v>Non trouvé</v>
      </c>
    </row>
    <row r="1301" spans="1:10" x14ac:dyDescent="0.25">
      <c r="A1301" t="str">
        <f>IFERROR(VLOOKUP(Logs_reseau[[#This Row],[Cell_ID]],'[1]Registre_Maintenance_combine '!A:B,2,FALSE),"Non trouvé")</f>
        <v>Kongo-Central</v>
      </c>
      <c r="B1301" t="s">
        <v>94</v>
      </c>
      <c r="C1301" s="3">
        <v>45204.237500000003</v>
      </c>
      <c r="D1301" s="11">
        <f>Logs_reseau[[#This Row],[Duree_Panne_Min]]/1440</f>
        <v>1.4583333333333334E-2</v>
      </c>
      <c r="E1301">
        <v>21</v>
      </c>
      <c r="F1301" t="s">
        <v>2</v>
      </c>
      <c r="G1301">
        <f>IFERROR(VLOOKUP(Logs_reseau[[#This Row],[Cell_ID]],'[1]Registre_Maintenance_combine '!A:C,3,FALSE),"Non trouvé")</f>
        <v>2.975352</v>
      </c>
      <c r="H1301">
        <f>IFERROR(VLOOKUP(Logs_reseau[[#This Row],[Cell_ID]],'[1]Registre_Maintenance_combine '!A:D,4,FALSE),"Non trouvé")</f>
        <v>22.535886000000001</v>
      </c>
      <c r="I1301" t="str">
        <f>IFERROR(VLOOKUP(Logs_reseau[[#This Row],[Cell_ID]],'[1]Registre_Maintenance_combine '!A:E,5,FALSE),"Non trouvé")</f>
        <v>4G</v>
      </c>
      <c r="J1301" t="str">
        <f>IFERROR(VLOOKUP(Logs_reseau[[#This Row],[Cell_ID]],'[1]Registre_Maintenance_combine '!A:F,6,FALSE),"Non trouvé")</f>
        <v>Huawei</v>
      </c>
    </row>
    <row r="1302" spans="1:10" x14ac:dyDescent="0.25">
      <c r="A1302" t="str">
        <f>IFERROR(VLOOKUP(Logs_reseau[[#This Row],[Cell_ID]],'[1]Registre_Maintenance_combine '!A:B,2,FALSE),"Non trouvé")</f>
        <v>Non trouvé</v>
      </c>
      <c r="B1302" t="s">
        <v>257</v>
      </c>
      <c r="C1302" s="3">
        <v>45219.997916666667</v>
      </c>
      <c r="D1302" s="11">
        <f>Logs_reseau[[#This Row],[Duree_Panne_Min]]/1440</f>
        <v>7.0833333333333331E-2</v>
      </c>
      <c r="E1302">
        <v>102</v>
      </c>
      <c r="F1302" t="s">
        <v>2</v>
      </c>
      <c r="G1302" t="str">
        <f>IFERROR(VLOOKUP(Logs_reseau[[#This Row],[Cell_ID]],'[1]Registre_Maintenance_combine '!A:C,3,FALSE),"Non trouvé")</f>
        <v>Non trouvé</v>
      </c>
      <c r="H1302" t="str">
        <f>IFERROR(VLOOKUP(Logs_reseau[[#This Row],[Cell_ID]],'[1]Registre_Maintenance_combine '!A:D,4,FALSE),"Non trouvé")</f>
        <v>Non trouvé</v>
      </c>
      <c r="I1302" t="str">
        <f>IFERROR(VLOOKUP(Logs_reseau[[#This Row],[Cell_ID]],'[1]Registre_Maintenance_combine '!A:E,5,FALSE),"Non trouvé")</f>
        <v>Non trouvé</v>
      </c>
      <c r="J1302" t="str">
        <f>IFERROR(VLOOKUP(Logs_reseau[[#This Row],[Cell_ID]],'[1]Registre_Maintenance_combine '!A:F,6,FALSE),"Non trouvé")</f>
        <v>Non trouvé</v>
      </c>
    </row>
    <row r="1303" spans="1:10" x14ac:dyDescent="0.25">
      <c r="A1303" t="str">
        <f>IFERROR(VLOOKUP(Logs_reseau[[#This Row],[Cell_ID]],'[1]Registre_Maintenance_combine '!A:B,2,FALSE),"Non trouvé")</f>
        <v>Non trouvé</v>
      </c>
      <c r="B1303" t="s">
        <v>494</v>
      </c>
      <c r="C1303" s="3">
        <v>45219.453472222223</v>
      </c>
      <c r="D1303" s="11">
        <f>Logs_reseau[[#This Row],[Duree_Panne_Min]]/1440</f>
        <v>3.6111111111111108E-2</v>
      </c>
      <c r="E1303">
        <v>52</v>
      </c>
      <c r="F1303" t="s">
        <v>2</v>
      </c>
      <c r="G1303" t="str">
        <f>IFERROR(VLOOKUP(Logs_reseau[[#This Row],[Cell_ID]],'[1]Registre_Maintenance_combine '!A:C,3,FALSE),"Non trouvé")</f>
        <v>Non trouvé</v>
      </c>
      <c r="H1303" t="str">
        <f>IFERROR(VLOOKUP(Logs_reseau[[#This Row],[Cell_ID]],'[1]Registre_Maintenance_combine '!A:D,4,FALSE),"Non trouvé")</f>
        <v>Non trouvé</v>
      </c>
      <c r="I1303" t="str">
        <f>IFERROR(VLOOKUP(Logs_reseau[[#This Row],[Cell_ID]],'[1]Registre_Maintenance_combine '!A:E,5,FALSE),"Non trouvé")</f>
        <v>Non trouvé</v>
      </c>
      <c r="J1303" t="str">
        <f>IFERROR(VLOOKUP(Logs_reseau[[#This Row],[Cell_ID]],'[1]Registre_Maintenance_combine '!A:F,6,FALSE),"Non trouvé")</f>
        <v>Non trouvé</v>
      </c>
    </row>
    <row r="1304" spans="1:10" x14ac:dyDescent="0.25">
      <c r="A1304" t="str">
        <f>IFERROR(VLOOKUP(Logs_reseau[[#This Row],[Cell_ID]],'[1]Registre_Maintenance_combine '!A:B,2,FALSE),"Non trouvé")</f>
        <v>Non trouvé</v>
      </c>
      <c r="B1304" t="s">
        <v>239</v>
      </c>
      <c r="C1304" s="3">
        <v>45229.751388888886</v>
      </c>
      <c r="D1304" s="11">
        <f>Logs_reseau[[#This Row],[Duree_Panne_Min]]/1440</f>
        <v>4.8611111111111112E-2</v>
      </c>
      <c r="E1304">
        <v>70</v>
      </c>
      <c r="F1304" t="s">
        <v>1</v>
      </c>
      <c r="G1304" t="str">
        <f>IFERROR(VLOOKUP(Logs_reseau[[#This Row],[Cell_ID]],'[1]Registre_Maintenance_combine '!A:C,3,FALSE),"Non trouvé")</f>
        <v>Non trouvé</v>
      </c>
      <c r="H1304" t="str">
        <f>IFERROR(VLOOKUP(Logs_reseau[[#This Row],[Cell_ID]],'[1]Registre_Maintenance_combine '!A:D,4,FALSE),"Non trouvé")</f>
        <v>Non trouvé</v>
      </c>
      <c r="I1304" t="str">
        <f>IFERROR(VLOOKUP(Logs_reseau[[#This Row],[Cell_ID]],'[1]Registre_Maintenance_combine '!A:E,5,FALSE),"Non trouvé")</f>
        <v>Non trouvé</v>
      </c>
      <c r="J1304" t="str">
        <f>IFERROR(VLOOKUP(Logs_reseau[[#This Row],[Cell_ID]],'[1]Registre_Maintenance_combine '!A:F,6,FALSE),"Non trouvé")</f>
        <v>Non trouvé</v>
      </c>
    </row>
    <row r="1305" spans="1:10" x14ac:dyDescent="0.25">
      <c r="A1305" t="str">
        <f>IFERROR(VLOOKUP(Logs_reseau[[#This Row],[Cell_ID]],'[1]Registre_Maintenance_combine '!A:B,2,FALSE),"Non trouvé")</f>
        <v>Non trouvé</v>
      </c>
      <c r="B1305" t="s">
        <v>495</v>
      </c>
      <c r="C1305" s="3">
        <v>45226.003472222219</v>
      </c>
      <c r="D1305" s="11">
        <f>Logs_reseau[[#This Row],[Duree_Panne_Min]]/1440</f>
        <v>5.2777777777777778E-2</v>
      </c>
      <c r="E1305">
        <v>76</v>
      </c>
      <c r="F1305" t="s">
        <v>1</v>
      </c>
      <c r="G1305" t="str">
        <f>IFERROR(VLOOKUP(Logs_reseau[[#This Row],[Cell_ID]],'[1]Registre_Maintenance_combine '!A:C,3,FALSE),"Non trouvé")</f>
        <v>Non trouvé</v>
      </c>
      <c r="H1305" t="str">
        <f>IFERROR(VLOOKUP(Logs_reseau[[#This Row],[Cell_ID]],'[1]Registre_Maintenance_combine '!A:D,4,FALSE),"Non trouvé")</f>
        <v>Non trouvé</v>
      </c>
      <c r="I1305" t="str">
        <f>IFERROR(VLOOKUP(Logs_reseau[[#This Row],[Cell_ID]],'[1]Registre_Maintenance_combine '!A:E,5,FALSE),"Non trouvé")</f>
        <v>Non trouvé</v>
      </c>
      <c r="J1305" t="str">
        <f>IFERROR(VLOOKUP(Logs_reseau[[#This Row],[Cell_ID]],'[1]Registre_Maintenance_combine '!A:F,6,FALSE),"Non trouvé")</f>
        <v>Non trouvé</v>
      </c>
    </row>
    <row r="1306" spans="1:10" x14ac:dyDescent="0.25">
      <c r="A1306" t="str">
        <f>IFERROR(VLOOKUP(Logs_reseau[[#This Row],[Cell_ID]],'[1]Registre_Maintenance_combine '!A:B,2,FALSE),"Non trouvé")</f>
        <v>Kongo-Central</v>
      </c>
      <c r="B1306" t="s">
        <v>412</v>
      </c>
      <c r="C1306" s="3">
        <v>45201.867361111108</v>
      </c>
      <c r="D1306" s="11">
        <f>Logs_reseau[[#This Row],[Duree_Panne_Min]]/1440</f>
        <v>1.2500000000000001E-2</v>
      </c>
      <c r="E1306">
        <v>18</v>
      </c>
      <c r="F1306" t="s">
        <v>1</v>
      </c>
      <c r="G1306">
        <f>IFERROR(VLOOKUP(Logs_reseau[[#This Row],[Cell_ID]],'[1]Registre_Maintenance_combine '!A:C,3,FALSE),"Non trouvé")</f>
        <v>-12.112399999999999</v>
      </c>
      <c r="H1306">
        <f>IFERROR(VLOOKUP(Logs_reseau[[#This Row],[Cell_ID]],'[1]Registre_Maintenance_combine '!A:D,4,FALSE),"Non trouvé")</f>
        <v>15.872226</v>
      </c>
      <c r="I1306" t="str">
        <f>IFERROR(VLOOKUP(Logs_reseau[[#This Row],[Cell_ID]],'[1]Registre_Maintenance_combine '!A:E,5,FALSE),"Non trouvé")</f>
        <v>4G</v>
      </c>
      <c r="J1306" t="str">
        <f>IFERROR(VLOOKUP(Logs_reseau[[#This Row],[Cell_ID]],'[1]Registre_Maintenance_combine '!A:F,6,FALSE),"Non trouvé")</f>
        <v>Nokia</v>
      </c>
    </row>
    <row r="1307" spans="1:10" x14ac:dyDescent="0.25">
      <c r="A1307" t="str">
        <f>IFERROR(VLOOKUP(Logs_reseau[[#This Row],[Cell_ID]],'[1]Registre_Maintenance_combine '!A:B,2,FALSE),"Non trouvé")</f>
        <v>Non trouvé</v>
      </c>
      <c r="B1307" t="s">
        <v>233</v>
      </c>
      <c r="C1307" s="3">
        <v>45218.361805555556</v>
      </c>
      <c r="D1307" s="11">
        <f>Logs_reseau[[#This Row],[Duree_Panne_Min]]/1440</f>
        <v>3.125E-2</v>
      </c>
      <c r="E1307">
        <v>45</v>
      </c>
      <c r="F1307" t="s">
        <v>4</v>
      </c>
      <c r="G1307" t="str">
        <f>IFERROR(VLOOKUP(Logs_reseau[[#This Row],[Cell_ID]],'[1]Registre_Maintenance_combine '!A:C,3,FALSE),"Non trouvé")</f>
        <v>Non trouvé</v>
      </c>
      <c r="H1307" t="str">
        <f>IFERROR(VLOOKUP(Logs_reseau[[#This Row],[Cell_ID]],'[1]Registre_Maintenance_combine '!A:D,4,FALSE),"Non trouvé")</f>
        <v>Non trouvé</v>
      </c>
      <c r="I1307" t="str">
        <f>IFERROR(VLOOKUP(Logs_reseau[[#This Row],[Cell_ID]],'[1]Registre_Maintenance_combine '!A:E,5,FALSE),"Non trouvé")</f>
        <v>Non trouvé</v>
      </c>
      <c r="J1307" t="str">
        <f>IFERROR(VLOOKUP(Logs_reseau[[#This Row],[Cell_ID]],'[1]Registre_Maintenance_combine '!A:F,6,FALSE),"Non trouvé")</f>
        <v>Non trouvé</v>
      </c>
    </row>
    <row r="1308" spans="1:10" x14ac:dyDescent="0.25">
      <c r="A1308" t="str">
        <f>IFERROR(VLOOKUP(Logs_reseau[[#This Row],[Cell_ID]],'[1]Registre_Maintenance_combine '!A:B,2,FALSE),"Non trouvé")</f>
        <v>Non trouvé</v>
      </c>
      <c r="B1308" t="s">
        <v>496</v>
      </c>
      <c r="C1308" s="3">
        <v>45206.768055555556</v>
      </c>
      <c r="D1308" s="11">
        <f>Logs_reseau[[#This Row],[Duree_Panne_Min]]/1440</f>
        <v>2.4305555555555556E-2</v>
      </c>
      <c r="E1308">
        <v>35</v>
      </c>
      <c r="F1308" t="s">
        <v>4</v>
      </c>
      <c r="G1308" t="str">
        <f>IFERROR(VLOOKUP(Logs_reseau[[#This Row],[Cell_ID]],'[1]Registre_Maintenance_combine '!A:C,3,FALSE),"Non trouvé")</f>
        <v>Non trouvé</v>
      </c>
      <c r="H1308" t="str">
        <f>IFERROR(VLOOKUP(Logs_reseau[[#This Row],[Cell_ID]],'[1]Registre_Maintenance_combine '!A:D,4,FALSE),"Non trouvé")</f>
        <v>Non trouvé</v>
      </c>
      <c r="I1308" t="str">
        <f>IFERROR(VLOOKUP(Logs_reseau[[#This Row],[Cell_ID]],'[1]Registre_Maintenance_combine '!A:E,5,FALSE),"Non trouvé")</f>
        <v>Non trouvé</v>
      </c>
      <c r="J1308" t="str">
        <f>IFERROR(VLOOKUP(Logs_reseau[[#This Row],[Cell_ID]],'[1]Registre_Maintenance_combine '!A:F,6,FALSE),"Non trouvé")</f>
        <v>Non trouvé</v>
      </c>
    </row>
    <row r="1309" spans="1:10" x14ac:dyDescent="0.25">
      <c r="A1309" t="str">
        <f>IFERROR(VLOOKUP(Logs_reseau[[#This Row],[Cell_ID]],'[1]Registre_Maintenance_combine '!A:B,2,FALSE),"Non trouvé")</f>
        <v>Non trouvé</v>
      </c>
      <c r="B1309" t="s">
        <v>497</v>
      </c>
      <c r="C1309" s="3">
        <v>45219.834027777775</v>
      </c>
      <c r="D1309" s="11">
        <f>Logs_reseau[[#This Row],[Duree_Panne_Min]]/1440</f>
        <v>4.4444444444444446E-2</v>
      </c>
      <c r="E1309">
        <v>64</v>
      </c>
      <c r="F1309" t="s">
        <v>4</v>
      </c>
      <c r="G1309" t="str">
        <f>IFERROR(VLOOKUP(Logs_reseau[[#This Row],[Cell_ID]],'[1]Registre_Maintenance_combine '!A:C,3,FALSE),"Non trouvé")</f>
        <v>Non trouvé</v>
      </c>
      <c r="H1309" t="str">
        <f>IFERROR(VLOOKUP(Logs_reseau[[#This Row],[Cell_ID]],'[1]Registre_Maintenance_combine '!A:D,4,FALSE),"Non trouvé")</f>
        <v>Non trouvé</v>
      </c>
      <c r="I1309" t="str">
        <f>IFERROR(VLOOKUP(Logs_reseau[[#This Row],[Cell_ID]],'[1]Registre_Maintenance_combine '!A:E,5,FALSE),"Non trouvé")</f>
        <v>Non trouvé</v>
      </c>
      <c r="J1309" t="str">
        <f>IFERROR(VLOOKUP(Logs_reseau[[#This Row],[Cell_ID]],'[1]Registre_Maintenance_combine '!A:F,6,FALSE),"Non trouvé")</f>
        <v>Non trouvé</v>
      </c>
    </row>
    <row r="1310" spans="1:10" x14ac:dyDescent="0.25">
      <c r="A1310" t="str">
        <f>IFERROR(VLOOKUP(Logs_reseau[[#This Row],[Cell_ID]],'[1]Registre_Maintenance_combine '!A:B,2,FALSE),"Non trouvé")</f>
        <v>Non trouvé</v>
      </c>
      <c r="B1310" t="s">
        <v>53</v>
      </c>
      <c r="C1310" s="3">
        <v>45201.043055555558</v>
      </c>
      <c r="D1310" s="11">
        <f>Logs_reseau[[#This Row],[Duree_Panne_Min]]/1440</f>
        <v>3.125E-2</v>
      </c>
      <c r="E1310">
        <v>45</v>
      </c>
      <c r="F1310" t="s">
        <v>2</v>
      </c>
      <c r="G1310" t="str">
        <f>IFERROR(VLOOKUP(Logs_reseau[[#This Row],[Cell_ID]],'[1]Registre_Maintenance_combine '!A:C,3,FALSE),"Non trouvé")</f>
        <v>Non trouvé</v>
      </c>
      <c r="H1310" t="str">
        <f>IFERROR(VLOOKUP(Logs_reseau[[#This Row],[Cell_ID]],'[1]Registre_Maintenance_combine '!A:D,4,FALSE),"Non trouvé")</f>
        <v>Non trouvé</v>
      </c>
      <c r="I1310" t="str">
        <f>IFERROR(VLOOKUP(Logs_reseau[[#This Row],[Cell_ID]],'[1]Registre_Maintenance_combine '!A:E,5,FALSE),"Non trouvé")</f>
        <v>Non trouvé</v>
      </c>
      <c r="J1310" t="str">
        <f>IFERROR(VLOOKUP(Logs_reseau[[#This Row],[Cell_ID]],'[1]Registre_Maintenance_combine '!A:F,6,FALSE),"Non trouvé")</f>
        <v>Non trouvé</v>
      </c>
    </row>
    <row r="1311" spans="1:10" x14ac:dyDescent="0.25">
      <c r="A1311" t="str">
        <f>IFERROR(VLOOKUP(Logs_reseau[[#This Row],[Cell_ID]],'[1]Registre_Maintenance_combine '!A:B,2,FALSE),"Non trouvé")</f>
        <v>Non trouvé</v>
      </c>
      <c r="B1311" t="s">
        <v>498</v>
      </c>
      <c r="C1311" s="3">
        <v>45204.931250000001</v>
      </c>
      <c r="D1311" s="11">
        <f>Logs_reseau[[#This Row],[Duree_Panne_Min]]/1440</f>
        <v>4.583333333333333E-2</v>
      </c>
      <c r="E1311">
        <v>66</v>
      </c>
      <c r="F1311" t="s">
        <v>1</v>
      </c>
      <c r="G1311" t="str">
        <f>IFERROR(VLOOKUP(Logs_reseau[[#This Row],[Cell_ID]],'[1]Registre_Maintenance_combine '!A:C,3,FALSE),"Non trouvé")</f>
        <v>Non trouvé</v>
      </c>
      <c r="H1311" t="str">
        <f>IFERROR(VLOOKUP(Logs_reseau[[#This Row],[Cell_ID]],'[1]Registre_Maintenance_combine '!A:D,4,FALSE),"Non trouvé")</f>
        <v>Non trouvé</v>
      </c>
      <c r="I1311" t="str">
        <f>IFERROR(VLOOKUP(Logs_reseau[[#This Row],[Cell_ID]],'[1]Registre_Maintenance_combine '!A:E,5,FALSE),"Non trouvé")</f>
        <v>Non trouvé</v>
      </c>
      <c r="J1311" t="str">
        <f>IFERROR(VLOOKUP(Logs_reseau[[#This Row],[Cell_ID]],'[1]Registre_Maintenance_combine '!A:F,6,FALSE),"Non trouvé")</f>
        <v>Non trouvé</v>
      </c>
    </row>
    <row r="1312" spans="1:10" x14ac:dyDescent="0.25">
      <c r="A1312" t="str">
        <f>IFERROR(VLOOKUP(Logs_reseau[[#This Row],[Cell_ID]],'[1]Registre_Maintenance_combine '!A:B,2,FALSE),"Non trouvé")</f>
        <v>Non trouvé</v>
      </c>
      <c r="B1312" t="s">
        <v>499</v>
      </c>
      <c r="C1312" s="3">
        <v>45225.647916666669</v>
      </c>
      <c r="D1312" s="11">
        <f>Logs_reseau[[#This Row],[Duree_Panne_Min]]/1440</f>
        <v>3.4027777777777775E-2</v>
      </c>
      <c r="E1312">
        <v>49</v>
      </c>
      <c r="F1312" t="s">
        <v>1</v>
      </c>
      <c r="G1312" t="str">
        <f>IFERROR(VLOOKUP(Logs_reseau[[#This Row],[Cell_ID]],'[1]Registre_Maintenance_combine '!A:C,3,FALSE),"Non trouvé")</f>
        <v>Non trouvé</v>
      </c>
      <c r="H1312" t="str">
        <f>IFERROR(VLOOKUP(Logs_reseau[[#This Row],[Cell_ID]],'[1]Registre_Maintenance_combine '!A:D,4,FALSE),"Non trouvé")</f>
        <v>Non trouvé</v>
      </c>
      <c r="I1312" t="str">
        <f>IFERROR(VLOOKUP(Logs_reseau[[#This Row],[Cell_ID]],'[1]Registre_Maintenance_combine '!A:E,5,FALSE),"Non trouvé")</f>
        <v>Non trouvé</v>
      </c>
      <c r="J1312" t="str">
        <f>IFERROR(VLOOKUP(Logs_reseau[[#This Row],[Cell_ID]],'[1]Registre_Maintenance_combine '!A:F,6,FALSE),"Non trouvé")</f>
        <v>Non trouvé</v>
      </c>
    </row>
    <row r="1313" spans="1:10" x14ac:dyDescent="0.25">
      <c r="A1313" t="str">
        <f>IFERROR(VLOOKUP(Logs_reseau[[#This Row],[Cell_ID]],'[1]Registre_Maintenance_combine '!A:B,2,FALSE),"Non trouvé")</f>
        <v>Non trouvé</v>
      </c>
      <c r="B1313" t="s">
        <v>222</v>
      </c>
      <c r="C1313" s="3">
        <v>45214.193055555559</v>
      </c>
      <c r="D1313" s="11">
        <f>Logs_reseau[[#This Row],[Duree_Panne_Min]]/1440</f>
        <v>5.2777777777777778E-2</v>
      </c>
      <c r="E1313">
        <v>76</v>
      </c>
      <c r="F1313" t="s">
        <v>4</v>
      </c>
      <c r="G1313" t="str">
        <f>IFERROR(VLOOKUP(Logs_reseau[[#This Row],[Cell_ID]],'[1]Registre_Maintenance_combine '!A:C,3,FALSE),"Non trouvé")</f>
        <v>Non trouvé</v>
      </c>
      <c r="H1313" t="str">
        <f>IFERROR(VLOOKUP(Logs_reseau[[#This Row],[Cell_ID]],'[1]Registre_Maintenance_combine '!A:D,4,FALSE),"Non trouvé")</f>
        <v>Non trouvé</v>
      </c>
      <c r="I1313" t="str">
        <f>IFERROR(VLOOKUP(Logs_reseau[[#This Row],[Cell_ID]],'[1]Registre_Maintenance_combine '!A:E,5,FALSE),"Non trouvé")</f>
        <v>Non trouvé</v>
      </c>
      <c r="J1313" t="str">
        <f>IFERROR(VLOOKUP(Logs_reseau[[#This Row],[Cell_ID]],'[1]Registre_Maintenance_combine '!A:F,6,FALSE),"Non trouvé")</f>
        <v>Non trouvé</v>
      </c>
    </row>
    <row r="1314" spans="1:10" x14ac:dyDescent="0.25">
      <c r="A1314" t="str">
        <f>IFERROR(VLOOKUP(Logs_reseau[[#This Row],[Cell_ID]],'[1]Registre_Maintenance_combine '!A:B,2,FALSE),"Non trouvé")</f>
        <v>Lualaba</v>
      </c>
      <c r="B1314" t="s">
        <v>500</v>
      </c>
      <c r="C1314" s="3">
        <v>45228.672222222223</v>
      </c>
      <c r="D1314" s="11">
        <f>Logs_reseau[[#This Row],[Duree_Panne_Min]]/1440</f>
        <v>7.3611111111111113E-2</v>
      </c>
      <c r="E1314">
        <v>106</v>
      </c>
      <c r="F1314" t="s">
        <v>1</v>
      </c>
      <c r="G1314">
        <f>IFERROR(VLOOKUP(Logs_reseau[[#This Row],[Cell_ID]],'[1]Registre_Maintenance_combine '!A:C,3,FALSE),"Non trouvé")</f>
        <v>2.0392079999999999</v>
      </c>
      <c r="H1314">
        <f>IFERROR(VLOOKUP(Logs_reseau[[#This Row],[Cell_ID]],'[1]Registre_Maintenance_combine '!A:D,4,FALSE),"Non trouvé")</f>
        <v>19.090841999999999</v>
      </c>
      <c r="I1314" t="str">
        <f>IFERROR(VLOOKUP(Logs_reseau[[#This Row],[Cell_ID]],'[1]Registre_Maintenance_combine '!A:E,5,FALSE),"Non trouvé")</f>
        <v>4G</v>
      </c>
      <c r="J1314" t="str">
        <f>IFERROR(VLOOKUP(Logs_reseau[[#This Row],[Cell_ID]],'[1]Registre_Maintenance_combine '!A:F,6,FALSE),"Non trouvé")</f>
        <v>Nokia</v>
      </c>
    </row>
    <row r="1315" spans="1:10" x14ac:dyDescent="0.25">
      <c r="A1315" t="str">
        <f>IFERROR(VLOOKUP(Logs_reseau[[#This Row],[Cell_ID]],'[1]Registre_Maintenance_combine '!A:B,2,FALSE),"Non trouvé")</f>
        <v>Non trouvé</v>
      </c>
      <c r="B1315" t="s">
        <v>501</v>
      </c>
      <c r="C1315" s="3">
        <v>45210.805555555555</v>
      </c>
      <c r="D1315" s="11">
        <f>Logs_reseau[[#This Row],[Duree_Panne_Min]]/1440</f>
        <v>6.7361111111111108E-2</v>
      </c>
      <c r="E1315">
        <v>97</v>
      </c>
      <c r="F1315" t="s">
        <v>1</v>
      </c>
      <c r="G1315" t="str">
        <f>IFERROR(VLOOKUP(Logs_reseau[[#This Row],[Cell_ID]],'[1]Registre_Maintenance_combine '!A:C,3,FALSE),"Non trouvé")</f>
        <v>Non trouvé</v>
      </c>
      <c r="H1315" t="str">
        <f>IFERROR(VLOOKUP(Logs_reseau[[#This Row],[Cell_ID]],'[1]Registre_Maintenance_combine '!A:D,4,FALSE),"Non trouvé")</f>
        <v>Non trouvé</v>
      </c>
      <c r="I1315" t="str">
        <f>IFERROR(VLOOKUP(Logs_reseau[[#This Row],[Cell_ID]],'[1]Registre_Maintenance_combine '!A:E,5,FALSE),"Non trouvé")</f>
        <v>Non trouvé</v>
      </c>
      <c r="J1315" t="str">
        <f>IFERROR(VLOOKUP(Logs_reseau[[#This Row],[Cell_ID]],'[1]Registre_Maintenance_combine '!A:F,6,FALSE),"Non trouvé")</f>
        <v>Non trouvé</v>
      </c>
    </row>
    <row r="1316" spans="1:10" x14ac:dyDescent="0.25">
      <c r="A1316" t="str">
        <f>IFERROR(VLOOKUP(Logs_reseau[[#This Row],[Cell_ID]],'[1]Registre_Maintenance_combine '!A:B,2,FALSE),"Non trouvé")</f>
        <v>Nord-Kivu</v>
      </c>
      <c r="B1316" t="s">
        <v>502</v>
      </c>
      <c r="C1316" s="3">
        <v>45205.527083333334</v>
      </c>
      <c r="D1316" s="11">
        <f>Logs_reseau[[#This Row],[Duree_Panne_Min]]/1440</f>
        <v>2.7777777777777776E-2</v>
      </c>
      <c r="E1316">
        <v>40</v>
      </c>
      <c r="F1316" t="s">
        <v>4</v>
      </c>
      <c r="G1316">
        <f>IFERROR(VLOOKUP(Logs_reseau[[#This Row],[Cell_ID]],'[1]Registre_Maintenance_combine '!A:C,3,FALSE),"Non trouvé")</f>
        <v>-5.42171</v>
      </c>
      <c r="H1316">
        <f>IFERROR(VLOOKUP(Logs_reseau[[#This Row],[Cell_ID]],'[1]Registre_Maintenance_combine '!A:D,4,FALSE),"Non trouvé")</f>
        <v>24.202960999999998</v>
      </c>
      <c r="I1316" t="str">
        <f>IFERROR(VLOOKUP(Logs_reseau[[#This Row],[Cell_ID]],'[1]Registre_Maintenance_combine '!A:E,5,FALSE),"Non trouvé")</f>
        <v>5G</v>
      </c>
      <c r="J1316" t="str">
        <f>IFERROR(VLOOKUP(Logs_reseau[[#This Row],[Cell_ID]],'[1]Registre_Maintenance_combine '!A:F,6,FALSE),"Non trouvé")</f>
        <v>Ericsson</v>
      </c>
    </row>
    <row r="1317" spans="1:10" x14ac:dyDescent="0.25">
      <c r="A1317" t="str">
        <f>IFERROR(VLOOKUP(Logs_reseau[[#This Row],[Cell_ID]],'[1]Registre_Maintenance_combine '!A:B,2,FALSE),"Non trouvé")</f>
        <v>Mongala</v>
      </c>
      <c r="B1317" t="s">
        <v>55</v>
      </c>
      <c r="C1317" s="3">
        <v>45223.400694444441</v>
      </c>
      <c r="D1317" s="11">
        <f>Logs_reseau[[#This Row],[Duree_Panne_Min]]/1440</f>
        <v>2.8472222222222222E-2</v>
      </c>
      <c r="E1317">
        <v>41</v>
      </c>
      <c r="F1317" t="s">
        <v>4</v>
      </c>
      <c r="G1317">
        <f>IFERROR(VLOOKUP(Logs_reseau[[#This Row],[Cell_ID]],'[1]Registre_Maintenance_combine '!A:C,3,FALSE),"Non trouvé")</f>
        <v>-1.231033</v>
      </c>
      <c r="H1317">
        <f>IFERROR(VLOOKUP(Logs_reseau[[#This Row],[Cell_ID]],'[1]Registre_Maintenance_combine '!A:D,4,FALSE),"Non trouvé")</f>
        <v>28.851388</v>
      </c>
      <c r="I1317" t="str">
        <f>IFERROR(VLOOKUP(Logs_reseau[[#This Row],[Cell_ID]],'[1]Registre_Maintenance_combine '!A:E,5,FALSE),"Non trouvé")</f>
        <v>3G</v>
      </c>
      <c r="J1317" t="str">
        <f>IFERROR(VLOOKUP(Logs_reseau[[#This Row],[Cell_ID]],'[1]Registre_Maintenance_combine '!A:F,6,FALSE),"Non trouvé")</f>
        <v>Ericsson</v>
      </c>
    </row>
    <row r="1318" spans="1:10" x14ac:dyDescent="0.25">
      <c r="A1318" t="str">
        <f>IFERROR(VLOOKUP(Logs_reseau[[#This Row],[Cell_ID]],'[1]Registre_Maintenance_combine '!A:B,2,FALSE),"Non trouvé")</f>
        <v>Equateur</v>
      </c>
      <c r="B1318" t="s">
        <v>104</v>
      </c>
      <c r="C1318" s="3">
        <v>45210.703472222223</v>
      </c>
      <c r="D1318" s="11">
        <f>Logs_reseau[[#This Row],[Duree_Panne_Min]]/1440</f>
        <v>1.3888888888888888E-2</v>
      </c>
      <c r="E1318">
        <v>20</v>
      </c>
      <c r="F1318" t="s">
        <v>1</v>
      </c>
      <c r="G1318">
        <f>IFERROR(VLOOKUP(Logs_reseau[[#This Row],[Cell_ID]],'[1]Registre_Maintenance_combine '!A:C,3,FALSE),"Non trouvé")</f>
        <v>-0.79459900000000006</v>
      </c>
      <c r="H1318">
        <f>IFERROR(VLOOKUP(Logs_reseau[[#This Row],[Cell_ID]],'[1]Registre_Maintenance_combine '!A:D,4,FALSE),"Non trouvé")</f>
        <v>26.775570999999999</v>
      </c>
      <c r="I1318" t="str">
        <f>IFERROR(VLOOKUP(Logs_reseau[[#This Row],[Cell_ID]],'[1]Registre_Maintenance_combine '!A:E,5,FALSE),"Non trouvé")</f>
        <v>5G</v>
      </c>
      <c r="J1318" t="str">
        <f>IFERROR(VLOOKUP(Logs_reseau[[#This Row],[Cell_ID]],'[1]Registre_Maintenance_combine '!A:F,6,FALSE),"Non trouvé")</f>
        <v>Huawei</v>
      </c>
    </row>
    <row r="1319" spans="1:10" x14ac:dyDescent="0.25">
      <c r="A1319" t="str">
        <f>IFERROR(VLOOKUP(Logs_reseau[[#This Row],[Cell_ID]],'[1]Registre_Maintenance_combine '!A:B,2,FALSE),"Non trouvé")</f>
        <v>Lualaba</v>
      </c>
      <c r="B1319" t="s">
        <v>349</v>
      </c>
      <c r="C1319" s="3">
        <v>45216.729861111111</v>
      </c>
      <c r="D1319" s="11">
        <f>Logs_reseau[[#This Row],[Duree_Panne_Min]]/1440</f>
        <v>5.4166666666666669E-2</v>
      </c>
      <c r="E1319">
        <v>78</v>
      </c>
      <c r="F1319" t="s">
        <v>2</v>
      </c>
      <c r="G1319">
        <f>IFERROR(VLOOKUP(Logs_reseau[[#This Row],[Cell_ID]],'[1]Registre_Maintenance_combine '!A:C,3,FALSE),"Non trouvé")</f>
        <v>-9.5243310000000001</v>
      </c>
      <c r="H1319">
        <f>IFERROR(VLOOKUP(Logs_reseau[[#This Row],[Cell_ID]],'[1]Registre_Maintenance_combine '!A:D,4,FALSE),"Non trouvé")</f>
        <v>30.541212000000002</v>
      </c>
      <c r="I1319" t="str">
        <f>IFERROR(VLOOKUP(Logs_reseau[[#This Row],[Cell_ID]],'[1]Registre_Maintenance_combine '!A:E,5,FALSE),"Non trouvé")</f>
        <v>3G</v>
      </c>
      <c r="J1319" t="str">
        <f>IFERROR(VLOOKUP(Logs_reseau[[#This Row],[Cell_ID]],'[1]Registre_Maintenance_combine '!A:F,6,FALSE),"Non trouvé")</f>
        <v>Ericsson</v>
      </c>
    </row>
    <row r="1320" spans="1:10" x14ac:dyDescent="0.25">
      <c r="A1320" t="str">
        <f>IFERROR(VLOOKUP(Logs_reseau[[#This Row],[Cell_ID]],'[1]Registre_Maintenance_combine '!A:B,2,FALSE),"Non trouvé")</f>
        <v>Bas-Uele</v>
      </c>
      <c r="B1320" t="s">
        <v>337</v>
      </c>
      <c r="C1320" s="3">
        <v>45222.763194444444</v>
      </c>
      <c r="D1320" s="11">
        <f>Logs_reseau[[#This Row],[Duree_Panne_Min]]/1440</f>
        <v>6.3194444444444442E-2</v>
      </c>
      <c r="E1320">
        <v>91</v>
      </c>
      <c r="F1320" t="s">
        <v>4</v>
      </c>
      <c r="G1320">
        <f>IFERROR(VLOOKUP(Logs_reseau[[#This Row],[Cell_ID]],'[1]Registre_Maintenance_combine '!A:C,3,FALSE),"Non trouvé")</f>
        <v>-3.6945459999999999</v>
      </c>
      <c r="H1320">
        <f>IFERROR(VLOOKUP(Logs_reseau[[#This Row],[Cell_ID]],'[1]Registre_Maintenance_combine '!A:D,4,FALSE),"Non trouvé")</f>
        <v>16.809108999999999</v>
      </c>
      <c r="I1320" t="str">
        <f>IFERROR(VLOOKUP(Logs_reseau[[#This Row],[Cell_ID]],'[1]Registre_Maintenance_combine '!A:E,5,FALSE),"Non trouvé")</f>
        <v>5G</v>
      </c>
      <c r="J1320" t="str">
        <f>IFERROR(VLOOKUP(Logs_reseau[[#This Row],[Cell_ID]],'[1]Registre_Maintenance_combine '!A:F,6,FALSE),"Non trouvé")</f>
        <v>ZTE</v>
      </c>
    </row>
    <row r="1321" spans="1:10" x14ac:dyDescent="0.25">
      <c r="A1321" t="str">
        <f>IFERROR(VLOOKUP(Logs_reseau[[#This Row],[Cell_ID]],'[1]Registre_Maintenance_combine '!A:B,2,FALSE),"Non trouvé")</f>
        <v>Kasai-Central</v>
      </c>
      <c r="B1321" t="s">
        <v>503</v>
      </c>
      <c r="C1321" s="3">
        <v>45215.015972222223</v>
      </c>
      <c r="D1321" s="11">
        <f>Logs_reseau[[#This Row],[Duree_Panne_Min]]/1440</f>
        <v>5.1388888888888887E-2</v>
      </c>
      <c r="E1321">
        <v>74</v>
      </c>
      <c r="F1321" t="s">
        <v>1</v>
      </c>
      <c r="G1321">
        <f>IFERROR(VLOOKUP(Logs_reseau[[#This Row],[Cell_ID]],'[1]Registre_Maintenance_combine '!A:C,3,FALSE),"Non trouvé")</f>
        <v>-5.8352820000000003</v>
      </c>
      <c r="H1321">
        <f>IFERROR(VLOOKUP(Logs_reseau[[#This Row],[Cell_ID]],'[1]Registre_Maintenance_combine '!A:D,4,FALSE),"Non trouvé")</f>
        <v>26.603978000000001</v>
      </c>
      <c r="I1321" t="str">
        <f>IFERROR(VLOOKUP(Logs_reseau[[#This Row],[Cell_ID]],'[1]Registre_Maintenance_combine '!A:E,5,FALSE),"Non trouvé")</f>
        <v>4G</v>
      </c>
      <c r="J1321" t="str">
        <f>IFERROR(VLOOKUP(Logs_reseau[[#This Row],[Cell_ID]],'[1]Registre_Maintenance_combine '!A:F,6,FALSE),"Non trouvé")</f>
        <v>Huawei</v>
      </c>
    </row>
    <row r="1322" spans="1:10" x14ac:dyDescent="0.25">
      <c r="A1322" t="str">
        <f>IFERROR(VLOOKUP(Logs_reseau[[#This Row],[Cell_ID]],'[1]Registre_Maintenance_combine '!A:B,2,FALSE),"Non trouvé")</f>
        <v>Lomami</v>
      </c>
      <c r="B1322" t="s">
        <v>504</v>
      </c>
      <c r="C1322" s="3">
        <v>45210.879861111112</v>
      </c>
      <c r="D1322" s="11">
        <f>Logs_reseau[[#This Row],[Duree_Panne_Min]]/1440</f>
        <v>3.6805555555555557E-2</v>
      </c>
      <c r="E1322">
        <v>53</v>
      </c>
      <c r="F1322" t="s">
        <v>1</v>
      </c>
      <c r="G1322">
        <f>IFERROR(VLOOKUP(Logs_reseau[[#This Row],[Cell_ID]],'[1]Registre_Maintenance_combine '!A:C,3,FALSE),"Non trouvé")</f>
        <v>-7.8770429999999996</v>
      </c>
      <c r="H1322">
        <f>IFERROR(VLOOKUP(Logs_reseau[[#This Row],[Cell_ID]],'[1]Registre_Maintenance_combine '!A:D,4,FALSE),"Non trouvé")</f>
        <v>16.357762999999998</v>
      </c>
      <c r="I1322" t="str">
        <f>IFERROR(VLOOKUP(Logs_reseau[[#This Row],[Cell_ID]],'[1]Registre_Maintenance_combine '!A:E,5,FALSE),"Non trouvé")</f>
        <v>4G</v>
      </c>
      <c r="J1322" t="str">
        <f>IFERROR(VLOOKUP(Logs_reseau[[#This Row],[Cell_ID]],'[1]Registre_Maintenance_combine '!A:F,6,FALSE),"Non trouvé")</f>
        <v>Ericsson</v>
      </c>
    </row>
    <row r="1323" spans="1:10" x14ac:dyDescent="0.25">
      <c r="A1323" t="str">
        <f>IFERROR(VLOOKUP(Logs_reseau[[#This Row],[Cell_ID]],'[1]Registre_Maintenance_combine '!A:B,2,FALSE),"Non trouvé")</f>
        <v>Equateur</v>
      </c>
      <c r="B1323" t="s">
        <v>104</v>
      </c>
      <c r="C1323" s="3">
        <v>45213.763194444444</v>
      </c>
      <c r="D1323" s="11">
        <f>Logs_reseau[[#This Row],[Duree_Panne_Min]]/1440</f>
        <v>8.2638888888888887E-2</v>
      </c>
      <c r="E1323">
        <v>119</v>
      </c>
      <c r="F1323" t="s">
        <v>4</v>
      </c>
      <c r="G1323">
        <f>IFERROR(VLOOKUP(Logs_reseau[[#This Row],[Cell_ID]],'[1]Registre_Maintenance_combine '!A:C,3,FALSE),"Non trouvé")</f>
        <v>-0.79459900000000006</v>
      </c>
      <c r="H1323">
        <f>IFERROR(VLOOKUP(Logs_reseau[[#This Row],[Cell_ID]],'[1]Registre_Maintenance_combine '!A:D,4,FALSE),"Non trouvé")</f>
        <v>26.775570999999999</v>
      </c>
      <c r="I1323" t="str">
        <f>IFERROR(VLOOKUP(Logs_reseau[[#This Row],[Cell_ID]],'[1]Registre_Maintenance_combine '!A:E,5,FALSE),"Non trouvé")</f>
        <v>5G</v>
      </c>
      <c r="J1323" t="str">
        <f>IFERROR(VLOOKUP(Logs_reseau[[#This Row],[Cell_ID]],'[1]Registre_Maintenance_combine '!A:F,6,FALSE),"Non trouvé")</f>
        <v>Huawei</v>
      </c>
    </row>
    <row r="1324" spans="1:10" x14ac:dyDescent="0.25">
      <c r="A1324" t="str">
        <f>IFERROR(VLOOKUP(Logs_reseau[[#This Row],[Cell_ID]],'[1]Registre_Maintenance_combine '!A:B,2,FALSE),"Non trouvé")</f>
        <v>Non trouvé</v>
      </c>
      <c r="B1324" t="s">
        <v>369</v>
      </c>
      <c r="C1324" s="3">
        <v>45225.996527777781</v>
      </c>
      <c r="D1324" s="11">
        <f>Logs_reseau[[#This Row],[Duree_Panne_Min]]/1440</f>
        <v>3.8194444444444448E-2</v>
      </c>
      <c r="E1324">
        <v>55</v>
      </c>
      <c r="F1324" t="s">
        <v>2</v>
      </c>
      <c r="G1324" t="str">
        <f>IFERROR(VLOOKUP(Logs_reseau[[#This Row],[Cell_ID]],'[1]Registre_Maintenance_combine '!A:C,3,FALSE),"Non trouvé")</f>
        <v>Non trouvé</v>
      </c>
      <c r="H1324" t="str">
        <f>IFERROR(VLOOKUP(Logs_reseau[[#This Row],[Cell_ID]],'[1]Registre_Maintenance_combine '!A:D,4,FALSE),"Non trouvé")</f>
        <v>Non trouvé</v>
      </c>
      <c r="I1324" t="str">
        <f>IFERROR(VLOOKUP(Logs_reseau[[#This Row],[Cell_ID]],'[1]Registre_Maintenance_combine '!A:E,5,FALSE),"Non trouvé")</f>
        <v>Non trouvé</v>
      </c>
      <c r="J1324" t="str">
        <f>IFERROR(VLOOKUP(Logs_reseau[[#This Row],[Cell_ID]],'[1]Registre_Maintenance_combine '!A:F,6,FALSE),"Non trouvé")</f>
        <v>Non trouvé</v>
      </c>
    </row>
    <row r="1325" spans="1:10" x14ac:dyDescent="0.25">
      <c r="A1325" t="str">
        <f>IFERROR(VLOOKUP(Logs_reseau[[#This Row],[Cell_ID]],'[1]Registre_Maintenance_combine '!A:B,2,FALSE),"Non trouvé")</f>
        <v>Haut-Katanga</v>
      </c>
      <c r="B1325" t="s">
        <v>248</v>
      </c>
      <c r="C1325" s="3">
        <v>45222.834027777775</v>
      </c>
      <c r="D1325" s="11">
        <f>Logs_reseau[[#This Row],[Duree_Panne_Min]]/1440</f>
        <v>7.5694444444444439E-2</v>
      </c>
      <c r="E1325">
        <v>109</v>
      </c>
      <c r="F1325" t="s">
        <v>2</v>
      </c>
      <c r="G1325">
        <f>IFERROR(VLOOKUP(Logs_reseau[[#This Row],[Cell_ID]],'[1]Registre_Maintenance_combine '!A:C,3,FALSE),"Non trouvé")</f>
        <v>-2.9417719999999998</v>
      </c>
      <c r="H1325">
        <f>IFERROR(VLOOKUP(Logs_reseau[[#This Row],[Cell_ID]],'[1]Registre_Maintenance_combine '!A:D,4,FALSE),"Non trouvé")</f>
        <v>18.587305000000001</v>
      </c>
      <c r="I1325" t="str">
        <f>IFERROR(VLOOKUP(Logs_reseau[[#This Row],[Cell_ID]],'[1]Registre_Maintenance_combine '!A:E,5,FALSE),"Non trouvé")</f>
        <v>5G</v>
      </c>
      <c r="J1325" t="str">
        <f>IFERROR(VLOOKUP(Logs_reseau[[#This Row],[Cell_ID]],'[1]Registre_Maintenance_combine '!A:F,6,FALSE),"Non trouvé")</f>
        <v>Ericsson</v>
      </c>
    </row>
    <row r="1326" spans="1:10" x14ac:dyDescent="0.25">
      <c r="A1326" t="str">
        <f>IFERROR(VLOOKUP(Logs_reseau[[#This Row],[Cell_ID]],'[1]Registre_Maintenance_combine '!A:B,2,FALSE),"Non trouvé")</f>
        <v>Non trouvé</v>
      </c>
      <c r="B1326" t="s">
        <v>142</v>
      </c>
      <c r="C1326" s="3">
        <v>45219.636111111111</v>
      </c>
      <c r="D1326" s="11">
        <f>Logs_reseau[[#This Row],[Duree_Panne_Min]]/1440</f>
        <v>3.4027777777777775E-2</v>
      </c>
      <c r="E1326">
        <v>49</v>
      </c>
      <c r="F1326" t="s">
        <v>1</v>
      </c>
      <c r="G1326" t="str">
        <f>IFERROR(VLOOKUP(Logs_reseau[[#This Row],[Cell_ID]],'[1]Registre_Maintenance_combine '!A:C,3,FALSE),"Non trouvé")</f>
        <v>Non trouvé</v>
      </c>
      <c r="H1326" t="str">
        <f>IFERROR(VLOOKUP(Logs_reseau[[#This Row],[Cell_ID]],'[1]Registre_Maintenance_combine '!A:D,4,FALSE),"Non trouvé")</f>
        <v>Non trouvé</v>
      </c>
      <c r="I1326" t="str">
        <f>IFERROR(VLOOKUP(Logs_reseau[[#This Row],[Cell_ID]],'[1]Registre_Maintenance_combine '!A:E,5,FALSE),"Non trouvé")</f>
        <v>Non trouvé</v>
      </c>
      <c r="J1326" t="str">
        <f>IFERROR(VLOOKUP(Logs_reseau[[#This Row],[Cell_ID]],'[1]Registre_Maintenance_combine '!A:F,6,FALSE),"Non trouvé")</f>
        <v>Non trouvé</v>
      </c>
    </row>
    <row r="1327" spans="1:10" x14ac:dyDescent="0.25">
      <c r="A1327" t="str">
        <f>IFERROR(VLOOKUP(Logs_reseau[[#This Row],[Cell_ID]],'[1]Registre_Maintenance_combine '!A:B,2,FALSE),"Non trouvé")</f>
        <v>Bas-Uele</v>
      </c>
      <c r="B1327" t="s">
        <v>8</v>
      </c>
      <c r="C1327" s="3">
        <v>45230.868055555555</v>
      </c>
      <c r="D1327" s="11">
        <f>Logs_reseau[[#This Row],[Duree_Panne_Min]]/1440</f>
        <v>7.1527777777777773E-2</v>
      </c>
      <c r="E1327">
        <v>103</v>
      </c>
      <c r="F1327" t="s">
        <v>4</v>
      </c>
      <c r="G1327">
        <f>IFERROR(VLOOKUP(Logs_reseau[[#This Row],[Cell_ID]],'[1]Registre_Maintenance_combine '!A:C,3,FALSE),"Non trouvé")</f>
        <v>-2.8532869999999999</v>
      </c>
      <c r="H1327">
        <f>IFERROR(VLOOKUP(Logs_reseau[[#This Row],[Cell_ID]],'[1]Registre_Maintenance_combine '!A:D,4,FALSE),"Non trouvé")</f>
        <v>22.117896000000002</v>
      </c>
      <c r="I1327" t="str">
        <f>IFERROR(VLOOKUP(Logs_reseau[[#This Row],[Cell_ID]],'[1]Registre_Maintenance_combine '!A:E,5,FALSE),"Non trouvé")</f>
        <v>5G</v>
      </c>
      <c r="J1327" t="str">
        <f>IFERROR(VLOOKUP(Logs_reseau[[#This Row],[Cell_ID]],'[1]Registre_Maintenance_combine '!A:F,6,FALSE),"Non trouvé")</f>
        <v>Huawei</v>
      </c>
    </row>
    <row r="1328" spans="1:10" x14ac:dyDescent="0.25">
      <c r="A1328" t="str">
        <f>IFERROR(VLOOKUP(Logs_reseau[[#This Row],[Cell_ID]],'[1]Registre_Maintenance_combine '!A:B,2,FALSE),"Non trouvé")</f>
        <v>Equateur</v>
      </c>
      <c r="B1328" t="s">
        <v>505</v>
      </c>
      <c r="C1328" s="3">
        <v>45224.775000000001</v>
      </c>
      <c r="D1328" s="11">
        <f>Logs_reseau[[#This Row],[Duree_Panne_Min]]/1440</f>
        <v>7.4305555555555555E-2</v>
      </c>
      <c r="E1328">
        <v>107</v>
      </c>
      <c r="F1328" t="s">
        <v>4</v>
      </c>
      <c r="G1328">
        <f>IFERROR(VLOOKUP(Logs_reseau[[#This Row],[Cell_ID]],'[1]Registre_Maintenance_combine '!A:C,3,FALSE),"Non trouvé")</f>
        <v>-5.7200150000000001</v>
      </c>
      <c r="H1328">
        <f>IFERROR(VLOOKUP(Logs_reseau[[#This Row],[Cell_ID]],'[1]Registre_Maintenance_combine '!A:D,4,FALSE),"Non trouvé")</f>
        <v>25.022109</v>
      </c>
      <c r="I1328" t="str">
        <f>IFERROR(VLOOKUP(Logs_reseau[[#This Row],[Cell_ID]],'[1]Registre_Maintenance_combine '!A:E,5,FALSE),"Non trouvé")</f>
        <v>5G</v>
      </c>
      <c r="J1328" t="str">
        <f>IFERROR(VLOOKUP(Logs_reseau[[#This Row],[Cell_ID]],'[1]Registre_Maintenance_combine '!A:F,6,FALSE),"Non trouvé")</f>
        <v>ZTE</v>
      </c>
    </row>
    <row r="1329" spans="1:10" x14ac:dyDescent="0.25">
      <c r="A1329" t="str">
        <f>IFERROR(VLOOKUP(Logs_reseau[[#This Row],[Cell_ID]],'[1]Registre_Maintenance_combine '!A:B,2,FALSE),"Non trouvé")</f>
        <v>Nord-Kivu</v>
      </c>
      <c r="B1329" t="s">
        <v>336</v>
      </c>
      <c r="C1329" s="3">
        <v>45207.960416666669</v>
      </c>
      <c r="D1329" s="11">
        <f>Logs_reseau[[#This Row],[Duree_Panne_Min]]/1440</f>
        <v>1.5972222222222221E-2</v>
      </c>
      <c r="E1329">
        <v>23</v>
      </c>
      <c r="F1329" t="s">
        <v>4</v>
      </c>
      <c r="G1329">
        <f>IFERROR(VLOOKUP(Logs_reseau[[#This Row],[Cell_ID]],'[1]Registre_Maintenance_combine '!A:C,3,FALSE),"Non trouvé")</f>
        <v>-12.336202</v>
      </c>
      <c r="H1329">
        <f>IFERROR(VLOOKUP(Logs_reseau[[#This Row],[Cell_ID]],'[1]Registre_Maintenance_combine '!A:D,4,FALSE),"Non trouvé")</f>
        <v>13.693683999999999</v>
      </c>
      <c r="I1329" t="str">
        <f>IFERROR(VLOOKUP(Logs_reseau[[#This Row],[Cell_ID]],'[1]Registre_Maintenance_combine '!A:E,5,FALSE),"Non trouvé")</f>
        <v>5G</v>
      </c>
      <c r="J1329" t="str">
        <f>IFERROR(VLOOKUP(Logs_reseau[[#This Row],[Cell_ID]],'[1]Registre_Maintenance_combine '!A:F,6,FALSE),"Non trouvé")</f>
        <v>Huawei</v>
      </c>
    </row>
    <row r="1330" spans="1:10" x14ac:dyDescent="0.25">
      <c r="A1330" t="str">
        <f>IFERROR(VLOOKUP(Logs_reseau[[#This Row],[Cell_ID]],'[1]Registre_Maintenance_combine '!A:B,2,FALSE),"Non trouvé")</f>
        <v>Kwilu</v>
      </c>
      <c r="B1330" t="s">
        <v>227</v>
      </c>
      <c r="C1330" s="3">
        <v>45218.631944444445</v>
      </c>
      <c r="D1330" s="11">
        <f>Logs_reseau[[#This Row],[Duree_Panne_Min]]/1440</f>
        <v>2.9166666666666667E-2</v>
      </c>
      <c r="E1330">
        <v>42</v>
      </c>
      <c r="F1330" t="s">
        <v>2</v>
      </c>
      <c r="G1330">
        <f>IFERROR(VLOOKUP(Logs_reseau[[#This Row],[Cell_ID]],'[1]Registre_Maintenance_combine '!A:C,3,FALSE),"Non trouvé")</f>
        <v>-0.77432100000000004</v>
      </c>
      <c r="H1330">
        <f>IFERROR(VLOOKUP(Logs_reseau[[#This Row],[Cell_ID]],'[1]Registre_Maintenance_combine '!A:D,4,FALSE),"Non trouvé")</f>
        <v>18.628658999999999</v>
      </c>
      <c r="I1330" t="str">
        <f>IFERROR(VLOOKUP(Logs_reseau[[#This Row],[Cell_ID]],'[1]Registre_Maintenance_combine '!A:E,5,FALSE),"Non trouvé")</f>
        <v>4G</v>
      </c>
      <c r="J1330" t="str">
        <f>IFERROR(VLOOKUP(Logs_reseau[[#This Row],[Cell_ID]],'[1]Registre_Maintenance_combine '!A:F,6,FALSE),"Non trouvé")</f>
        <v>Huawei</v>
      </c>
    </row>
    <row r="1331" spans="1:10" x14ac:dyDescent="0.25">
      <c r="A1331" t="str">
        <f>IFERROR(VLOOKUP(Logs_reseau[[#This Row],[Cell_ID]],'[1]Registre_Maintenance_combine '!A:B,2,FALSE),"Non trouvé")</f>
        <v>Kasai-Oriental</v>
      </c>
      <c r="B1331" t="s">
        <v>161</v>
      </c>
      <c r="C1331" s="3">
        <v>45216.865277777775</v>
      </c>
      <c r="D1331" s="11">
        <f>Logs_reseau[[#This Row],[Duree_Panne_Min]]/1440</f>
        <v>6.9444444444444441E-3</v>
      </c>
      <c r="E1331">
        <v>10</v>
      </c>
      <c r="F1331" t="s">
        <v>2</v>
      </c>
      <c r="G1331">
        <f>IFERROR(VLOOKUP(Logs_reseau[[#This Row],[Cell_ID]],'[1]Registre_Maintenance_combine '!A:C,3,FALSE),"Non trouvé")</f>
        <v>-1.648326</v>
      </c>
      <c r="H1331">
        <f>IFERROR(VLOOKUP(Logs_reseau[[#This Row],[Cell_ID]],'[1]Registre_Maintenance_combine '!A:D,4,FALSE),"Non trouvé")</f>
        <v>25.528901999999999</v>
      </c>
      <c r="I1331" t="str">
        <f>IFERROR(VLOOKUP(Logs_reseau[[#This Row],[Cell_ID]],'[1]Registre_Maintenance_combine '!A:E,5,FALSE),"Non trouvé")</f>
        <v>4G</v>
      </c>
      <c r="J1331" t="str">
        <f>IFERROR(VLOOKUP(Logs_reseau[[#This Row],[Cell_ID]],'[1]Registre_Maintenance_combine '!A:F,6,FALSE),"Non trouvé")</f>
        <v>Huawei</v>
      </c>
    </row>
    <row r="1332" spans="1:10" x14ac:dyDescent="0.25">
      <c r="A1332" t="str">
        <f>IFERROR(VLOOKUP(Logs_reseau[[#This Row],[Cell_ID]],'[1]Registre_Maintenance_combine '!A:B,2,FALSE),"Non trouvé")</f>
        <v>Tshuapa</v>
      </c>
      <c r="B1332" t="s">
        <v>313</v>
      </c>
      <c r="C1332" s="3">
        <v>45219.506249999999</v>
      </c>
      <c r="D1332" s="11">
        <f>Logs_reseau[[#This Row],[Duree_Panne_Min]]/1440</f>
        <v>2.8472222222222222E-2</v>
      </c>
      <c r="E1332">
        <v>41</v>
      </c>
      <c r="F1332" t="s">
        <v>2</v>
      </c>
      <c r="G1332">
        <f>IFERROR(VLOOKUP(Logs_reseau[[#This Row],[Cell_ID]],'[1]Registre_Maintenance_combine '!A:C,3,FALSE),"Non trouvé")</f>
        <v>-2.3677800000000002</v>
      </c>
      <c r="H1332">
        <f>IFERROR(VLOOKUP(Logs_reseau[[#This Row],[Cell_ID]],'[1]Registre_Maintenance_combine '!A:D,4,FALSE),"Non trouvé")</f>
        <v>18.790323999999998</v>
      </c>
      <c r="I1332" t="str">
        <f>IFERROR(VLOOKUP(Logs_reseau[[#This Row],[Cell_ID]],'[1]Registre_Maintenance_combine '!A:E,5,FALSE),"Non trouvé")</f>
        <v>5G</v>
      </c>
      <c r="J1332" t="str">
        <f>IFERROR(VLOOKUP(Logs_reseau[[#This Row],[Cell_ID]],'[1]Registre_Maintenance_combine '!A:F,6,FALSE),"Non trouvé")</f>
        <v>Huawei</v>
      </c>
    </row>
    <row r="1333" spans="1:10" x14ac:dyDescent="0.25">
      <c r="A1333" t="str">
        <f>IFERROR(VLOOKUP(Logs_reseau[[#This Row],[Cell_ID]],'[1]Registre_Maintenance_combine '!A:B,2,FALSE),"Non trouvé")</f>
        <v>Non trouvé</v>
      </c>
      <c r="B1333" t="s">
        <v>506</v>
      </c>
      <c r="C1333" s="3">
        <v>45226.885416666664</v>
      </c>
      <c r="D1333" s="11">
        <f>Logs_reseau[[#This Row],[Duree_Panne_Min]]/1440</f>
        <v>6.6666666666666666E-2</v>
      </c>
      <c r="E1333">
        <v>96</v>
      </c>
      <c r="F1333" t="s">
        <v>4</v>
      </c>
      <c r="G1333" t="str">
        <f>IFERROR(VLOOKUP(Logs_reseau[[#This Row],[Cell_ID]],'[1]Registre_Maintenance_combine '!A:C,3,FALSE),"Non trouvé")</f>
        <v>Non trouvé</v>
      </c>
      <c r="H1333" t="str">
        <f>IFERROR(VLOOKUP(Logs_reseau[[#This Row],[Cell_ID]],'[1]Registre_Maintenance_combine '!A:D,4,FALSE),"Non trouvé")</f>
        <v>Non trouvé</v>
      </c>
      <c r="I1333" t="str">
        <f>IFERROR(VLOOKUP(Logs_reseau[[#This Row],[Cell_ID]],'[1]Registre_Maintenance_combine '!A:E,5,FALSE),"Non trouvé")</f>
        <v>Non trouvé</v>
      </c>
      <c r="J1333" t="str">
        <f>IFERROR(VLOOKUP(Logs_reseau[[#This Row],[Cell_ID]],'[1]Registre_Maintenance_combine '!A:F,6,FALSE),"Non trouvé")</f>
        <v>Non trouvé</v>
      </c>
    </row>
    <row r="1334" spans="1:10" x14ac:dyDescent="0.25">
      <c r="A1334" t="str">
        <f>IFERROR(VLOOKUP(Logs_reseau[[#This Row],[Cell_ID]],'[1]Registre_Maintenance_combine '!A:B,2,FALSE),"Non trouvé")</f>
        <v>Non trouvé</v>
      </c>
      <c r="B1334" t="s">
        <v>507</v>
      </c>
      <c r="C1334" s="3">
        <v>45201.780555555553</v>
      </c>
      <c r="D1334" s="11">
        <f>Logs_reseau[[#This Row],[Duree_Panne_Min]]/1440</f>
        <v>1.0416666666666666E-2</v>
      </c>
      <c r="E1334">
        <v>15</v>
      </c>
      <c r="F1334" t="s">
        <v>1</v>
      </c>
      <c r="G1334" t="str">
        <f>IFERROR(VLOOKUP(Logs_reseau[[#This Row],[Cell_ID]],'[1]Registre_Maintenance_combine '!A:C,3,FALSE),"Non trouvé")</f>
        <v>Non trouvé</v>
      </c>
      <c r="H1334" t="str">
        <f>IFERROR(VLOOKUP(Logs_reseau[[#This Row],[Cell_ID]],'[1]Registre_Maintenance_combine '!A:D,4,FALSE),"Non trouvé")</f>
        <v>Non trouvé</v>
      </c>
      <c r="I1334" t="str">
        <f>IFERROR(VLOOKUP(Logs_reseau[[#This Row],[Cell_ID]],'[1]Registre_Maintenance_combine '!A:E,5,FALSE),"Non trouvé")</f>
        <v>Non trouvé</v>
      </c>
      <c r="J1334" t="str">
        <f>IFERROR(VLOOKUP(Logs_reseau[[#This Row],[Cell_ID]],'[1]Registre_Maintenance_combine '!A:F,6,FALSE),"Non trouvé")</f>
        <v>Non trouvé</v>
      </c>
    </row>
    <row r="1335" spans="1:10" x14ac:dyDescent="0.25">
      <c r="A1335" t="str">
        <f>IFERROR(VLOOKUP(Logs_reseau[[#This Row],[Cell_ID]],'[1]Registre_Maintenance_combine '!A:B,2,FALSE),"Non trouvé")</f>
        <v>Kasai-Central</v>
      </c>
      <c r="B1335" t="s">
        <v>304</v>
      </c>
      <c r="C1335" s="3">
        <v>45203.250694444447</v>
      </c>
      <c r="D1335" s="11">
        <f>Logs_reseau[[#This Row],[Duree_Panne_Min]]/1440</f>
        <v>3.4027777777777775E-2</v>
      </c>
      <c r="E1335">
        <v>49</v>
      </c>
      <c r="F1335" t="s">
        <v>2</v>
      </c>
      <c r="G1335">
        <f>IFERROR(VLOOKUP(Logs_reseau[[#This Row],[Cell_ID]],'[1]Registre_Maintenance_combine '!A:C,3,FALSE),"Non trouvé")</f>
        <v>-10.414493</v>
      </c>
      <c r="H1335">
        <f>IFERROR(VLOOKUP(Logs_reseau[[#This Row],[Cell_ID]],'[1]Registre_Maintenance_combine '!A:D,4,FALSE),"Non trouvé")</f>
        <v>12.333356999999999</v>
      </c>
      <c r="I1335" t="str">
        <f>IFERROR(VLOOKUP(Logs_reseau[[#This Row],[Cell_ID]],'[1]Registre_Maintenance_combine '!A:E,5,FALSE),"Non trouvé")</f>
        <v>3G</v>
      </c>
      <c r="J1335" t="str">
        <f>IFERROR(VLOOKUP(Logs_reseau[[#This Row],[Cell_ID]],'[1]Registre_Maintenance_combine '!A:F,6,FALSE),"Non trouvé")</f>
        <v>Ericsson</v>
      </c>
    </row>
    <row r="1336" spans="1:10" x14ac:dyDescent="0.25">
      <c r="A1336" t="str">
        <f>IFERROR(VLOOKUP(Logs_reseau[[#This Row],[Cell_ID]],'[1]Registre_Maintenance_combine '!A:B,2,FALSE),"Non trouvé")</f>
        <v>Tanganyika</v>
      </c>
      <c r="B1336" t="s">
        <v>229</v>
      </c>
      <c r="C1336" s="3">
        <v>45214.43472222222</v>
      </c>
      <c r="D1336" s="11">
        <f>Logs_reseau[[#This Row],[Duree_Panne_Min]]/1440</f>
        <v>4.2361111111111113E-2</v>
      </c>
      <c r="E1336">
        <v>61</v>
      </c>
      <c r="F1336" t="s">
        <v>4</v>
      </c>
      <c r="G1336">
        <f>IFERROR(VLOOKUP(Logs_reseau[[#This Row],[Cell_ID]],'[1]Registre_Maintenance_combine '!A:C,3,FALSE),"Non trouvé")</f>
        <v>-10.776204</v>
      </c>
      <c r="H1336">
        <f>IFERROR(VLOOKUP(Logs_reseau[[#This Row],[Cell_ID]],'[1]Registre_Maintenance_combine '!A:D,4,FALSE),"Non trouvé")</f>
        <v>24.672934000000001</v>
      </c>
      <c r="I1336" t="str">
        <f>IFERROR(VLOOKUP(Logs_reseau[[#This Row],[Cell_ID]],'[1]Registre_Maintenance_combine '!A:E,5,FALSE),"Non trouvé")</f>
        <v>4G</v>
      </c>
      <c r="J1336" t="str">
        <f>IFERROR(VLOOKUP(Logs_reseau[[#This Row],[Cell_ID]],'[1]Registre_Maintenance_combine '!A:F,6,FALSE),"Non trouvé")</f>
        <v>Ericsson</v>
      </c>
    </row>
    <row r="1337" spans="1:10" x14ac:dyDescent="0.25">
      <c r="A1337" t="str">
        <f>IFERROR(VLOOKUP(Logs_reseau[[#This Row],[Cell_ID]],'[1]Registre_Maintenance_combine '!A:B,2,FALSE),"Non trouvé")</f>
        <v>Kasai-Central</v>
      </c>
      <c r="B1337" t="s">
        <v>316</v>
      </c>
      <c r="C1337" s="3">
        <v>45204.572222222225</v>
      </c>
      <c r="D1337" s="11">
        <f>Logs_reseau[[#This Row],[Duree_Panne_Min]]/1440</f>
        <v>6.1111111111111109E-2</v>
      </c>
      <c r="E1337">
        <v>88</v>
      </c>
      <c r="F1337" t="s">
        <v>4</v>
      </c>
      <c r="G1337">
        <f>IFERROR(VLOOKUP(Logs_reseau[[#This Row],[Cell_ID]],'[1]Registre_Maintenance_combine '!A:C,3,FALSE),"Non trouvé")</f>
        <v>-3.111418</v>
      </c>
      <c r="H1337">
        <f>IFERROR(VLOOKUP(Logs_reseau[[#This Row],[Cell_ID]],'[1]Registre_Maintenance_combine '!A:D,4,FALSE),"Non trouvé")</f>
        <v>14.144854</v>
      </c>
      <c r="I1337" t="str">
        <f>IFERROR(VLOOKUP(Logs_reseau[[#This Row],[Cell_ID]],'[1]Registre_Maintenance_combine '!A:E,5,FALSE),"Non trouvé")</f>
        <v>4G</v>
      </c>
      <c r="J1337" t="str">
        <f>IFERROR(VLOOKUP(Logs_reseau[[#This Row],[Cell_ID]],'[1]Registre_Maintenance_combine '!A:F,6,FALSE),"Non trouvé")</f>
        <v>ZTE</v>
      </c>
    </row>
    <row r="1338" spans="1:10" x14ac:dyDescent="0.25">
      <c r="A1338" t="str">
        <f>IFERROR(VLOOKUP(Logs_reseau[[#This Row],[Cell_ID]],'[1]Registre_Maintenance_combine '!A:B,2,FALSE),"Non trouvé")</f>
        <v>Haut-Uele</v>
      </c>
      <c r="B1338" t="s">
        <v>508</v>
      </c>
      <c r="C1338" s="3">
        <v>45206.563888888886</v>
      </c>
      <c r="D1338" s="11">
        <f>Logs_reseau[[#This Row],[Duree_Panne_Min]]/1440</f>
        <v>2.5694444444444443E-2</v>
      </c>
      <c r="E1338">
        <v>37</v>
      </c>
      <c r="F1338" t="s">
        <v>1</v>
      </c>
      <c r="G1338">
        <f>IFERROR(VLOOKUP(Logs_reseau[[#This Row],[Cell_ID]],'[1]Registre_Maintenance_combine '!A:C,3,FALSE),"Non trouvé")</f>
        <v>0.20866199999999999</v>
      </c>
      <c r="H1338">
        <f>IFERROR(VLOOKUP(Logs_reseau[[#This Row],[Cell_ID]],'[1]Registre_Maintenance_combine '!A:D,4,FALSE),"Non trouvé")</f>
        <v>18.556439000000001</v>
      </c>
      <c r="I1338" t="str">
        <f>IFERROR(VLOOKUP(Logs_reseau[[#This Row],[Cell_ID]],'[1]Registre_Maintenance_combine '!A:E,5,FALSE),"Non trouvé")</f>
        <v>4G</v>
      </c>
      <c r="J1338" t="str">
        <f>IFERROR(VLOOKUP(Logs_reseau[[#This Row],[Cell_ID]],'[1]Registre_Maintenance_combine '!A:F,6,FALSE),"Non trouvé")</f>
        <v>Nokia</v>
      </c>
    </row>
    <row r="1339" spans="1:10" x14ac:dyDescent="0.25">
      <c r="A1339" t="str">
        <f>IFERROR(VLOOKUP(Logs_reseau[[#This Row],[Cell_ID]],'[1]Registre_Maintenance_combine '!A:B,2,FALSE),"Non trouvé")</f>
        <v>Non trouvé</v>
      </c>
      <c r="B1339" t="s">
        <v>509</v>
      </c>
      <c r="C1339" s="3">
        <v>45224.831944444442</v>
      </c>
      <c r="D1339" s="11">
        <f>Logs_reseau[[#This Row],[Duree_Panne_Min]]/1440</f>
        <v>6.9444444444444448E-2</v>
      </c>
      <c r="E1339">
        <v>100</v>
      </c>
      <c r="F1339" t="s">
        <v>1</v>
      </c>
      <c r="G1339" t="str">
        <f>IFERROR(VLOOKUP(Logs_reseau[[#This Row],[Cell_ID]],'[1]Registre_Maintenance_combine '!A:C,3,FALSE),"Non trouvé")</f>
        <v>Non trouvé</v>
      </c>
      <c r="H1339" t="str">
        <f>IFERROR(VLOOKUP(Logs_reseau[[#This Row],[Cell_ID]],'[1]Registre_Maintenance_combine '!A:D,4,FALSE),"Non trouvé")</f>
        <v>Non trouvé</v>
      </c>
      <c r="I1339" t="str">
        <f>IFERROR(VLOOKUP(Logs_reseau[[#This Row],[Cell_ID]],'[1]Registre_Maintenance_combine '!A:E,5,FALSE),"Non trouvé")</f>
        <v>Non trouvé</v>
      </c>
      <c r="J1339" t="str">
        <f>IFERROR(VLOOKUP(Logs_reseau[[#This Row],[Cell_ID]],'[1]Registre_Maintenance_combine '!A:F,6,FALSE),"Non trouvé")</f>
        <v>Non trouvé</v>
      </c>
    </row>
    <row r="1340" spans="1:10" x14ac:dyDescent="0.25">
      <c r="A1340" t="str">
        <f>IFERROR(VLOOKUP(Logs_reseau[[#This Row],[Cell_ID]],'[1]Registre_Maintenance_combine '!A:B,2,FALSE),"Non trouvé")</f>
        <v>Sankuru</v>
      </c>
      <c r="B1340" t="s">
        <v>444</v>
      </c>
      <c r="C1340" s="3">
        <v>45215.990277777775</v>
      </c>
      <c r="D1340" s="11">
        <f>Logs_reseau[[#This Row],[Duree_Panne_Min]]/1440</f>
        <v>4.583333333333333E-2</v>
      </c>
      <c r="E1340">
        <v>66</v>
      </c>
      <c r="F1340" t="s">
        <v>4</v>
      </c>
      <c r="G1340">
        <f>IFERROR(VLOOKUP(Logs_reseau[[#This Row],[Cell_ID]],'[1]Registre_Maintenance_combine '!A:C,3,FALSE),"Non trouvé")</f>
        <v>-1.4110389999999999</v>
      </c>
      <c r="H1340">
        <f>IFERROR(VLOOKUP(Logs_reseau[[#This Row],[Cell_ID]],'[1]Registre_Maintenance_combine '!A:D,4,FALSE),"Non trouvé")</f>
        <v>21.261644</v>
      </c>
      <c r="I1340" t="str">
        <f>IFERROR(VLOOKUP(Logs_reseau[[#This Row],[Cell_ID]],'[1]Registre_Maintenance_combine '!A:E,5,FALSE),"Non trouvé")</f>
        <v>4G</v>
      </c>
      <c r="J1340" t="str">
        <f>IFERROR(VLOOKUP(Logs_reseau[[#This Row],[Cell_ID]],'[1]Registre_Maintenance_combine '!A:F,6,FALSE),"Non trouvé")</f>
        <v>ZTE</v>
      </c>
    </row>
    <row r="1341" spans="1:10" x14ac:dyDescent="0.25">
      <c r="A1341" t="str">
        <f>IFERROR(VLOOKUP(Logs_reseau[[#This Row],[Cell_ID]],'[1]Registre_Maintenance_combine '!A:B,2,FALSE),"Non trouvé")</f>
        <v>Bas-Uele</v>
      </c>
      <c r="B1341" t="s">
        <v>353</v>
      </c>
      <c r="C1341" s="3">
        <v>45201.922222222223</v>
      </c>
      <c r="D1341" s="11">
        <f>Logs_reseau[[#This Row],[Duree_Panne_Min]]/1440</f>
        <v>2.2222222222222223E-2</v>
      </c>
      <c r="E1341">
        <v>32</v>
      </c>
      <c r="F1341" t="s">
        <v>1</v>
      </c>
      <c r="G1341">
        <f>IFERROR(VLOOKUP(Logs_reseau[[#This Row],[Cell_ID]],'[1]Registre_Maintenance_combine '!A:C,3,FALSE),"Non trouvé")</f>
        <v>1.5278670000000001</v>
      </c>
      <c r="H1341">
        <f>IFERROR(VLOOKUP(Logs_reseau[[#This Row],[Cell_ID]],'[1]Registre_Maintenance_combine '!A:D,4,FALSE),"Non trouvé")</f>
        <v>13.899388999999999</v>
      </c>
      <c r="I1341" t="str">
        <f>IFERROR(VLOOKUP(Logs_reseau[[#This Row],[Cell_ID]],'[1]Registre_Maintenance_combine '!A:E,5,FALSE),"Non trouvé")</f>
        <v>3G</v>
      </c>
      <c r="J1341" t="str">
        <f>IFERROR(VLOOKUP(Logs_reseau[[#This Row],[Cell_ID]],'[1]Registre_Maintenance_combine '!A:F,6,FALSE),"Non trouvé")</f>
        <v>Huawei</v>
      </c>
    </row>
    <row r="1342" spans="1:10" x14ac:dyDescent="0.25">
      <c r="A1342" t="str">
        <f>IFERROR(VLOOKUP(Logs_reseau[[#This Row],[Cell_ID]],'[1]Registre_Maintenance_combine '!A:B,2,FALSE),"Non trouvé")</f>
        <v>Equateur</v>
      </c>
      <c r="B1342" t="s">
        <v>505</v>
      </c>
      <c r="C1342" s="3">
        <v>45216.274305555555</v>
      </c>
      <c r="D1342" s="11">
        <f>Logs_reseau[[#This Row],[Duree_Panne_Min]]/1440</f>
        <v>2.0833333333333332E-2</v>
      </c>
      <c r="E1342">
        <v>30</v>
      </c>
      <c r="F1342" t="s">
        <v>2</v>
      </c>
      <c r="G1342">
        <f>IFERROR(VLOOKUP(Logs_reseau[[#This Row],[Cell_ID]],'[1]Registre_Maintenance_combine '!A:C,3,FALSE),"Non trouvé")</f>
        <v>-5.7200150000000001</v>
      </c>
      <c r="H1342">
        <f>IFERROR(VLOOKUP(Logs_reseau[[#This Row],[Cell_ID]],'[1]Registre_Maintenance_combine '!A:D,4,FALSE),"Non trouvé")</f>
        <v>25.022109</v>
      </c>
      <c r="I1342" t="str">
        <f>IFERROR(VLOOKUP(Logs_reseau[[#This Row],[Cell_ID]],'[1]Registre_Maintenance_combine '!A:E,5,FALSE),"Non trouvé")</f>
        <v>5G</v>
      </c>
      <c r="J1342" t="str">
        <f>IFERROR(VLOOKUP(Logs_reseau[[#This Row],[Cell_ID]],'[1]Registre_Maintenance_combine '!A:F,6,FALSE),"Non trouvé")</f>
        <v>ZTE</v>
      </c>
    </row>
    <row r="1343" spans="1:10" x14ac:dyDescent="0.25">
      <c r="A1343" t="str">
        <f>IFERROR(VLOOKUP(Logs_reseau[[#This Row],[Cell_ID]],'[1]Registre_Maintenance_combine '!A:B,2,FALSE),"Non trouvé")</f>
        <v>Kasai</v>
      </c>
      <c r="B1343" t="s">
        <v>360</v>
      </c>
      <c r="C1343" s="3">
        <v>45210.895833333336</v>
      </c>
      <c r="D1343" s="11">
        <f>Logs_reseau[[#This Row],[Duree_Panne_Min]]/1440</f>
        <v>7.6388888888888895E-2</v>
      </c>
      <c r="E1343">
        <v>110</v>
      </c>
      <c r="F1343" t="s">
        <v>4</v>
      </c>
      <c r="G1343">
        <f>IFERROR(VLOOKUP(Logs_reseau[[#This Row],[Cell_ID]],'[1]Registre_Maintenance_combine '!A:C,3,FALSE),"Non trouvé")</f>
        <v>-4.351254</v>
      </c>
      <c r="H1343">
        <f>IFERROR(VLOOKUP(Logs_reseau[[#This Row],[Cell_ID]],'[1]Registre_Maintenance_combine '!A:D,4,FALSE),"Non trouvé")</f>
        <v>30.097408999999999</v>
      </c>
      <c r="I1343" t="str">
        <f>IFERROR(VLOOKUP(Logs_reseau[[#This Row],[Cell_ID]],'[1]Registre_Maintenance_combine '!A:E,5,FALSE),"Non trouvé")</f>
        <v>5G</v>
      </c>
      <c r="J1343" t="str">
        <f>IFERROR(VLOOKUP(Logs_reseau[[#This Row],[Cell_ID]],'[1]Registre_Maintenance_combine '!A:F,6,FALSE),"Non trouvé")</f>
        <v>Nokia</v>
      </c>
    </row>
    <row r="1344" spans="1:10" x14ac:dyDescent="0.25">
      <c r="A1344" t="str">
        <f>IFERROR(VLOOKUP(Logs_reseau[[#This Row],[Cell_ID]],'[1]Registre_Maintenance_combine '!A:B,2,FALSE),"Non trouvé")</f>
        <v>Non trouvé</v>
      </c>
      <c r="B1344" t="s">
        <v>510</v>
      </c>
      <c r="C1344" s="3">
        <v>45216.513888888891</v>
      </c>
      <c r="D1344" s="11">
        <f>Logs_reseau[[#This Row],[Duree_Panne_Min]]/1440</f>
        <v>5.0694444444444445E-2</v>
      </c>
      <c r="E1344">
        <v>73</v>
      </c>
      <c r="F1344" t="s">
        <v>2</v>
      </c>
      <c r="G1344" t="str">
        <f>IFERROR(VLOOKUP(Logs_reseau[[#This Row],[Cell_ID]],'[1]Registre_Maintenance_combine '!A:C,3,FALSE),"Non trouvé")</f>
        <v>Non trouvé</v>
      </c>
      <c r="H1344" t="str">
        <f>IFERROR(VLOOKUP(Logs_reseau[[#This Row],[Cell_ID]],'[1]Registre_Maintenance_combine '!A:D,4,FALSE),"Non trouvé")</f>
        <v>Non trouvé</v>
      </c>
      <c r="I1344" t="str">
        <f>IFERROR(VLOOKUP(Logs_reseau[[#This Row],[Cell_ID]],'[1]Registre_Maintenance_combine '!A:E,5,FALSE),"Non trouvé")</f>
        <v>Non trouvé</v>
      </c>
      <c r="J1344" t="str">
        <f>IFERROR(VLOOKUP(Logs_reseau[[#This Row],[Cell_ID]],'[1]Registre_Maintenance_combine '!A:F,6,FALSE),"Non trouvé")</f>
        <v>Non trouvé</v>
      </c>
    </row>
    <row r="1345" spans="1:10" x14ac:dyDescent="0.25">
      <c r="A1345" t="str">
        <f>IFERROR(VLOOKUP(Logs_reseau[[#This Row],[Cell_ID]],'[1]Registre_Maintenance_combine '!A:B,2,FALSE),"Non trouvé")</f>
        <v>Lomami</v>
      </c>
      <c r="B1345" t="s">
        <v>302</v>
      </c>
      <c r="C1345" s="3">
        <v>45230.228472222225</v>
      </c>
      <c r="D1345" s="11">
        <f>Logs_reseau[[#This Row],[Duree_Panne_Min]]/1440</f>
        <v>2.7083333333333334E-2</v>
      </c>
      <c r="E1345">
        <v>39</v>
      </c>
      <c r="F1345" t="s">
        <v>4</v>
      </c>
      <c r="G1345">
        <f>IFERROR(VLOOKUP(Logs_reseau[[#This Row],[Cell_ID]],'[1]Registre_Maintenance_combine '!A:C,3,FALSE),"Non trouvé")</f>
        <v>-5.7035130000000001</v>
      </c>
      <c r="H1345">
        <f>IFERROR(VLOOKUP(Logs_reseau[[#This Row],[Cell_ID]],'[1]Registre_Maintenance_combine '!A:D,4,FALSE),"Non trouvé")</f>
        <v>14.331479</v>
      </c>
      <c r="I1345" t="str">
        <f>IFERROR(VLOOKUP(Logs_reseau[[#This Row],[Cell_ID]],'[1]Registre_Maintenance_combine '!A:E,5,FALSE),"Non trouvé")</f>
        <v>5G</v>
      </c>
      <c r="J1345" t="str">
        <f>IFERROR(VLOOKUP(Logs_reseau[[#This Row],[Cell_ID]],'[1]Registre_Maintenance_combine '!A:F,6,FALSE),"Non trouvé")</f>
        <v>Nokia</v>
      </c>
    </row>
    <row r="1346" spans="1:10" x14ac:dyDescent="0.25">
      <c r="A1346" t="str">
        <f>IFERROR(VLOOKUP(Logs_reseau[[#This Row],[Cell_ID]],'[1]Registre_Maintenance_combine '!A:B,2,FALSE),"Non trouvé")</f>
        <v>Nord-Ubangi</v>
      </c>
      <c r="B1346" t="s">
        <v>317</v>
      </c>
      <c r="C1346" s="3">
        <v>45229.722916666666</v>
      </c>
      <c r="D1346" s="11">
        <f>Logs_reseau[[#This Row],[Duree_Panne_Min]]/1440</f>
        <v>5.2777777777777778E-2</v>
      </c>
      <c r="E1346">
        <v>76</v>
      </c>
      <c r="F1346" t="s">
        <v>2</v>
      </c>
      <c r="G1346">
        <f>IFERROR(VLOOKUP(Logs_reseau[[#This Row],[Cell_ID]],'[1]Registre_Maintenance_combine '!A:C,3,FALSE),"Non trouvé")</f>
        <v>-1.342476</v>
      </c>
      <c r="H1346">
        <f>IFERROR(VLOOKUP(Logs_reseau[[#This Row],[Cell_ID]],'[1]Registre_Maintenance_combine '!A:D,4,FALSE),"Non trouvé")</f>
        <v>15.986086</v>
      </c>
      <c r="I1346" t="str">
        <f>IFERROR(VLOOKUP(Logs_reseau[[#This Row],[Cell_ID]],'[1]Registre_Maintenance_combine '!A:E,5,FALSE),"Non trouvé")</f>
        <v>4G</v>
      </c>
      <c r="J1346" t="str">
        <f>IFERROR(VLOOKUP(Logs_reseau[[#This Row],[Cell_ID]],'[1]Registre_Maintenance_combine '!A:F,6,FALSE),"Non trouvé")</f>
        <v>Ericsson</v>
      </c>
    </row>
    <row r="1347" spans="1:10" x14ac:dyDescent="0.25">
      <c r="A1347" t="str">
        <f>IFERROR(VLOOKUP(Logs_reseau[[#This Row],[Cell_ID]],'[1]Registre_Maintenance_combine '!A:B,2,FALSE),"Non trouvé")</f>
        <v>Non trouvé</v>
      </c>
      <c r="B1347" t="s">
        <v>62</v>
      </c>
      <c r="C1347" s="3">
        <v>45217.488194444442</v>
      </c>
      <c r="D1347" s="11">
        <f>Logs_reseau[[#This Row],[Duree_Panne_Min]]/1440</f>
        <v>6.5277777777777782E-2</v>
      </c>
      <c r="E1347">
        <v>94</v>
      </c>
      <c r="F1347" t="s">
        <v>1</v>
      </c>
      <c r="G1347" t="str">
        <f>IFERROR(VLOOKUP(Logs_reseau[[#This Row],[Cell_ID]],'[1]Registre_Maintenance_combine '!A:C,3,FALSE),"Non trouvé")</f>
        <v>Non trouvé</v>
      </c>
      <c r="H1347" t="str">
        <f>IFERROR(VLOOKUP(Logs_reseau[[#This Row],[Cell_ID]],'[1]Registre_Maintenance_combine '!A:D,4,FALSE),"Non trouvé")</f>
        <v>Non trouvé</v>
      </c>
      <c r="I1347" t="str">
        <f>IFERROR(VLOOKUP(Logs_reseau[[#This Row],[Cell_ID]],'[1]Registre_Maintenance_combine '!A:E,5,FALSE),"Non trouvé")</f>
        <v>Non trouvé</v>
      </c>
      <c r="J1347" t="str">
        <f>IFERROR(VLOOKUP(Logs_reseau[[#This Row],[Cell_ID]],'[1]Registre_Maintenance_combine '!A:F,6,FALSE),"Non trouvé")</f>
        <v>Non trouvé</v>
      </c>
    </row>
    <row r="1348" spans="1:10" x14ac:dyDescent="0.25">
      <c r="A1348" t="str">
        <f>IFERROR(VLOOKUP(Logs_reseau[[#This Row],[Cell_ID]],'[1]Registre_Maintenance_combine '!A:B,2,FALSE),"Non trouvé")</f>
        <v>Non trouvé</v>
      </c>
      <c r="B1348" t="s">
        <v>242</v>
      </c>
      <c r="C1348" s="3">
        <v>45224.988194444442</v>
      </c>
      <c r="D1348" s="11">
        <f>Logs_reseau[[#This Row],[Duree_Panne_Min]]/1440</f>
        <v>2.7083333333333334E-2</v>
      </c>
      <c r="E1348">
        <v>39</v>
      </c>
      <c r="F1348" t="s">
        <v>1</v>
      </c>
      <c r="G1348" t="str">
        <f>IFERROR(VLOOKUP(Logs_reseau[[#This Row],[Cell_ID]],'[1]Registre_Maintenance_combine '!A:C,3,FALSE),"Non trouvé")</f>
        <v>Non trouvé</v>
      </c>
      <c r="H1348" t="str">
        <f>IFERROR(VLOOKUP(Logs_reseau[[#This Row],[Cell_ID]],'[1]Registre_Maintenance_combine '!A:D,4,FALSE),"Non trouvé")</f>
        <v>Non trouvé</v>
      </c>
      <c r="I1348" t="str">
        <f>IFERROR(VLOOKUP(Logs_reseau[[#This Row],[Cell_ID]],'[1]Registre_Maintenance_combine '!A:E,5,FALSE),"Non trouvé")</f>
        <v>Non trouvé</v>
      </c>
      <c r="J1348" t="str">
        <f>IFERROR(VLOOKUP(Logs_reseau[[#This Row],[Cell_ID]],'[1]Registre_Maintenance_combine '!A:F,6,FALSE),"Non trouvé")</f>
        <v>Non trouvé</v>
      </c>
    </row>
    <row r="1349" spans="1:10" x14ac:dyDescent="0.25">
      <c r="A1349" t="str">
        <f>IFERROR(VLOOKUP(Logs_reseau[[#This Row],[Cell_ID]],'[1]Registre_Maintenance_combine '!A:B,2,FALSE),"Non trouvé")</f>
        <v>Kasai</v>
      </c>
      <c r="B1349" t="s">
        <v>437</v>
      </c>
      <c r="C1349" s="3">
        <v>45220.927777777775</v>
      </c>
      <c r="D1349" s="11">
        <f>Logs_reseau[[#This Row],[Duree_Panne_Min]]/1440</f>
        <v>1.5277777777777777E-2</v>
      </c>
      <c r="E1349">
        <v>22</v>
      </c>
      <c r="F1349" t="s">
        <v>2</v>
      </c>
      <c r="G1349">
        <f>IFERROR(VLOOKUP(Logs_reseau[[#This Row],[Cell_ID]],'[1]Registre_Maintenance_combine '!A:C,3,FALSE),"Non trouvé")</f>
        <v>1.5802860000000001</v>
      </c>
      <c r="H1349">
        <f>IFERROR(VLOOKUP(Logs_reseau[[#This Row],[Cell_ID]],'[1]Registre_Maintenance_combine '!A:D,4,FALSE),"Non trouvé")</f>
        <v>20.99053</v>
      </c>
      <c r="I1349" t="str">
        <f>IFERROR(VLOOKUP(Logs_reseau[[#This Row],[Cell_ID]],'[1]Registre_Maintenance_combine '!A:E,5,FALSE),"Non trouvé")</f>
        <v>4G</v>
      </c>
      <c r="J1349" t="str">
        <f>IFERROR(VLOOKUP(Logs_reseau[[#This Row],[Cell_ID]],'[1]Registre_Maintenance_combine '!A:F,6,FALSE),"Non trouvé")</f>
        <v>ZTE</v>
      </c>
    </row>
    <row r="1350" spans="1:10" x14ac:dyDescent="0.25">
      <c r="A1350" t="str">
        <f>IFERROR(VLOOKUP(Logs_reseau[[#This Row],[Cell_ID]],'[1]Registre_Maintenance_combine '!A:B,2,FALSE),"Non trouvé")</f>
        <v>Non trouvé</v>
      </c>
      <c r="B1350" t="s">
        <v>93</v>
      </c>
      <c r="C1350" s="3">
        <v>45219.633333333331</v>
      </c>
      <c r="D1350" s="11">
        <f>Logs_reseau[[#This Row],[Duree_Panne_Min]]/1440</f>
        <v>1.2500000000000001E-2</v>
      </c>
      <c r="E1350">
        <v>18</v>
      </c>
      <c r="F1350" t="s">
        <v>4</v>
      </c>
      <c r="G1350" t="str">
        <f>IFERROR(VLOOKUP(Logs_reseau[[#This Row],[Cell_ID]],'[1]Registre_Maintenance_combine '!A:C,3,FALSE),"Non trouvé")</f>
        <v>Non trouvé</v>
      </c>
      <c r="H1350" t="str">
        <f>IFERROR(VLOOKUP(Logs_reseau[[#This Row],[Cell_ID]],'[1]Registre_Maintenance_combine '!A:D,4,FALSE),"Non trouvé")</f>
        <v>Non trouvé</v>
      </c>
      <c r="I1350" t="str">
        <f>IFERROR(VLOOKUP(Logs_reseau[[#This Row],[Cell_ID]],'[1]Registre_Maintenance_combine '!A:E,5,FALSE),"Non trouvé")</f>
        <v>Non trouvé</v>
      </c>
      <c r="J1350" t="str">
        <f>IFERROR(VLOOKUP(Logs_reseau[[#This Row],[Cell_ID]],'[1]Registre_Maintenance_combine '!A:F,6,FALSE),"Non trouvé")</f>
        <v>Non trouvé</v>
      </c>
    </row>
    <row r="1351" spans="1:10" x14ac:dyDescent="0.25">
      <c r="A1351" t="str">
        <f>IFERROR(VLOOKUP(Logs_reseau[[#This Row],[Cell_ID]],'[1]Registre_Maintenance_combine '!A:B,2,FALSE),"Non trouvé")</f>
        <v>Kongo-Central</v>
      </c>
      <c r="B1351" t="s">
        <v>511</v>
      </c>
      <c r="C1351" s="3">
        <v>45230.303472222222</v>
      </c>
      <c r="D1351" s="11">
        <f>Logs_reseau[[#This Row],[Duree_Panne_Min]]/1440</f>
        <v>5.7638888888888892E-2</v>
      </c>
      <c r="E1351">
        <v>83</v>
      </c>
      <c r="F1351" t="s">
        <v>4</v>
      </c>
      <c r="G1351">
        <f>IFERROR(VLOOKUP(Logs_reseau[[#This Row],[Cell_ID]],'[1]Registre_Maintenance_combine '!A:C,3,FALSE),"Non trouvé")</f>
        <v>-9.8208710000000004</v>
      </c>
      <c r="H1351">
        <f>IFERROR(VLOOKUP(Logs_reseau[[#This Row],[Cell_ID]],'[1]Registre_Maintenance_combine '!A:D,4,FALSE),"Non trouvé")</f>
        <v>23.229807000000001</v>
      </c>
      <c r="I1351" t="str">
        <f>IFERROR(VLOOKUP(Logs_reseau[[#This Row],[Cell_ID]],'[1]Registre_Maintenance_combine '!A:E,5,FALSE),"Non trouvé")</f>
        <v>5G</v>
      </c>
      <c r="J1351" t="str">
        <f>IFERROR(VLOOKUP(Logs_reseau[[#This Row],[Cell_ID]],'[1]Registre_Maintenance_combine '!A:F,6,FALSE),"Non trouvé")</f>
        <v>Nokia</v>
      </c>
    </row>
    <row r="1352" spans="1:10" x14ac:dyDescent="0.25">
      <c r="A1352" t="str">
        <f>IFERROR(VLOOKUP(Logs_reseau[[#This Row],[Cell_ID]],'[1]Registre_Maintenance_combine '!A:B,2,FALSE),"Non trouvé")</f>
        <v>Haut-Lomami</v>
      </c>
      <c r="B1352" t="s">
        <v>512</v>
      </c>
      <c r="C1352" s="3">
        <v>45217.384722222225</v>
      </c>
      <c r="D1352" s="11">
        <f>Logs_reseau[[#This Row],[Duree_Panne_Min]]/1440</f>
        <v>6.8750000000000006E-2</v>
      </c>
      <c r="E1352">
        <v>99</v>
      </c>
      <c r="F1352" t="s">
        <v>2</v>
      </c>
      <c r="G1352">
        <f>IFERROR(VLOOKUP(Logs_reseau[[#This Row],[Cell_ID]],'[1]Registre_Maintenance_combine '!A:C,3,FALSE),"Non trouvé")</f>
        <v>-4.8157019999999999</v>
      </c>
      <c r="H1352">
        <f>IFERROR(VLOOKUP(Logs_reseau[[#This Row],[Cell_ID]],'[1]Registre_Maintenance_combine '!A:D,4,FALSE),"Non trouvé")</f>
        <v>27.679798000000002</v>
      </c>
      <c r="I1352" t="str">
        <f>IFERROR(VLOOKUP(Logs_reseau[[#This Row],[Cell_ID]],'[1]Registre_Maintenance_combine '!A:E,5,FALSE),"Non trouvé")</f>
        <v>3G</v>
      </c>
      <c r="J1352" t="str">
        <f>IFERROR(VLOOKUP(Logs_reseau[[#This Row],[Cell_ID]],'[1]Registre_Maintenance_combine '!A:F,6,FALSE),"Non trouvé")</f>
        <v>Ericsson</v>
      </c>
    </row>
    <row r="1353" spans="1:10" x14ac:dyDescent="0.25">
      <c r="A1353" t="str">
        <f>IFERROR(VLOOKUP(Logs_reseau[[#This Row],[Cell_ID]],'[1]Registre_Maintenance_combine '!A:B,2,FALSE),"Non trouvé")</f>
        <v>Kwilu</v>
      </c>
      <c r="B1353" t="s">
        <v>513</v>
      </c>
      <c r="C1353" s="3">
        <v>45230.40902777778</v>
      </c>
      <c r="D1353" s="11">
        <f>Logs_reseau[[#This Row],[Duree_Panne_Min]]/1440</f>
        <v>5.5555555555555552E-2</v>
      </c>
      <c r="E1353">
        <v>80</v>
      </c>
      <c r="F1353" t="s">
        <v>2</v>
      </c>
      <c r="G1353">
        <f>IFERROR(VLOOKUP(Logs_reseau[[#This Row],[Cell_ID]],'[1]Registre_Maintenance_combine '!A:C,3,FALSE),"Non trouvé")</f>
        <v>0.62055499999999997</v>
      </c>
      <c r="H1353">
        <f>IFERROR(VLOOKUP(Logs_reseau[[#This Row],[Cell_ID]],'[1]Registre_Maintenance_combine '!A:D,4,FALSE),"Non trouvé")</f>
        <v>21.222035000000002</v>
      </c>
      <c r="I1353" t="str">
        <f>IFERROR(VLOOKUP(Logs_reseau[[#This Row],[Cell_ID]],'[1]Registre_Maintenance_combine '!A:E,5,FALSE),"Non trouvé")</f>
        <v>5G</v>
      </c>
      <c r="J1353" t="str">
        <f>IFERROR(VLOOKUP(Logs_reseau[[#This Row],[Cell_ID]],'[1]Registre_Maintenance_combine '!A:F,6,FALSE),"Non trouvé")</f>
        <v>Nokia</v>
      </c>
    </row>
    <row r="1354" spans="1:10" x14ac:dyDescent="0.25">
      <c r="A1354" t="str">
        <f>IFERROR(VLOOKUP(Logs_reseau[[#This Row],[Cell_ID]],'[1]Registre_Maintenance_combine '!A:B,2,FALSE),"Non trouvé")</f>
        <v>Non trouvé</v>
      </c>
      <c r="B1354" t="s">
        <v>514</v>
      </c>
      <c r="C1354" s="3">
        <v>45209.925694444442</v>
      </c>
      <c r="D1354" s="11">
        <f>Logs_reseau[[#This Row],[Duree_Panne_Min]]/1440</f>
        <v>2.4305555555555556E-2</v>
      </c>
      <c r="E1354">
        <v>35</v>
      </c>
      <c r="F1354" t="s">
        <v>1</v>
      </c>
      <c r="G1354" t="str">
        <f>IFERROR(VLOOKUP(Logs_reseau[[#This Row],[Cell_ID]],'[1]Registre_Maintenance_combine '!A:C,3,FALSE),"Non trouvé")</f>
        <v>Non trouvé</v>
      </c>
      <c r="H1354" t="str">
        <f>IFERROR(VLOOKUP(Logs_reseau[[#This Row],[Cell_ID]],'[1]Registre_Maintenance_combine '!A:D,4,FALSE),"Non trouvé")</f>
        <v>Non trouvé</v>
      </c>
      <c r="I1354" t="str">
        <f>IFERROR(VLOOKUP(Logs_reseau[[#This Row],[Cell_ID]],'[1]Registre_Maintenance_combine '!A:E,5,FALSE),"Non trouvé")</f>
        <v>Non trouvé</v>
      </c>
      <c r="J1354" t="str">
        <f>IFERROR(VLOOKUP(Logs_reseau[[#This Row],[Cell_ID]],'[1]Registre_Maintenance_combine '!A:F,6,FALSE),"Non trouvé")</f>
        <v>Non trouvé</v>
      </c>
    </row>
    <row r="1355" spans="1:10" x14ac:dyDescent="0.25">
      <c r="A1355" t="str">
        <f>IFERROR(VLOOKUP(Logs_reseau[[#This Row],[Cell_ID]],'[1]Registre_Maintenance_combine '!A:B,2,FALSE),"Non trouvé")</f>
        <v>Non trouvé</v>
      </c>
      <c r="B1355" t="s">
        <v>515</v>
      </c>
      <c r="C1355" s="3">
        <v>45222.938194444447</v>
      </c>
      <c r="D1355" s="11">
        <f>Logs_reseau[[#This Row],[Duree_Panne_Min]]/1440</f>
        <v>2.5000000000000001E-2</v>
      </c>
      <c r="E1355">
        <v>36</v>
      </c>
      <c r="F1355" t="s">
        <v>1</v>
      </c>
      <c r="G1355" t="str">
        <f>IFERROR(VLOOKUP(Logs_reseau[[#This Row],[Cell_ID]],'[1]Registre_Maintenance_combine '!A:C,3,FALSE),"Non trouvé")</f>
        <v>Non trouvé</v>
      </c>
      <c r="H1355" t="str">
        <f>IFERROR(VLOOKUP(Logs_reseau[[#This Row],[Cell_ID]],'[1]Registre_Maintenance_combine '!A:D,4,FALSE),"Non trouvé")</f>
        <v>Non trouvé</v>
      </c>
      <c r="I1355" t="str">
        <f>IFERROR(VLOOKUP(Logs_reseau[[#This Row],[Cell_ID]],'[1]Registre_Maintenance_combine '!A:E,5,FALSE),"Non trouvé")</f>
        <v>Non trouvé</v>
      </c>
      <c r="J1355" t="str">
        <f>IFERROR(VLOOKUP(Logs_reseau[[#This Row],[Cell_ID]],'[1]Registre_Maintenance_combine '!A:F,6,FALSE),"Non trouvé")</f>
        <v>Non trouvé</v>
      </c>
    </row>
    <row r="1356" spans="1:10" x14ac:dyDescent="0.25">
      <c r="A1356" t="str">
        <f>IFERROR(VLOOKUP(Logs_reseau[[#This Row],[Cell_ID]],'[1]Registre_Maintenance_combine '!A:B,2,FALSE),"Non trouvé")</f>
        <v>Haut-Uele</v>
      </c>
      <c r="B1356" t="s">
        <v>516</v>
      </c>
      <c r="C1356" s="3">
        <v>45202.529166666667</v>
      </c>
      <c r="D1356" s="11">
        <f>Logs_reseau[[#This Row],[Duree_Panne_Min]]/1440</f>
        <v>7.5694444444444439E-2</v>
      </c>
      <c r="E1356">
        <v>109</v>
      </c>
      <c r="F1356" t="s">
        <v>2</v>
      </c>
      <c r="G1356">
        <f>IFERROR(VLOOKUP(Logs_reseau[[#This Row],[Cell_ID]],'[1]Registre_Maintenance_combine '!A:C,3,FALSE),"Non trouvé")</f>
        <v>-7.1483749999999997</v>
      </c>
      <c r="H1356">
        <f>IFERROR(VLOOKUP(Logs_reseau[[#This Row],[Cell_ID]],'[1]Registre_Maintenance_combine '!A:D,4,FALSE),"Non trouvé")</f>
        <v>26.014271000000001</v>
      </c>
      <c r="I1356" t="str">
        <f>IFERROR(VLOOKUP(Logs_reseau[[#This Row],[Cell_ID]],'[1]Registre_Maintenance_combine '!A:E,5,FALSE),"Non trouvé")</f>
        <v>5G</v>
      </c>
      <c r="J1356" t="str">
        <f>IFERROR(VLOOKUP(Logs_reseau[[#This Row],[Cell_ID]],'[1]Registre_Maintenance_combine '!A:F,6,FALSE),"Non trouvé")</f>
        <v>Huawei</v>
      </c>
    </row>
    <row r="1357" spans="1:10" x14ac:dyDescent="0.25">
      <c r="A1357" t="str">
        <f>IFERROR(VLOOKUP(Logs_reseau[[#This Row],[Cell_ID]],'[1]Registre_Maintenance_combine '!A:B,2,FALSE),"Non trouvé")</f>
        <v>Nord-Kivu</v>
      </c>
      <c r="B1357" t="s">
        <v>517</v>
      </c>
      <c r="C1357" s="3">
        <v>45203.213888888888</v>
      </c>
      <c r="D1357" s="11">
        <f>Logs_reseau[[#This Row],[Duree_Panne_Min]]/1440</f>
        <v>3.472222222222222E-3</v>
      </c>
      <c r="E1357">
        <v>5</v>
      </c>
      <c r="F1357" t="s">
        <v>1</v>
      </c>
      <c r="G1357">
        <f>IFERROR(VLOOKUP(Logs_reseau[[#This Row],[Cell_ID]],'[1]Registre_Maintenance_combine '!A:C,3,FALSE),"Non trouvé")</f>
        <v>-6.5332999999999997</v>
      </c>
      <c r="H1357">
        <f>IFERROR(VLOOKUP(Logs_reseau[[#This Row],[Cell_ID]],'[1]Registre_Maintenance_combine '!A:D,4,FALSE),"Non trouvé")</f>
        <v>20.098018</v>
      </c>
      <c r="I1357" t="str">
        <f>IFERROR(VLOOKUP(Logs_reseau[[#This Row],[Cell_ID]],'[1]Registre_Maintenance_combine '!A:E,5,FALSE),"Non trouvé")</f>
        <v>4G</v>
      </c>
      <c r="J1357" t="str">
        <f>IFERROR(VLOOKUP(Logs_reseau[[#This Row],[Cell_ID]],'[1]Registre_Maintenance_combine '!A:F,6,FALSE),"Non trouvé")</f>
        <v>Huawei</v>
      </c>
    </row>
    <row r="1358" spans="1:10" x14ac:dyDescent="0.25">
      <c r="A1358" t="str">
        <f>IFERROR(VLOOKUP(Logs_reseau[[#This Row],[Cell_ID]],'[1]Registre_Maintenance_combine '!A:B,2,FALSE),"Non trouvé")</f>
        <v>Tanganyika</v>
      </c>
      <c r="B1358" t="s">
        <v>518</v>
      </c>
      <c r="C1358" s="3">
        <v>45215.457638888889</v>
      </c>
      <c r="D1358" s="11">
        <f>Logs_reseau[[#This Row],[Duree_Panne_Min]]/1440</f>
        <v>6.9444444444444448E-2</v>
      </c>
      <c r="E1358">
        <v>100</v>
      </c>
      <c r="F1358" t="s">
        <v>1</v>
      </c>
      <c r="G1358">
        <f>IFERROR(VLOOKUP(Logs_reseau[[#This Row],[Cell_ID]],'[1]Registre_Maintenance_combine '!A:C,3,FALSE),"Non trouvé")</f>
        <v>-11.793894</v>
      </c>
      <c r="H1358">
        <f>IFERROR(VLOOKUP(Logs_reseau[[#This Row],[Cell_ID]],'[1]Registre_Maintenance_combine '!A:D,4,FALSE),"Non trouvé")</f>
        <v>20.433340999999999</v>
      </c>
      <c r="I1358" t="str">
        <f>IFERROR(VLOOKUP(Logs_reseau[[#This Row],[Cell_ID]],'[1]Registre_Maintenance_combine '!A:E,5,FALSE),"Non trouvé")</f>
        <v>5G</v>
      </c>
      <c r="J1358" t="str">
        <f>IFERROR(VLOOKUP(Logs_reseau[[#This Row],[Cell_ID]],'[1]Registre_Maintenance_combine '!A:F,6,FALSE),"Non trouvé")</f>
        <v>Nokia</v>
      </c>
    </row>
    <row r="1359" spans="1:10" x14ac:dyDescent="0.25">
      <c r="A1359" t="str">
        <f>IFERROR(VLOOKUP(Logs_reseau[[#This Row],[Cell_ID]],'[1]Registre_Maintenance_combine '!A:B,2,FALSE),"Non trouvé")</f>
        <v>Kasai-Central</v>
      </c>
      <c r="B1359" t="s">
        <v>123</v>
      </c>
      <c r="C1359" s="3">
        <v>45207.011111111111</v>
      </c>
      <c r="D1359" s="11">
        <f>Logs_reseau[[#This Row],[Duree_Panne_Min]]/1440</f>
        <v>2.2222222222222223E-2</v>
      </c>
      <c r="E1359">
        <v>32</v>
      </c>
      <c r="F1359" t="s">
        <v>1</v>
      </c>
      <c r="G1359">
        <f>IFERROR(VLOOKUP(Logs_reseau[[#This Row],[Cell_ID]],'[1]Registre_Maintenance_combine '!A:C,3,FALSE),"Non trouvé")</f>
        <v>1.897178</v>
      </c>
      <c r="H1359">
        <f>IFERROR(VLOOKUP(Logs_reseau[[#This Row],[Cell_ID]],'[1]Registre_Maintenance_combine '!A:D,4,FALSE),"Non trouvé")</f>
        <v>23.902604</v>
      </c>
      <c r="I1359" t="str">
        <f>IFERROR(VLOOKUP(Logs_reseau[[#This Row],[Cell_ID]],'[1]Registre_Maintenance_combine '!A:E,5,FALSE),"Non trouvé")</f>
        <v>3G</v>
      </c>
      <c r="J1359" t="str">
        <f>IFERROR(VLOOKUP(Logs_reseau[[#This Row],[Cell_ID]],'[1]Registre_Maintenance_combine '!A:F,6,FALSE),"Non trouvé")</f>
        <v>Nokia</v>
      </c>
    </row>
    <row r="1360" spans="1:10" x14ac:dyDescent="0.25">
      <c r="A1360" t="str">
        <f>IFERROR(VLOOKUP(Logs_reseau[[#This Row],[Cell_ID]],'[1]Registre_Maintenance_combine '!A:B,2,FALSE),"Non trouvé")</f>
        <v>Kwango</v>
      </c>
      <c r="B1360" t="s">
        <v>182</v>
      </c>
      <c r="C1360" s="3">
        <v>45212.311111111114</v>
      </c>
      <c r="D1360" s="11">
        <f>Logs_reseau[[#This Row],[Duree_Panne_Min]]/1440</f>
        <v>5.486111111111111E-2</v>
      </c>
      <c r="E1360">
        <v>79</v>
      </c>
      <c r="F1360" t="s">
        <v>1</v>
      </c>
      <c r="G1360">
        <f>IFERROR(VLOOKUP(Logs_reseau[[#This Row],[Cell_ID]],'[1]Registre_Maintenance_combine '!A:C,3,FALSE),"Non trouvé")</f>
        <v>4.8319039999999998</v>
      </c>
      <c r="H1360">
        <f>IFERROR(VLOOKUP(Logs_reseau[[#This Row],[Cell_ID]],'[1]Registre_Maintenance_combine '!A:D,4,FALSE),"Non trouvé")</f>
        <v>20.733468999999999</v>
      </c>
      <c r="I1360" t="str">
        <f>IFERROR(VLOOKUP(Logs_reseau[[#This Row],[Cell_ID]],'[1]Registre_Maintenance_combine '!A:E,5,FALSE),"Non trouvé")</f>
        <v>5G</v>
      </c>
      <c r="J1360" t="str">
        <f>IFERROR(VLOOKUP(Logs_reseau[[#This Row],[Cell_ID]],'[1]Registre_Maintenance_combine '!A:F,6,FALSE),"Non trouvé")</f>
        <v>Ericsson</v>
      </c>
    </row>
    <row r="1361" spans="1:10" x14ac:dyDescent="0.25">
      <c r="A1361" t="str">
        <f>IFERROR(VLOOKUP(Logs_reseau[[#This Row],[Cell_ID]],'[1]Registre_Maintenance_combine '!A:B,2,FALSE),"Non trouvé")</f>
        <v>Tshuapa</v>
      </c>
      <c r="B1361" t="s">
        <v>519</v>
      </c>
      <c r="C1361" s="3">
        <v>45224.347916666666</v>
      </c>
      <c r="D1361" s="11">
        <f>Logs_reseau[[#This Row],[Duree_Panne_Min]]/1440</f>
        <v>9.7222222222222224E-3</v>
      </c>
      <c r="E1361">
        <v>14</v>
      </c>
      <c r="F1361" t="s">
        <v>1</v>
      </c>
      <c r="G1361">
        <f>IFERROR(VLOOKUP(Logs_reseau[[#This Row],[Cell_ID]],'[1]Registre_Maintenance_combine '!A:C,3,FALSE),"Non trouvé")</f>
        <v>-7.789663</v>
      </c>
      <c r="H1361">
        <f>IFERROR(VLOOKUP(Logs_reseau[[#This Row],[Cell_ID]],'[1]Registre_Maintenance_combine '!A:D,4,FALSE),"Non trouvé")</f>
        <v>26.529098000000001</v>
      </c>
      <c r="I1361" t="str">
        <f>IFERROR(VLOOKUP(Logs_reseau[[#This Row],[Cell_ID]],'[1]Registre_Maintenance_combine '!A:E,5,FALSE),"Non trouvé")</f>
        <v>5G</v>
      </c>
      <c r="J1361" t="str">
        <f>IFERROR(VLOOKUP(Logs_reseau[[#This Row],[Cell_ID]],'[1]Registre_Maintenance_combine '!A:F,6,FALSE),"Non trouvé")</f>
        <v>Nokia</v>
      </c>
    </row>
    <row r="1362" spans="1:10" x14ac:dyDescent="0.25">
      <c r="A1362" t="str">
        <f>IFERROR(VLOOKUP(Logs_reseau[[#This Row],[Cell_ID]],'[1]Registre_Maintenance_combine '!A:B,2,FALSE),"Non trouvé")</f>
        <v>Non trouvé</v>
      </c>
      <c r="B1362" t="s">
        <v>494</v>
      </c>
      <c r="C1362" s="3">
        <v>45209.781944444447</v>
      </c>
      <c r="D1362" s="11">
        <f>Logs_reseau[[#This Row],[Duree_Panne_Min]]/1440</f>
        <v>6.9444444444444441E-3</v>
      </c>
      <c r="E1362">
        <v>10</v>
      </c>
      <c r="F1362" t="s">
        <v>2</v>
      </c>
      <c r="G1362" t="str">
        <f>IFERROR(VLOOKUP(Logs_reseau[[#This Row],[Cell_ID]],'[1]Registre_Maintenance_combine '!A:C,3,FALSE),"Non trouvé")</f>
        <v>Non trouvé</v>
      </c>
      <c r="H1362" t="str">
        <f>IFERROR(VLOOKUP(Logs_reseau[[#This Row],[Cell_ID]],'[1]Registre_Maintenance_combine '!A:D,4,FALSE),"Non trouvé")</f>
        <v>Non trouvé</v>
      </c>
      <c r="I1362" t="str">
        <f>IFERROR(VLOOKUP(Logs_reseau[[#This Row],[Cell_ID]],'[1]Registre_Maintenance_combine '!A:E,5,FALSE),"Non trouvé")</f>
        <v>Non trouvé</v>
      </c>
      <c r="J1362" t="str">
        <f>IFERROR(VLOOKUP(Logs_reseau[[#This Row],[Cell_ID]],'[1]Registre_Maintenance_combine '!A:F,6,FALSE),"Non trouvé")</f>
        <v>Non trouvé</v>
      </c>
    </row>
    <row r="1363" spans="1:10" x14ac:dyDescent="0.25">
      <c r="A1363" t="str">
        <f>IFERROR(VLOOKUP(Logs_reseau[[#This Row],[Cell_ID]],'[1]Registre_Maintenance_combine '!A:B,2,FALSE),"Non trouvé")</f>
        <v>Non trouvé</v>
      </c>
      <c r="B1363" t="s">
        <v>520</v>
      </c>
      <c r="C1363" s="3">
        <v>45218.011111111111</v>
      </c>
      <c r="D1363" s="11">
        <f>Logs_reseau[[#This Row],[Duree_Panne_Min]]/1440</f>
        <v>4.0972222222222222E-2</v>
      </c>
      <c r="E1363">
        <v>59</v>
      </c>
      <c r="F1363" t="s">
        <v>1</v>
      </c>
      <c r="G1363" t="str">
        <f>IFERROR(VLOOKUP(Logs_reseau[[#This Row],[Cell_ID]],'[1]Registre_Maintenance_combine '!A:C,3,FALSE),"Non trouvé")</f>
        <v>Non trouvé</v>
      </c>
      <c r="H1363" t="str">
        <f>IFERROR(VLOOKUP(Logs_reseau[[#This Row],[Cell_ID]],'[1]Registre_Maintenance_combine '!A:D,4,FALSE),"Non trouvé")</f>
        <v>Non trouvé</v>
      </c>
      <c r="I1363" t="str">
        <f>IFERROR(VLOOKUP(Logs_reseau[[#This Row],[Cell_ID]],'[1]Registre_Maintenance_combine '!A:E,5,FALSE),"Non trouvé")</f>
        <v>Non trouvé</v>
      </c>
      <c r="J1363" t="str">
        <f>IFERROR(VLOOKUP(Logs_reseau[[#This Row],[Cell_ID]],'[1]Registre_Maintenance_combine '!A:F,6,FALSE),"Non trouvé")</f>
        <v>Non trouvé</v>
      </c>
    </row>
    <row r="1364" spans="1:10" x14ac:dyDescent="0.25">
      <c r="A1364" t="str">
        <f>IFERROR(VLOOKUP(Logs_reseau[[#This Row],[Cell_ID]],'[1]Registre_Maintenance_combine '!A:B,2,FALSE),"Non trouvé")</f>
        <v>Sud-Ubangi</v>
      </c>
      <c r="B1364" t="s">
        <v>132</v>
      </c>
      <c r="C1364" s="3">
        <v>45220.488888888889</v>
      </c>
      <c r="D1364" s="11">
        <f>Logs_reseau[[#This Row],[Duree_Panne_Min]]/1440</f>
        <v>3.4027777777777775E-2</v>
      </c>
      <c r="E1364">
        <v>49</v>
      </c>
      <c r="F1364" t="s">
        <v>4</v>
      </c>
      <c r="G1364">
        <f>IFERROR(VLOOKUP(Logs_reseau[[#This Row],[Cell_ID]],'[1]Registre_Maintenance_combine '!A:C,3,FALSE),"Non trouvé")</f>
        <v>-9.3652239999999995</v>
      </c>
      <c r="H1364">
        <f>IFERROR(VLOOKUP(Logs_reseau[[#This Row],[Cell_ID]],'[1]Registre_Maintenance_combine '!A:D,4,FALSE),"Non trouvé")</f>
        <v>22.593423999999999</v>
      </c>
      <c r="I1364" t="str">
        <f>IFERROR(VLOOKUP(Logs_reseau[[#This Row],[Cell_ID]],'[1]Registre_Maintenance_combine '!A:E,5,FALSE),"Non trouvé")</f>
        <v>5G</v>
      </c>
      <c r="J1364" t="str">
        <f>IFERROR(VLOOKUP(Logs_reseau[[#This Row],[Cell_ID]],'[1]Registre_Maintenance_combine '!A:F,6,FALSE),"Non trouvé")</f>
        <v>Nokia</v>
      </c>
    </row>
    <row r="1365" spans="1:10" x14ac:dyDescent="0.25">
      <c r="A1365" t="str">
        <f>IFERROR(VLOOKUP(Logs_reseau[[#This Row],[Cell_ID]],'[1]Registre_Maintenance_combine '!A:B,2,FALSE),"Non trouvé")</f>
        <v>Equateur</v>
      </c>
      <c r="B1365" t="s">
        <v>521</v>
      </c>
      <c r="C1365" s="3">
        <v>45207.070833333331</v>
      </c>
      <c r="D1365" s="11">
        <f>Logs_reseau[[#This Row],[Duree_Panne_Min]]/1440</f>
        <v>6.5277777777777782E-2</v>
      </c>
      <c r="E1365">
        <v>94</v>
      </c>
      <c r="F1365" t="s">
        <v>2</v>
      </c>
      <c r="G1365">
        <f>IFERROR(VLOOKUP(Logs_reseau[[#This Row],[Cell_ID]],'[1]Registre_Maintenance_combine '!A:C,3,FALSE),"Non trouvé")</f>
        <v>-1.1284540000000001</v>
      </c>
      <c r="H1365">
        <f>IFERROR(VLOOKUP(Logs_reseau[[#This Row],[Cell_ID]],'[1]Registre_Maintenance_combine '!A:D,4,FALSE),"Non trouvé")</f>
        <v>23.000360000000001</v>
      </c>
      <c r="I1365" t="str">
        <f>IFERROR(VLOOKUP(Logs_reseau[[#This Row],[Cell_ID]],'[1]Registre_Maintenance_combine '!A:E,5,FALSE),"Non trouvé")</f>
        <v>5G</v>
      </c>
      <c r="J1365" t="str">
        <f>IFERROR(VLOOKUP(Logs_reseau[[#This Row],[Cell_ID]],'[1]Registre_Maintenance_combine '!A:F,6,FALSE),"Non trouvé")</f>
        <v>Ericsson</v>
      </c>
    </row>
    <row r="1366" spans="1:10" x14ac:dyDescent="0.25">
      <c r="A1366" t="str">
        <f>IFERROR(VLOOKUP(Logs_reseau[[#This Row],[Cell_ID]],'[1]Registre_Maintenance_combine '!A:B,2,FALSE),"Non trouvé")</f>
        <v>Tshuapa</v>
      </c>
      <c r="B1366" t="s">
        <v>522</v>
      </c>
      <c r="C1366" s="3">
        <v>45203.59652777778</v>
      </c>
      <c r="D1366" s="11">
        <f>Logs_reseau[[#This Row],[Duree_Panne_Min]]/1440</f>
        <v>9.0277777777777769E-3</v>
      </c>
      <c r="E1366">
        <v>13</v>
      </c>
      <c r="F1366" t="s">
        <v>2</v>
      </c>
      <c r="G1366">
        <f>IFERROR(VLOOKUP(Logs_reseau[[#This Row],[Cell_ID]],'[1]Registre_Maintenance_combine '!A:C,3,FALSE),"Non trouvé")</f>
        <v>-1.9540519999999999</v>
      </c>
      <c r="H1366">
        <f>IFERROR(VLOOKUP(Logs_reseau[[#This Row],[Cell_ID]],'[1]Registre_Maintenance_combine '!A:D,4,FALSE),"Non trouvé")</f>
        <v>12.667945</v>
      </c>
      <c r="I1366" t="str">
        <f>IFERROR(VLOOKUP(Logs_reseau[[#This Row],[Cell_ID]],'[1]Registre_Maintenance_combine '!A:E,5,FALSE),"Non trouvé")</f>
        <v>4G</v>
      </c>
      <c r="J1366" t="str">
        <f>IFERROR(VLOOKUP(Logs_reseau[[#This Row],[Cell_ID]],'[1]Registre_Maintenance_combine '!A:F,6,FALSE),"Non trouvé")</f>
        <v>Huawei</v>
      </c>
    </row>
    <row r="1367" spans="1:10" x14ac:dyDescent="0.25">
      <c r="A1367" t="str">
        <f>IFERROR(VLOOKUP(Logs_reseau[[#This Row],[Cell_ID]],'[1]Registre_Maintenance_combine '!A:B,2,FALSE),"Non trouvé")</f>
        <v>Mongala</v>
      </c>
      <c r="B1367" t="s">
        <v>262</v>
      </c>
      <c r="C1367" s="3">
        <v>45205.529861111114</v>
      </c>
      <c r="D1367" s="11">
        <f>Logs_reseau[[#This Row],[Duree_Panne_Min]]/1440</f>
        <v>5.1388888888888887E-2</v>
      </c>
      <c r="E1367">
        <v>74</v>
      </c>
      <c r="F1367" t="s">
        <v>2</v>
      </c>
      <c r="G1367">
        <f>IFERROR(VLOOKUP(Logs_reseau[[#This Row],[Cell_ID]],'[1]Registre_Maintenance_combine '!A:C,3,FALSE),"Non trouvé")</f>
        <v>-11.514188000000001</v>
      </c>
      <c r="H1367">
        <f>IFERROR(VLOOKUP(Logs_reseau[[#This Row],[Cell_ID]],'[1]Registre_Maintenance_combine '!A:D,4,FALSE),"Non trouvé")</f>
        <v>15.971181</v>
      </c>
      <c r="I1367" t="str">
        <f>IFERROR(VLOOKUP(Logs_reseau[[#This Row],[Cell_ID]],'[1]Registre_Maintenance_combine '!A:E,5,FALSE),"Non trouvé")</f>
        <v>5G</v>
      </c>
      <c r="J1367" t="str">
        <f>IFERROR(VLOOKUP(Logs_reseau[[#This Row],[Cell_ID]],'[1]Registre_Maintenance_combine '!A:F,6,FALSE),"Non trouvé")</f>
        <v>Ericsson</v>
      </c>
    </row>
    <row r="1368" spans="1:10" x14ac:dyDescent="0.25">
      <c r="A1368" t="str">
        <f>IFERROR(VLOOKUP(Logs_reseau[[#This Row],[Cell_ID]],'[1]Registre_Maintenance_combine '!A:B,2,FALSE),"Non trouvé")</f>
        <v>Non trouvé</v>
      </c>
      <c r="B1368" t="s">
        <v>6</v>
      </c>
      <c r="C1368" s="3">
        <v>45216.950694444444</v>
      </c>
      <c r="D1368" s="11">
        <f>Logs_reseau[[#This Row],[Duree_Panne_Min]]/1440</f>
        <v>8.3333333333333332E-3</v>
      </c>
      <c r="E1368">
        <v>12</v>
      </c>
      <c r="F1368" t="s">
        <v>1</v>
      </c>
      <c r="G1368" t="str">
        <f>IFERROR(VLOOKUP(Logs_reseau[[#This Row],[Cell_ID]],'[1]Registre_Maintenance_combine '!A:C,3,FALSE),"Non trouvé")</f>
        <v>Non trouvé</v>
      </c>
      <c r="H1368" t="str">
        <f>IFERROR(VLOOKUP(Logs_reseau[[#This Row],[Cell_ID]],'[1]Registre_Maintenance_combine '!A:D,4,FALSE),"Non trouvé")</f>
        <v>Non trouvé</v>
      </c>
      <c r="I1368" t="str">
        <f>IFERROR(VLOOKUP(Logs_reseau[[#This Row],[Cell_ID]],'[1]Registre_Maintenance_combine '!A:E,5,FALSE),"Non trouvé")</f>
        <v>Non trouvé</v>
      </c>
      <c r="J1368" t="str">
        <f>IFERROR(VLOOKUP(Logs_reseau[[#This Row],[Cell_ID]],'[1]Registre_Maintenance_combine '!A:F,6,FALSE),"Non trouvé")</f>
        <v>Non trouvé</v>
      </c>
    </row>
    <row r="1369" spans="1:10" x14ac:dyDescent="0.25">
      <c r="A1369" t="str">
        <f>IFERROR(VLOOKUP(Logs_reseau[[#This Row],[Cell_ID]],'[1]Registre_Maintenance_combine '!A:B,2,FALSE),"Non trouvé")</f>
        <v>Bas-Uele</v>
      </c>
      <c r="B1369" t="s">
        <v>353</v>
      </c>
      <c r="C1369" s="3">
        <v>45209.921527777777</v>
      </c>
      <c r="D1369" s="11">
        <f>Logs_reseau[[#This Row],[Duree_Panne_Min]]/1440</f>
        <v>8.2638888888888887E-2</v>
      </c>
      <c r="E1369">
        <v>119</v>
      </c>
      <c r="F1369" t="s">
        <v>1</v>
      </c>
      <c r="G1369">
        <f>IFERROR(VLOOKUP(Logs_reseau[[#This Row],[Cell_ID]],'[1]Registre_Maintenance_combine '!A:C,3,FALSE),"Non trouvé")</f>
        <v>1.5278670000000001</v>
      </c>
      <c r="H1369">
        <f>IFERROR(VLOOKUP(Logs_reseau[[#This Row],[Cell_ID]],'[1]Registre_Maintenance_combine '!A:D,4,FALSE),"Non trouvé")</f>
        <v>13.899388999999999</v>
      </c>
      <c r="I1369" t="str">
        <f>IFERROR(VLOOKUP(Logs_reseau[[#This Row],[Cell_ID]],'[1]Registre_Maintenance_combine '!A:E,5,FALSE),"Non trouvé")</f>
        <v>3G</v>
      </c>
      <c r="J1369" t="str">
        <f>IFERROR(VLOOKUP(Logs_reseau[[#This Row],[Cell_ID]],'[1]Registre_Maintenance_combine '!A:F,6,FALSE),"Non trouvé")</f>
        <v>Huawei</v>
      </c>
    </row>
    <row r="1370" spans="1:10" x14ac:dyDescent="0.25">
      <c r="A1370" t="str">
        <f>IFERROR(VLOOKUP(Logs_reseau[[#This Row],[Cell_ID]],'[1]Registre_Maintenance_combine '!A:B,2,FALSE),"Non trouvé")</f>
        <v>Non trouvé</v>
      </c>
      <c r="B1370" t="s">
        <v>26</v>
      </c>
      <c r="C1370" s="3">
        <v>45220.390972222223</v>
      </c>
      <c r="D1370" s="11">
        <f>Logs_reseau[[#This Row],[Duree_Panne_Min]]/1440</f>
        <v>9.0277777777777769E-3</v>
      </c>
      <c r="E1370">
        <v>13</v>
      </c>
      <c r="F1370" t="s">
        <v>2</v>
      </c>
      <c r="G1370" t="str">
        <f>IFERROR(VLOOKUP(Logs_reseau[[#This Row],[Cell_ID]],'[1]Registre_Maintenance_combine '!A:C,3,FALSE),"Non trouvé")</f>
        <v>Non trouvé</v>
      </c>
      <c r="H1370" t="str">
        <f>IFERROR(VLOOKUP(Logs_reseau[[#This Row],[Cell_ID]],'[1]Registre_Maintenance_combine '!A:D,4,FALSE),"Non trouvé")</f>
        <v>Non trouvé</v>
      </c>
      <c r="I1370" t="str">
        <f>IFERROR(VLOOKUP(Logs_reseau[[#This Row],[Cell_ID]],'[1]Registre_Maintenance_combine '!A:E,5,FALSE),"Non trouvé")</f>
        <v>Non trouvé</v>
      </c>
      <c r="J1370" t="str">
        <f>IFERROR(VLOOKUP(Logs_reseau[[#This Row],[Cell_ID]],'[1]Registre_Maintenance_combine '!A:F,6,FALSE),"Non trouvé")</f>
        <v>Non trouvé</v>
      </c>
    </row>
    <row r="1371" spans="1:10" x14ac:dyDescent="0.25">
      <c r="A1371" t="str">
        <f>IFERROR(VLOOKUP(Logs_reseau[[#This Row],[Cell_ID]],'[1]Registre_Maintenance_combine '!A:B,2,FALSE),"Non trouvé")</f>
        <v>Non trouvé</v>
      </c>
      <c r="B1371" t="s">
        <v>213</v>
      </c>
      <c r="C1371" s="3">
        <v>45219.301388888889</v>
      </c>
      <c r="D1371" s="11">
        <f>Logs_reseau[[#This Row],[Duree_Panne_Min]]/1440</f>
        <v>4.5138888888888888E-2</v>
      </c>
      <c r="E1371">
        <v>65</v>
      </c>
      <c r="F1371" t="s">
        <v>1</v>
      </c>
      <c r="G1371" t="str">
        <f>IFERROR(VLOOKUP(Logs_reseau[[#This Row],[Cell_ID]],'[1]Registre_Maintenance_combine '!A:C,3,FALSE),"Non trouvé")</f>
        <v>Non trouvé</v>
      </c>
      <c r="H1371" t="str">
        <f>IFERROR(VLOOKUP(Logs_reseau[[#This Row],[Cell_ID]],'[1]Registre_Maintenance_combine '!A:D,4,FALSE),"Non trouvé")</f>
        <v>Non trouvé</v>
      </c>
      <c r="I1371" t="str">
        <f>IFERROR(VLOOKUP(Logs_reseau[[#This Row],[Cell_ID]],'[1]Registre_Maintenance_combine '!A:E,5,FALSE),"Non trouvé")</f>
        <v>Non trouvé</v>
      </c>
      <c r="J1371" t="str">
        <f>IFERROR(VLOOKUP(Logs_reseau[[#This Row],[Cell_ID]],'[1]Registre_Maintenance_combine '!A:F,6,FALSE),"Non trouvé")</f>
        <v>Non trouvé</v>
      </c>
    </row>
    <row r="1372" spans="1:10" x14ac:dyDescent="0.25">
      <c r="A1372" t="str">
        <f>IFERROR(VLOOKUP(Logs_reseau[[#This Row],[Cell_ID]],'[1]Registre_Maintenance_combine '!A:B,2,FALSE),"Non trouvé")</f>
        <v>Non trouvé</v>
      </c>
      <c r="B1372" t="s">
        <v>523</v>
      </c>
      <c r="C1372" s="3">
        <v>45230.1875</v>
      </c>
      <c r="D1372" s="11">
        <f>Logs_reseau[[#This Row],[Duree_Panne_Min]]/1440</f>
        <v>6.2500000000000003E-3</v>
      </c>
      <c r="E1372">
        <v>9</v>
      </c>
      <c r="F1372" t="s">
        <v>4</v>
      </c>
      <c r="G1372" t="str">
        <f>IFERROR(VLOOKUP(Logs_reseau[[#This Row],[Cell_ID]],'[1]Registre_Maintenance_combine '!A:C,3,FALSE),"Non trouvé")</f>
        <v>Non trouvé</v>
      </c>
      <c r="H1372" t="str">
        <f>IFERROR(VLOOKUP(Logs_reseau[[#This Row],[Cell_ID]],'[1]Registre_Maintenance_combine '!A:D,4,FALSE),"Non trouvé")</f>
        <v>Non trouvé</v>
      </c>
      <c r="I1372" t="str">
        <f>IFERROR(VLOOKUP(Logs_reseau[[#This Row],[Cell_ID]],'[1]Registre_Maintenance_combine '!A:E,5,FALSE),"Non trouvé")</f>
        <v>Non trouvé</v>
      </c>
      <c r="J1372" t="str">
        <f>IFERROR(VLOOKUP(Logs_reseau[[#This Row],[Cell_ID]],'[1]Registre_Maintenance_combine '!A:F,6,FALSE),"Non trouvé")</f>
        <v>Non trouvé</v>
      </c>
    </row>
    <row r="1373" spans="1:10" x14ac:dyDescent="0.25">
      <c r="A1373" t="str">
        <f>IFERROR(VLOOKUP(Logs_reseau[[#This Row],[Cell_ID]],'[1]Registre_Maintenance_combine '!A:B,2,FALSE),"Non trouvé")</f>
        <v>Kinshasa</v>
      </c>
      <c r="B1373" t="s">
        <v>524</v>
      </c>
      <c r="C1373" s="3">
        <v>45204.615972222222</v>
      </c>
      <c r="D1373" s="11">
        <f>Logs_reseau[[#This Row],[Duree_Panne_Min]]/1440</f>
        <v>2.8472222222222222E-2</v>
      </c>
      <c r="E1373">
        <v>41</v>
      </c>
      <c r="F1373" t="s">
        <v>4</v>
      </c>
      <c r="G1373">
        <f>IFERROR(VLOOKUP(Logs_reseau[[#This Row],[Cell_ID]],'[1]Registre_Maintenance_combine '!A:C,3,FALSE),"Non trouvé")</f>
        <v>1.3006180000000001</v>
      </c>
      <c r="H1373">
        <f>IFERROR(VLOOKUP(Logs_reseau[[#This Row],[Cell_ID]],'[1]Registre_Maintenance_combine '!A:D,4,FALSE),"Non trouvé")</f>
        <v>29.060970999999999</v>
      </c>
      <c r="I1373" t="str">
        <f>IFERROR(VLOOKUP(Logs_reseau[[#This Row],[Cell_ID]],'[1]Registre_Maintenance_combine '!A:E,5,FALSE),"Non trouvé")</f>
        <v>3G</v>
      </c>
      <c r="J1373" t="str">
        <f>IFERROR(VLOOKUP(Logs_reseau[[#This Row],[Cell_ID]],'[1]Registre_Maintenance_combine '!A:F,6,FALSE),"Non trouvé")</f>
        <v>ZTE</v>
      </c>
    </row>
    <row r="1374" spans="1:10" x14ac:dyDescent="0.25">
      <c r="A1374" t="str">
        <f>IFERROR(VLOOKUP(Logs_reseau[[#This Row],[Cell_ID]],'[1]Registre_Maintenance_combine '!A:B,2,FALSE),"Non trouvé")</f>
        <v>Kongo-Central</v>
      </c>
      <c r="B1374" t="s">
        <v>204</v>
      </c>
      <c r="C1374" s="3">
        <v>45219.476388888892</v>
      </c>
      <c r="D1374" s="11">
        <f>Logs_reseau[[#This Row],[Duree_Panne_Min]]/1440</f>
        <v>3.9583333333333331E-2</v>
      </c>
      <c r="E1374">
        <v>57</v>
      </c>
      <c r="F1374" t="s">
        <v>1</v>
      </c>
      <c r="G1374">
        <f>IFERROR(VLOOKUP(Logs_reseau[[#This Row],[Cell_ID]],'[1]Registre_Maintenance_combine '!A:C,3,FALSE),"Non trouvé")</f>
        <v>-2.8211520000000001</v>
      </c>
      <c r="H1374">
        <f>IFERROR(VLOOKUP(Logs_reseau[[#This Row],[Cell_ID]],'[1]Registre_Maintenance_combine '!A:D,4,FALSE),"Non trouvé")</f>
        <v>20.651419000000001</v>
      </c>
      <c r="I1374" t="str">
        <f>IFERROR(VLOOKUP(Logs_reseau[[#This Row],[Cell_ID]],'[1]Registre_Maintenance_combine '!A:E,5,FALSE),"Non trouvé")</f>
        <v>5G</v>
      </c>
      <c r="J1374" t="str">
        <f>IFERROR(VLOOKUP(Logs_reseau[[#This Row],[Cell_ID]],'[1]Registre_Maintenance_combine '!A:F,6,FALSE),"Non trouvé")</f>
        <v>Ericsson</v>
      </c>
    </row>
    <row r="1375" spans="1:10" x14ac:dyDescent="0.25">
      <c r="A1375" t="str">
        <f>IFERROR(VLOOKUP(Logs_reseau[[#This Row],[Cell_ID]],'[1]Registre_Maintenance_combine '!A:B,2,FALSE),"Non trouvé")</f>
        <v>Haut-Katanga</v>
      </c>
      <c r="B1375" t="s">
        <v>525</v>
      </c>
      <c r="C1375" s="3">
        <v>45222.748611111114</v>
      </c>
      <c r="D1375" s="11">
        <f>Logs_reseau[[#This Row],[Duree_Panne_Min]]/1440</f>
        <v>1.9444444444444445E-2</v>
      </c>
      <c r="E1375">
        <v>28</v>
      </c>
      <c r="F1375" t="s">
        <v>2</v>
      </c>
      <c r="G1375">
        <f>IFERROR(VLOOKUP(Logs_reseau[[#This Row],[Cell_ID]],'[1]Registre_Maintenance_combine '!A:C,3,FALSE),"Non trouvé")</f>
        <v>-11.468578000000001</v>
      </c>
      <c r="H1375">
        <f>IFERROR(VLOOKUP(Logs_reseau[[#This Row],[Cell_ID]],'[1]Registre_Maintenance_combine '!A:D,4,FALSE),"Non trouvé")</f>
        <v>16.914501999999999</v>
      </c>
      <c r="I1375" t="str">
        <f>IFERROR(VLOOKUP(Logs_reseau[[#This Row],[Cell_ID]],'[1]Registre_Maintenance_combine '!A:E,5,FALSE),"Non trouvé")</f>
        <v>4G</v>
      </c>
      <c r="J1375" t="str">
        <f>IFERROR(VLOOKUP(Logs_reseau[[#This Row],[Cell_ID]],'[1]Registre_Maintenance_combine '!A:F,6,FALSE),"Non trouvé")</f>
        <v>Ericsson</v>
      </c>
    </row>
    <row r="1376" spans="1:10" x14ac:dyDescent="0.25">
      <c r="A1376" t="str">
        <f>IFERROR(VLOOKUP(Logs_reseau[[#This Row],[Cell_ID]],'[1]Registre_Maintenance_combine '!A:B,2,FALSE),"Non trouvé")</f>
        <v>Non trouvé</v>
      </c>
      <c r="B1376" t="s">
        <v>526</v>
      </c>
      <c r="C1376" s="3">
        <v>45215.743750000001</v>
      </c>
      <c r="D1376" s="11">
        <f>Logs_reseau[[#This Row],[Duree_Panne_Min]]/1440</f>
        <v>7.1527777777777773E-2</v>
      </c>
      <c r="E1376">
        <v>103</v>
      </c>
      <c r="F1376" t="s">
        <v>1</v>
      </c>
      <c r="G1376" t="str">
        <f>IFERROR(VLOOKUP(Logs_reseau[[#This Row],[Cell_ID]],'[1]Registre_Maintenance_combine '!A:C,3,FALSE),"Non trouvé")</f>
        <v>Non trouvé</v>
      </c>
      <c r="H1376" t="str">
        <f>IFERROR(VLOOKUP(Logs_reseau[[#This Row],[Cell_ID]],'[1]Registre_Maintenance_combine '!A:D,4,FALSE),"Non trouvé")</f>
        <v>Non trouvé</v>
      </c>
      <c r="I1376" t="str">
        <f>IFERROR(VLOOKUP(Logs_reseau[[#This Row],[Cell_ID]],'[1]Registre_Maintenance_combine '!A:E,5,FALSE),"Non trouvé")</f>
        <v>Non trouvé</v>
      </c>
      <c r="J1376" t="str">
        <f>IFERROR(VLOOKUP(Logs_reseau[[#This Row],[Cell_ID]],'[1]Registre_Maintenance_combine '!A:F,6,FALSE),"Non trouvé")</f>
        <v>Non trouvé</v>
      </c>
    </row>
    <row r="1377" spans="1:10" x14ac:dyDescent="0.25">
      <c r="A1377" t="str">
        <f>IFERROR(VLOOKUP(Logs_reseau[[#This Row],[Cell_ID]],'[1]Registre_Maintenance_combine '!A:B,2,FALSE),"Non trouvé")</f>
        <v>Kinshasa</v>
      </c>
      <c r="B1377" t="s">
        <v>527</v>
      </c>
      <c r="C1377" s="3">
        <v>45221.283333333333</v>
      </c>
      <c r="D1377" s="11">
        <f>Logs_reseau[[#This Row],[Duree_Panne_Min]]/1440</f>
        <v>1.5277777777777777E-2</v>
      </c>
      <c r="E1377">
        <v>22</v>
      </c>
      <c r="F1377" t="s">
        <v>1</v>
      </c>
      <c r="G1377">
        <f>IFERROR(VLOOKUP(Logs_reseau[[#This Row],[Cell_ID]],'[1]Registre_Maintenance_combine '!A:C,3,FALSE),"Non trouvé")</f>
        <v>-2.6665070000000002</v>
      </c>
      <c r="H1377">
        <f>IFERROR(VLOOKUP(Logs_reseau[[#This Row],[Cell_ID]],'[1]Registre_Maintenance_combine '!A:D,4,FALSE),"Non trouvé")</f>
        <v>18.623692999999999</v>
      </c>
      <c r="I1377" t="str">
        <f>IFERROR(VLOOKUP(Logs_reseau[[#This Row],[Cell_ID]],'[1]Registre_Maintenance_combine '!A:E,5,FALSE),"Non trouvé")</f>
        <v>3G</v>
      </c>
      <c r="J1377" t="str">
        <f>IFERROR(VLOOKUP(Logs_reseau[[#This Row],[Cell_ID]],'[1]Registre_Maintenance_combine '!A:F,6,FALSE),"Non trouvé")</f>
        <v>ZTE</v>
      </c>
    </row>
    <row r="1378" spans="1:10" x14ac:dyDescent="0.25">
      <c r="A1378" t="str">
        <f>IFERROR(VLOOKUP(Logs_reseau[[#This Row],[Cell_ID]],'[1]Registre_Maintenance_combine '!A:B,2,FALSE),"Non trouvé")</f>
        <v>Non trouvé</v>
      </c>
      <c r="B1378" t="s">
        <v>528</v>
      </c>
      <c r="C1378" s="3">
        <v>45207.908333333333</v>
      </c>
      <c r="D1378" s="11">
        <f>Logs_reseau[[#This Row],[Duree_Panne_Min]]/1440</f>
        <v>7.1527777777777773E-2</v>
      </c>
      <c r="E1378">
        <v>103</v>
      </c>
      <c r="F1378" t="s">
        <v>1</v>
      </c>
      <c r="G1378" t="str">
        <f>IFERROR(VLOOKUP(Logs_reseau[[#This Row],[Cell_ID]],'[1]Registre_Maintenance_combine '!A:C,3,FALSE),"Non trouvé")</f>
        <v>Non trouvé</v>
      </c>
      <c r="H1378" t="str">
        <f>IFERROR(VLOOKUP(Logs_reseau[[#This Row],[Cell_ID]],'[1]Registre_Maintenance_combine '!A:D,4,FALSE),"Non trouvé")</f>
        <v>Non trouvé</v>
      </c>
      <c r="I1378" t="str">
        <f>IFERROR(VLOOKUP(Logs_reseau[[#This Row],[Cell_ID]],'[1]Registre_Maintenance_combine '!A:E,5,FALSE),"Non trouvé")</f>
        <v>Non trouvé</v>
      </c>
      <c r="J1378" t="str">
        <f>IFERROR(VLOOKUP(Logs_reseau[[#This Row],[Cell_ID]],'[1]Registre_Maintenance_combine '!A:F,6,FALSE),"Non trouvé")</f>
        <v>Non trouvé</v>
      </c>
    </row>
    <row r="1379" spans="1:10" x14ac:dyDescent="0.25">
      <c r="A1379" t="str">
        <f>IFERROR(VLOOKUP(Logs_reseau[[#This Row],[Cell_ID]],'[1]Registre_Maintenance_combine '!A:B,2,FALSE),"Non trouvé")</f>
        <v>Non trouvé</v>
      </c>
      <c r="B1379" t="s">
        <v>529</v>
      </c>
      <c r="C1379" s="3">
        <v>45219.106249999997</v>
      </c>
      <c r="D1379" s="11">
        <f>Logs_reseau[[#This Row],[Duree_Panne_Min]]/1440</f>
        <v>6.0416666666666667E-2</v>
      </c>
      <c r="E1379">
        <v>87</v>
      </c>
      <c r="F1379" t="s">
        <v>2</v>
      </c>
      <c r="G1379" t="str">
        <f>IFERROR(VLOOKUP(Logs_reseau[[#This Row],[Cell_ID]],'[1]Registre_Maintenance_combine '!A:C,3,FALSE),"Non trouvé")</f>
        <v>Non trouvé</v>
      </c>
      <c r="H1379" t="str">
        <f>IFERROR(VLOOKUP(Logs_reseau[[#This Row],[Cell_ID]],'[1]Registre_Maintenance_combine '!A:D,4,FALSE),"Non trouvé")</f>
        <v>Non trouvé</v>
      </c>
      <c r="I1379" t="str">
        <f>IFERROR(VLOOKUP(Logs_reseau[[#This Row],[Cell_ID]],'[1]Registre_Maintenance_combine '!A:E,5,FALSE),"Non trouvé")</f>
        <v>Non trouvé</v>
      </c>
      <c r="J1379" t="str">
        <f>IFERROR(VLOOKUP(Logs_reseau[[#This Row],[Cell_ID]],'[1]Registre_Maintenance_combine '!A:F,6,FALSE),"Non trouvé")</f>
        <v>Non trouvé</v>
      </c>
    </row>
    <row r="1380" spans="1:10" x14ac:dyDescent="0.25">
      <c r="A1380" t="str">
        <f>IFERROR(VLOOKUP(Logs_reseau[[#This Row],[Cell_ID]],'[1]Registre_Maintenance_combine '!A:B,2,FALSE),"Non trouvé")</f>
        <v>Mai-Ndombe</v>
      </c>
      <c r="B1380" t="s">
        <v>530</v>
      </c>
      <c r="C1380" s="3">
        <v>45214.697916666664</v>
      </c>
      <c r="D1380" s="11">
        <f>Logs_reseau[[#This Row],[Duree_Panne_Min]]/1440</f>
        <v>6.805555555555555E-2</v>
      </c>
      <c r="E1380">
        <v>98</v>
      </c>
      <c r="F1380" t="s">
        <v>4</v>
      </c>
      <c r="G1380">
        <f>IFERROR(VLOOKUP(Logs_reseau[[#This Row],[Cell_ID]],'[1]Registre_Maintenance_combine '!A:C,3,FALSE),"Non trouvé")</f>
        <v>-12.192204</v>
      </c>
      <c r="H1380">
        <f>IFERROR(VLOOKUP(Logs_reseau[[#This Row],[Cell_ID]],'[1]Registre_Maintenance_combine '!A:D,4,FALSE),"Non trouvé")</f>
        <v>28.468682000000001</v>
      </c>
      <c r="I1380" t="str">
        <f>IFERROR(VLOOKUP(Logs_reseau[[#This Row],[Cell_ID]],'[1]Registre_Maintenance_combine '!A:E,5,FALSE),"Non trouvé")</f>
        <v>3G</v>
      </c>
      <c r="J1380" t="str">
        <f>IFERROR(VLOOKUP(Logs_reseau[[#This Row],[Cell_ID]],'[1]Registre_Maintenance_combine '!A:F,6,FALSE),"Non trouvé")</f>
        <v>ZTE</v>
      </c>
    </row>
    <row r="1381" spans="1:10" x14ac:dyDescent="0.25">
      <c r="A1381" t="str">
        <f>IFERROR(VLOOKUP(Logs_reseau[[#This Row],[Cell_ID]],'[1]Registre_Maintenance_combine '!A:B,2,FALSE),"Non trouvé")</f>
        <v>Non trouvé</v>
      </c>
      <c r="B1381" t="s">
        <v>291</v>
      </c>
      <c r="C1381" s="3">
        <v>45211.123611111114</v>
      </c>
      <c r="D1381" s="11">
        <f>Logs_reseau[[#This Row],[Duree_Panne_Min]]/1440</f>
        <v>6.0416666666666667E-2</v>
      </c>
      <c r="E1381">
        <v>87</v>
      </c>
      <c r="F1381" t="s">
        <v>1</v>
      </c>
      <c r="G1381" t="str">
        <f>IFERROR(VLOOKUP(Logs_reseau[[#This Row],[Cell_ID]],'[1]Registre_Maintenance_combine '!A:C,3,FALSE),"Non trouvé")</f>
        <v>Non trouvé</v>
      </c>
      <c r="H1381" t="str">
        <f>IFERROR(VLOOKUP(Logs_reseau[[#This Row],[Cell_ID]],'[1]Registre_Maintenance_combine '!A:D,4,FALSE),"Non trouvé")</f>
        <v>Non trouvé</v>
      </c>
      <c r="I1381" t="str">
        <f>IFERROR(VLOOKUP(Logs_reseau[[#This Row],[Cell_ID]],'[1]Registre_Maintenance_combine '!A:E,5,FALSE),"Non trouvé")</f>
        <v>Non trouvé</v>
      </c>
      <c r="J1381" t="str">
        <f>IFERROR(VLOOKUP(Logs_reseau[[#This Row],[Cell_ID]],'[1]Registre_Maintenance_combine '!A:F,6,FALSE),"Non trouvé")</f>
        <v>Non trouvé</v>
      </c>
    </row>
    <row r="1382" spans="1:10" x14ac:dyDescent="0.25">
      <c r="A1382" t="str">
        <f>IFERROR(VLOOKUP(Logs_reseau[[#This Row],[Cell_ID]],'[1]Registre_Maintenance_combine '!A:B,2,FALSE),"Non trouvé")</f>
        <v>Sud-Kivu</v>
      </c>
      <c r="B1382" t="s">
        <v>415</v>
      </c>
      <c r="C1382" s="3">
        <v>45218.127083333333</v>
      </c>
      <c r="D1382" s="11">
        <f>Logs_reseau[[#This Row],[Duree_Panne_Min]]/1440</f>
        <v>4.027777777777778E-2</v>
      </c>
      <c r="E1382">
        <v>58</v>
      </c>
      <c r="F1382" t="s">
        <v>2</v>
      </c>
      <c r="G1382">
        <f>IFERROR(VLOOKUP(Logs_reseau[[#This Row],[Cell_ID]],'[1]Registre_Maintenance_combine '!A:C,3,FALSE),"Non trouvé")</f>
        <v>1.2419519999999999</v>
      </c>
      <c r="H1382">
        <f>IFERROR(VLOOKUP(Logs_reseau[[#This Row],[Cell_ID]],'[1]Registre_Maintenance_combine '!A:D,4,FALSE),"Non trouvé")</f>
        <v>25.261382999999999</v>
      </c>
      <c r="I1382" t="str">
        <f>IFERROR(VLOOKUP(Logs_reseau[[#This Row],[Cell_ID]],'[1]Registre_Maintenance_combine '!A:E,5,FALSE),"Non trouvé")</f>
        <v>4G</v>
      </c>
      <c r="J1382" t="str">
        <f>IFERROR(VLOOKUP(Logs_reseau[[#This Row],[Cell_ID]],'[1]Registre_Maintenance_combine '!A:F,6,FALSE),"Non trouvé")</f>
        <v>Huawei</v>
      </c>
    </row>
    <row r="1383" spans="1:10" x14ac:dyDescent="0.25">
      <c r="A1383" t="str">
        <f>IFERROR(VLOOKUP(Logs_reseau[[#This Row],[Cell_ID]],'[1]Registre_Maintenance_combine '!A:B,2,FALSE),"Non trouvé")</f>
        <v>Non trouvé</v>
      </c>
      <c r="B1383" t="s">
        <v>531</v>
      </c>
      <c r="C1383" s="3">
        <v>45226.747916666667</v>
      </c>
      <c r="D1383" s="11">
        <f>Logs_reseau[[#This Row],[Duree_Panne_Min]]/1440</f>
        <v>3.6111111111111108E-2</v>
      </c>
      <c r="E1383">
        <v>52</v>
      </c>
      <c r="F1383" t="s">
        <v>2</v>
      </c>
      <c r="G1383" t="str">
        <f>IFERROR(VLOOKUP(Logs_reseau[[#This Row],[Cell_ID]],'[1]Registre_Maintenance_combine '!A:C,3,FALSE),"Non trouvé")</f>
        <v>Non trouvé</v>
      </c>
      <c r="H1383" t="str">
        <f>IFERROR(VLOOKUP(Logs_reseau[[#This Row],[Cell_ID]],'[1]Registre_Maintenance_combine '!A:D,4,FALSE),"Non trouvé")</f>
        <v>Non trouvé</v>
      </c>
      <c r="I1383" t="str">
        <f>IFERROR(VLOOKUP(Logs_reseau[[#This Row],[Cell_ID]],'[1]Registre_Maintenance_combine '!A:E,5,FALSE),"Non trouvé")</f>
        <v>Non trouvé</v>
      </c>
      <c r="J1383" t="str">
        <f>IFERROR(VLOOKUP(Logs_reseau[[#This Row],[Cell_ID]],'[1]Registre_Maintenance_combine '!A:F,6,FALSE),"Non trouvé")</f>
        <v>Non trouvé</v>
      </c>
    </row>
    <row r="1384" spans="1:10" x14ac:dyDescent="0.25">
      <c r="A1384" t="str">
        <f>IFERROR(VLOOKUP(Logs_reseau[[#This Row],[Cell_ID]],'[1]Registre_Maintenance_combine '!A:B,2,FALSE),"Non trouvé")</f>
        <v>Sud-Kivu</v>
      </c>
      <c r="B1384" t="s">
        <v>159</v>
      </c>
      <c r="C1384" s="3">
        <v>45216.275000000001</v>
      </c>
      <c r="D1384" s="11">
        <f>Logs_reseau[[#This Row],[Duree_Panne_Min]]/1440</f>
        <v>8.2638888888888887E-2</v>
      </c>
      <c r="E1384">
        <v>119</v>
      </c>
      <c r="F1384" t="s">
        <v>4</v>
      </c>
      <c r="G1384">
        <f>IFERROR(VLOOKUP(Logs_reseau[[#This Row],[Cell_ID]],'[1]Registre_Maintenance_combine '!A:C,3,FALSE),"Non trouvé")</f>
        <v>2.4414509999999998</v>
      </c>
      <c r="H1384">
        <f>IFERROR(VLOOKUP(Logs_reseau[[#This Row],[Cell_ID]],'[1]Registre_Maintenance_combine '!A:D,4,FALSE),"Non trouvé")</f>
        <v>30.167489</v>
      </c>
      <c r="I1384" t="str">
        <f>IFERROR(VLOOKUP(Logs_reseau[[#This Row],[Cell_ID]],'[1]Registre_Maintenance_combine '!A:E,5,FALSE),"Non trouvé")</f>
        <v>5G</v>
      </c>
      <c r="J1384" t="str">
        <f>IFERROR(VLOOKUP(Logs_reseau[[#This Row],[Cell_ID]],'[1]Registre_Maintenance_combine '!A:F,6,FALSE),"Non trouvé")</f>
        <v>Nokia</v>
      </c>
    </row>
    <row r="1385" spans="1:10" x14ac:dyDescent="0.25">
      <c r="A1385" t="str">
        <f>IFERROR(VLOOKUP(Logs_reseau[[#This Row],[Cell_ID]],'[1]Registre_Maintenance_combine '!A:B,2,FALSE),"Non trouvé")</f>
        <v>Kinshasa</v>
      </c>
      <c r="B1385" t="s">
        <v>307</v>
      </c>
      <c r="C1385" s="3">
        <v>45217.173611111109</v>
      </c>
      <c r="D1385" s="11">
        <f>Logs_reseau[[#This Row],[Duree_Panne_Min]]/1440</f>
        <v>3.6805555555555557E-2</v>
      </c>
      <c r="E1385">
        <v>53</v>
      </c>
      <c r="F1385" t="s">
        <v>2</v>
      </c>
      <c r="G1385">
        <f>IFERROR(VLOOKUP(Logs_reseau[[#This Row],[Cell_ID]],'[1]Registre_Maintenance_combine '!A:C,3,FALSE),"Non trouvé")</f>
        <v>-1.6097570000000001</v>
      </c>
      <c r="H1385">
        <f>IFERROR(VLOOKUP(Logs_reseau[[#This Row],[Cell_ID]],'[1]Registre_Maintenance_combine '!A:D,4,FALSE),"Non trouvé")</f>
        <v>30.661662</v>
      </c>
      <c r="I1385" t="str">
        <f>IFERROR(VLOOKUP(Logs_reseau[[#This Row],[Cell_ID]],'[1]Registre_Maintenance_combine '!A:E,5,FALSE),"Non trouvé")</f>
        <v>4G</v>
      </c>
      <c r="J1385" t="str">
        <f>IFERROR(VLOOKUP(Logs_reseau[[#This Row],[Cell_ID]],'[1]Registre_Maintenance_combine '!A:F,6,FALSE),"Non trouvé")</f>
        <v>Ericsson</v>
      </c>
    </row>
    <row r="1386" spans="1:10" x14ac:dyDescent="0.25">
      <c r="A1386" t="str">
        <f>IFERROR(VLOOKUP(Logs_reseau[[#This Row],[Cell_ID]],'[1]Registre_Maintenance_combine '!A:B,2,FALSE),"Non trouvé")</f>
        <v>Nord-Ubangi</v>
      </c>
      <c r="B1386" t="s">
        <v>193</v>
      </c>
      <c r="C1386" s="3">
        <v>45210.686111111114</v>
      </c>
      <c r="D1386" s="11">
        <f>Logs_reseau[[#This Row],[Duree_Panne_Min]]/1440</f>
        <v>4.3055555555555555E-2</v>
      </c>
      <c r="E1386">
        <v>62</v>
      </c>
      <c r="F1386" t="s">
        <v>2</v>
      </c>
      <c r="G1386">
        <f>IFERROR(VLOOKUP(Logs_reseau[[#This Row],[Cell_ID]],'[1]Registre_Maintenance_combine '!A:C,3,FALSE),"Non trouvé")</f>
        <v>8.5490999999999998E-2</v>
      </c>
      <c r="H1386">
        <f>IFERROR(VLOOKUP(Logs_reseau[[#This Row],[Cell_ID]],'[1]Registre_Maintenance_combine '!A:D,4,FALSE),"Non trouvé")</f>
        <v>26.296129000000001</v>
      </c>
      <c r="I1386" t="str">
        <f>IFERROR(VLOOKUP(Logs_reseau[[#This Row],[Cell_ID]],'[1]Registre_Maintenance_combine '!A:E,5,FALSE),"Non trouvé")</f>
        <v>3G</v>
      </c>
      <c r="J1386" t="str">
        <f>IFERROR(VLOOKUP(Logs_reseau[[#This Row],[Cell_ID]],'[1]Registre_Maintenance_combine '!A:F,6,FALSE),"Non trouvé")</f>
        <v>ZTE</v>
      </c>
    </row>
    <row r="1387" spans="1:10" x14ac:dyDescent="0.25">
      <c r="A1387" t="str">
        <f>IFERROR(VLOOKUP(Logs_reseau[[#This Row],[Cell_ID]],'[1]Registre_Maintenance_combine '!A:B,2,FALSE),"Non trouvé")</f>
        <v>Non trouvé</v>
      </c>
      <c r="B1387" t="s">
        <v>532</v>
      </c>
      <c r="C1387" s="3">
        <v>45203.884027777778</v>
      </c>
      <c r="D1387" s="11">
        <f>Logs_reseau[[#This Row],[Duree_Panne_Min]]/1440</f>
        <v>8.0555555555555561E-2</v>
      </c>
      <c r="E1387">
        <v>116</v>
      </c>
      <c r="F1387" t="s">
        <v>2</v>
      </c>
      <c r="G1387" t="str">
        <f>IFERROR(VLOOKUP(Logs_reseau[[#This Row],[Cell_ID]],'[1]Registre_Maintenance_combine '!A:C,3,FALSE),"Non trouvé")</f>
        <v>Non trouvé</v>
      </c>
      <c r="H1387" t="str">
        <f>IFERROR(VLOOKUP(Logs_reseau[[#This Row],[Cell_ID]],'[1]Registre_Maintenance_combine '!A:D,4,FALSE),"Non trouvé")</f>
        <v>Non trouvé</v>
      </c>
      <c r="I1387" t="str">
        <f>IFERROR(VLOOKUP(Logs_reseau[[#This Row],[Cell_ID]],'[1]Registre_Maintenance_combine '!A:E,5,FALSE),"Non trouvé")</f>
        <v>Non trouvé</v>
      </c>
      <c r="J1387" t="str">
        <f>IFERROR(VLOOKUP(Logs_reseau[[#This Row],[Cell_ID]],'[1]Registre_Maintenance_combine '!A:F,6,FALSE),"Non trouvé")</f>
        <v>Non trouvé</v>
      </c>
    </row>
    <row r="1388" spans="1:10" x14ac:dyDescent="0.25">
      <c r="A1388" t="str">
        <f>IFERROR(VLOOKUP(Logs_reseau[[#This Row],[Cell_ID]],'[1]Registre_Maintenance_combine '!A:B,2,FALSE),"Non trouvé")</f>
        <v>Non trouvé</v>
      </c>
      <c r="B1388" t="s">
        <v>203</v>
      </c>
      <c r="C1388" s="3">
        <v>45222.771527777775</v>
      </c>
      <c r="D1388" s="11">
        <f>Logs_reseau[[#This Row],[Duree_Panne_Min]]/1440</f>
        <v>3.6805555555555557E-2</v>
      </c>
      <c r="E1388">
        <v>53</v>
      </c>
      <c r="F1388" t="s">
        <v>4</v>
      </c>
      <c r="G1388" t="str">
        <f>IFERROR(VLOOKUP(Logs_reseau[[#This Row],[Cell_ID]],'[1]Registre_Maintenance_combine '!A:C,3,FALSE),"Non trouvé")</f>
        <v>Non trouvé</v>
      </c>
      <c r="H1388" t="str">
        <f>IFERROR(VLOOKUP(Logs_reseau[[#This Row],[Cell_ID]],'[1]Registre_Maintenance_combine '!A:D,4,FALSE),"Non trouvé")</f>
        <v>Non trouvé</v>
      </c>
      <c r="I1388" t="str">
        <f>IFERROR(VLOOKUP(Logs_reseau[[#This Row],[Cell_ID]],'[1]Registre_Maintenance_combine '!A:E,5,FALSE),"Non trouvé")</f>
        <v>Non trouvé</v>
      </c>
      <c r="J1388" t="str">
        <f>IFERROR(VLOOKUP(Logs_reseau[[#This Row],[Cell_ID]],'[1]Registre_Maintenance_combine '!A:F,6,FALSE),"Non trouvé")</f>
        <v>Non trouvé</v>
      </c>
    </row>
    <row r="1389" spans="1:10" x14ac:dyDescent="0.25">
      <c r="A1389" t="str">
        <f>IFERROR(VLOOKUP(Logs_reseau[[#This Row],[Cell_ID]],'[1]Registre_Maintenance_combine '!A:B,2,FALSE),"Non trouvé")</f>
        <v>Non trouvé</v>
      </c>
      <c r="B1389" t="s">
        <v>533</v>
      </c>
      <c r="C1389" s="3">
        <v>45202.686111111114</v>
      </c>
      <c r="D1389" s="11">
        <f>Logs_reseau[[#This Row],[Duree_Panne_Min]]/1440</f>
        <v>3.6805555555555557E-2</v>
      </c>
      <c r="E1389">
        <v>53</v>
      </c>
      <c r="F1389" t="s">
        <v>1</v>
      </c>
      <c r="G1389" t="str">
        <f>IFERROR(VLOOKUP(Logs_reseau[[#This Row],[Cell_ID]],'[1]Registre_Maintenance_combine '!A:C,3,FALSE),"Non trouvé")</f>
        <v>Non trouvé</v>
      </c>
      <c r="H1389" t="str">
        <f>IFERROR(VLOOKUP(Logs_reseau[[#This Row],[Cell_ID]],'[1]Registre_Maintenance_combine '!A:D,4,FALSE),"Non trouvé")</f>
        <v>Non trouvé</v>
      </c>
      <c r="I1389" t="str">
        <f>IFERROR(VLOOKUP(Logs_reseau[[#This Row],[Cell_ID]],'[1]Registre_Maintenance_combine '!A:E,5,FALSE),"Non trouvé")</f>
        <v>Non trouvé</v>
      </c>
      <c r="J1389" t="str">
        <f>IFERROR(VLOOKUP(Logs_reseau[[#This Row],[Cell_ID]],'[1]Registre_Maintenance_combine '!A:F,6,FALSE),"Non trouvé")</f>
        <v>Non trouvé</v>
      </c>
    </row>
    <row r="1390" spans="1:10" x14ac:dyDescent="0.25">
      <c r="A1390" t="str">
        <f>IFERROR(VLOOKUP(Logs_reseau[[#This Row],[Cell_ID]],'[1]Registre_Maintenance_combine '!A:B,2,FALSE),"Non trouvé")</f>
        <v>Non trouvé</v>
      </c>
      <c r="B1390" t="s">
        <v>534</v>
      </c>
      <c r="C1390" s="3">
        <v>45225.061805555553</v>
      </c>
      <c r="D1390" s="11">
        <f>Logs_reseau[[#This Row],[Duree_Panne_Min]]/1440</f>
        <v>1.0416666666666666E-2</v>
      </c>
      <c r="E1390">
        <v>15</v>
      </c>
      <c r="F1390" t="s">
        <v>4</v>
      </c>
      <c r="G1390" t="str">
        <f>IFERROR(VLOOKUP(Logs_reseau[[#This Row],[Cell_ID]],'[1]Registre_Maintenance_combine '!A:C,3,FALSE),"Non trouvé")</f>
        <v>Non trouvé</v>
      </c>
      <c r="H1390" t="str">
        <f>IFERROR(VLOOKUP(Logs_reseau[[#This Row],[Cell_ID]],'[1]Registre_Maintenance_combine '!A:D,4,FALSE),"Non trouvé")</f>
        <v>Non trouvé</v>
      </c>
      <c r="I1390" t="str">
        <f>IFERROR(VLOOKUP(Logs_reseau[[#This Row],[Cell_ID]],'[1]Registre_Maintenance_combine '!A:E,5,FALSE),"Non trouvé")</f>
        <v>Non trouvé</v>
      </c>
      <c r="J1390" t="str">
        <f>IFERROR(VLOOKUP(Logs_reseau[[#This Row],[Cell_ID]],'[1]Registre_Maintenance_combine '!A:F,6,FALSE),"Non trouvé")</f>
        <v>Non trouvé</v>
      </c>
    </row>
    <row r="1391" spans="1:10" x14ac:dyDescent="0.25">
      <c r="A1391" t="str">
        <f>IFERROR(VLOOKUP(Logs_reseau[[#This Row],[Cell_ID]],'[1]Registre_Maintenance_combine '!A:B,2,FALSE),"Non trouvé")</f>
        <v>Non trouvé</v>
      </c>
      <c r="B1391" t="s">
        <v>117</v>
      </c>
      <c r="C1391" s="3">
        <v>45204.68472222222</v>
      </c>
      <c r="D1391" s="11">
        <f>Logs_reseau[[#This Row],[Duree_Panne_Min]]/1440</f>
        <v>6.3888888888888884E-2</v>
      </c>
      <c r="E1391">
        <v>92</v>
      </c>
      <c r="F1391" t="s">
        <v>1</v>
      </c>
      <c r="G1391" t="str">
        <f>IFERROR(VLOOKUP(Logs_reseau[[#This Row],[Cell_ID]],'[1]Registre_Maintenance_combine '!A:C,3,FALSE),"Non trouvé")</f>
        <v>Non trouvé</v>
      </c>
      <c r="H1391" t="str">
        <f>IFERROR(VLOOKUP(Logs_reseau[[#This Row],[Cell_ID]],'[1]Registre_Maintenance_combine '!A:D,4,FALSE),"Non trouvé")</f>
        <v>Non trouvé</v>
      </c>
      <c r="I1391" t="str">
        <f>IFERROR(VLOOKUP(Logs_reseau[[#This Row],[Cell_ID]],'[1]Registre_Maintenance_combine '!A:E,5,FALSE),"Non trouvé")</f>
        <v>Non trouvé</v>
      </c>
      <c r="J1391" t="str">
        <f>IFERROR(VLOOKUP(Logs_reseau[[#This Row],[Cell_ID]],'[1]Registre_Maintenance_combine '!A:F,6,FALSE),"Non trouvé")</f>
        <v>Non trouvé</v>
      </c>
    </row>
    <row r="1392" spans="1:10" x14ac:dyDescent="0.25">
      <c r="A1392" t="str">
        <f>IFERROR(VLOOKUP(Logs_reseau[[#This Row],[Cell_ID]],'[1]Registre_Maintenance_combine '!A:B,2,FALSE),"Non trouvé")</f>
        <v>Non trouvé</v>
      </c>
      <c r="B1392" t="s">
        <v>34</v>
      </c>
      <c r="C1392" s="3">
        <v>45214.752083333333</v>
      </c>
      <c r="D1392" s="11">
        <f>Logs_reseau[[#This Row],[Duree_Panne_Min]]/1440</f>
        <v>6.1805555555555558E-2</v>
      </c>
      <c r="E1392">
        <v>89</v>
      </c>
      <c r="F1392" t="s">
        <v>2</v>
      </c>
      <c r="G1392" t="str">
        <f>IFERROR(VLOOKUP(Logs_reseau[[#This Row],[Cell_ID]],'[1]Registre_Maintenance_combine '!A:C,3,FALSE),"Non trouvé")</f>
        <v>Non trouvé</v>
      </c>
      <c r="H1392" t="str">
        <f>IFERROR(VLOOKUP(Logs_reseau[[#This Row],[Cell_ID]],'[1]Registre_Maintenance_combine '!A:D,4,FALSE),"Non trouvé")</f>
        <v>Non trouvé</v>
      </c>
      <c r="I1392" t="str">
        <f>IFERROR(VLOOKUP(Logs_reseau[[#This Row],[Cell_ID]],'[1]Registre_Maintenance_combine '!A:E,5,FALSE),"Non trouvé")</f>
        <v>Non trouvé</v>
      </c>
      <c r="J1392" t="str">
        <f>IFERROR(VLOOKUP(Logs_reseau[[#This Row],[Cell_ID]],'[1]Registre_Maintenance_combine '!A:F,6,FALSE),"Non trouvé")</f>
        <v>Non trouvé</v>
      </c>
    </row>
    <row r="1393" spans="1:10" x14ac:dyDescent="0.25">
      <c r="A1393" t="str">
        <f>IFERROR(VLOOKUP(Logs_reseau[[#This Row],[Cell_ID]],'[1]Registre_Maintenance_combine '!A:B,2,FALSE),"Non trouvé")</f>
        <v>Kwango</v>
      </c>
      <c r="B1393" t="s">
        <v>535</v>
      </c>
      <c r="C1393" s="3">
        <v>45225.406944444447</v>
      </c>
      <c r="D1393" s="11">
        <f>Logs_reseau[[#This Row],[Duree_Panne_Min]]/1440</f>
        <v>5.1388888888888887E-2</v>
      </c>
      <c r="E1393">
        <v>74</v>
      </c>
      <c r="F1393" t="s">
        <v>1</v>
      </c>
      <c r="G1393">
        <f>IFERROR(VLOOKUP(Logs_reseau[[#This Row],[Cell_ID]],'[1]Registre_Maintenance_combine '!A:C,3,FALSE),"Non trouvé")</f>
        <v>-4.6957509999999996</v>
      </c>
      <c r="H1393">
        <f>IFERROR(VLOOKUP(Logs_reseau[[#This Row],[Cell_ID]],'[1]Registre_Maintenance_combine '!A:D,4,FALSE),"Non trouvé")</f>
        <v>14.233525999999999</v>
      </c>
      <c r="I1393" t="str">
        <f>IFERROR(VLOOKUP(Logs_reseau[[#This Row],[Cell_ID]],'[1]Registre_Maintenance_combine '!A:E,5,FALSE),"Non trouvé")</f>
        <v>4G</v>
      </c>
      <c r="J1393" t="str">
        <f>IFERROR(VLOOKUP(Logs_reseau[[#This Row],[Cell_ID]],'[1]Registre_Maintenance_combine '!A:F,6,FALSE),"Non trouvé")</f>
        <v>Nokia</v>
      </c>
    </row>
    <row r="1394" spans="1:10" x14ac:dyDescent="0.25">
      <c r="A1394" t="str">
        <f>IFERROR(VLOOKUP(Logs_reseau[[#This Row],[Cell_ID]],'[1]Registre_Maintenance_combine '!A:B,2,FALSE),"Non trouvé")</f>
        <v>Kwilu</v>
      </c>
      <c r="B1394" t="s">
        <v>536</v>
      </c>
      <c r="C1394" s="3">
        <v>45200.511111111111</v>
      </c>
      <c r="D1394" s="11">
        <f>Logs_reseau[[#This Row],[Duree_Panne_Min]]/1440</f>
        <v>1.5277777777777777E-2</v>
      </c>
      <c r="E1394">
        <v>22</v>
      </c>
      <c r="F1394" t="s">
        <v>4</v>
      </c>
      <c r="G1394">
        <f>IFERROR(VLOOKUP(Logs_reseau[[#This Row],[Cell_ID]],'[1]Registre_Maintenance_combine '!A:C,3,FALSE),"Non trouvé")</f>
        <v>-10.939712999999999</v>
      </c>
      <c r="H1394">
        <f>IFERROR(VLOOKUP(Logs_reseau[[#This Row],[Cell_ID]],'[1]Registre_Maintenance_combine '!A:D,4,FALSE),"Non trouvé")</f>
        <v>18.276230999999999</v>
      </c>
      <c r="I1394" t="str">
        <f>IFERROR(VLOOKUP(Logs_reseau[[#This Row],[Cell_ID]],'[1]Registre_Maintenance_combine '!A:E,5,FALSE),"Non trouvé")</f>
        <v>4G</v>
      </c>
      <c r="J1394" t="str">
        <f>IFERROR(VLOOKUP(Logs_reseau[[#This Row],[Cell_ID]],'[1]Registre_Maintenance_combine '!A:F,6,FALSE),"Non trouvé")</f>
        <v>ZTE</v>
      </c>
    </row>
    <row r="1395" spans="1:10" x14ac:dyDescent="0.25">
      <c r="A1395" t="str">
        <f>IFERROR(VLOOKUP(Logs_reseau[[#This Row],[Cell_ID]],'[1]Registre_Maintenance_combine '!A:B,2,FALSE),"Non trouvé")</f>
        <v>Tshopo</v>
      </c>
      <c r="B1395" t="s">
        <v>9</v>
      </c>
      <c r="C1395" s="3">
        <v>45221.565972222219</v>
      </c>
      <c r="D1395" s="11">
        <f>Logs_reseau[[#This Row],[Duree_Panne_Min]]/1440</f>
        <v>6.0416666666666667E-2</v>
      </c>
      <c r="E1395">
        <v>87</v>
      </c>
      <c r="F1395" t="s">
        <v>2</v>
      </c>
      <c r="G1395">
        <f>IFERROR(VLOOKUP(Logs_reseau[[#This Row],[Cell_ID]],'[1]Registre_Maintenance_combine '!A:C,3,FALSE),"Non trouvé")</f>
        <v>4.7777349999999998</v>
      </c>
      <c r="H1395">
        <f>IFERROR(VLOOKUP(Logs_reseau[[#This Row],[Cell_ID]],'[1]Registre_Maintenance_combine '!A:D,4,FALSE),"Non trouvé")</f>
        <v>16.392204</v>
      </c>
      <c r="I1395" t="str">
        <f>IFERROR(VLOOKUP(Logs_reseau[[#This Row],[Cell_ID]],'[1]Registre_Maintenance_combine '!A:E,5,FALSE),"Non trouvé")</f>
        <v>5G</v>
      </c>
      <c r="J1395" t="str">
        <f>IFERROR(VLOOKUP(Logs_reseau[[#This Row],[Cell_ID]],'[1]Registre_Maintenance_combine '!A:F,6,FALSE),"Non trouvé")</f>
        <v>ZTE</v>
      </c>
    </row>
    <row r="1396" spans="1:10" x14ac:dyDescent="0.25">
      <c r="A1396" t="str">
        <f>IFERROR(VLOOKUP(Logs_reseau[[#This Row],[Cell_ID]],'[1]Registre_Maintenance_combine '!A:B,2,FALSE),"Non trouvé")</f>
        <v>Kinshasa</v>
      </c>
      <c r="B1396" t="s">
        <v>527</v>
      </c>
      <c r="C1396" s="3">
        <v>45215.056944444441</v>
      </c>
      <c r="D1396" s="11">
        <f>Logs_reseau[[#This Row],[Duree_Panne_Min]]/1440</f>
        <v>6.8750000000000006E-2</v>
      </c>
      <c r="E1396">
        <v>99</v>
      </c>
      <c r="F1396" t="s">
        <v>2</v>
      </c>
      <c r="G1396">
        <f>IFERROR(VLOOKUP(Logs_reseau[[#This Row],[Cell_ID]],'[1]Registre_Maintenance_combine '!A:C,3,FALSE),"Non trouvé")</f>
        <v>-2.6665070000000002</v>
      </c>
      <c r="H1396">
        <f>IFERROR(VLOOKUP(Logs_reseau[[#This Row],[Cell_ID]],'[1]Registre_Maintenance_combine '!A:D,4,FALSE),"Non trouvé")</f>
        <v>18.623692999999999</v>
      </c>
      <c r="I1396" t="str">
        <f>IFERROR(VLOOKUP(Logs_reseau[[#This Row],[Cell_ID]],'[1]Registre_Maintenance_combine '!A:E,5,FALSE),"Non trouvé")</f>
        <v>3G</v>
      </c>
      <c r="J1396" t="str">
        <f>IFERROR(VLOOKUP(Logs_reseau[[#This Row],[Cell_ID]],'[1]Registre_Maintenance_combine '!A:F,6,FALSE),"Non trouvé")</f>
        <v>ZTE</v>
      </c>
    </row>
    <row r="1397" spans="1:10" x14ac:dyDescent="0.25">
      <c r="A1397" t="str">
        <f>IFERROR(VLOOKUP(Logs_reseau[[#This Row],[Cell_ID]],'[1]Registre_Maintenance_combine '!A:B,2,FALSE),"Non trouvé")</f>
        <v>Tanganyika</v>
      </c>
      <c r="B1397" t="s">
        <v>253</v>
      </c>
      <c r="C1397" s="3">
        <v>45230.862500000003</v>
      </c>
      <c r="D1397" s="11">
        <f>Logs_reseau[[#This Row],[Duree_Panne_Min]]/1440</f>
        <v>4.6527777777777779E-2</v>
      </c>
      <c r="E1397">
        <v>67</v>
      </c>
      <c r="F1397" t="s">
        <v>1</v>
      </c>
      <c r="G1397">
        <f>IFERROR(VLOOKUP(Logs_reseau[[#This Row],[Cell_ID]],'[1]Registre_Maintenance_combine '!A:C,3,FALSE),"Non trouvé")</f>
        <v>-2.099631</v>
      </c>
      <c r="H1397">
        <f>IFERROR(VLOOKUP(Logs_reseau[[#This Row],[Cell_ID]],'[1]Registre_Maintenance_combine '!A:D,4,FALSE),"Non trouvé")</f>
        <v>13.974640000000001</v>
      </c>
      <c r="I1397" t="str">
        <f>IFERROR(VLOOKUP(Logs_reseau[[#This Row],[Cell_ID]],'[1]Registre_Maintenance_combine '!A:E,5,FALSE),"Non trouvé")</f>
        <v>3G</v>
      </c>
      <c r="J1397" t="str">
        <f>IFERROR(VLOOKUP(Logs_reseau[[#This Row],[Cell_ID]],'[1]Registre_Maintenance_combine '!A:F,6,FALSE),"Non trouvé")</f>
        <v>Nokia</v>
      </c>
    </row>
    <row r="1398" spans="1:10" x14ac:dyDescent="0.25">
      <c r="A1398" t="str">
        <f>IFERROR(VLOOKUP(Logs_reseau[[#This Row],[Cell_ID]],'[1]Registre_Maintenance_combine '!A:B,2,FALSE),"Non trouvé")</f>
        <v>Non trouvé</v>
      </c>
      <c r="B1398" t="s">
        <v>537</v>
      </c>
      <c r="C1398" s="3">
        <v>45212.680555555555</v>
      </c>
      <c r="D1398" s="11">
        <f>Logs_reseau[[#This Row],[Duree_Panne_Min]]/1440</f>
        <v>4.3749999999999997E-2</v>
      </c>
      <c r="E1398">
        <v>63</v>
      </c>
      <c r="F1398" t="s">
        <v>1</v>
      </c>
      <c r="G1398" t="str">
        <f>IFERROR(VLOOKUP(Logs_reseau[[#This Row],[Cell_ID]],'[1]Registre_Maintenance_combine '!A:C,3,FALSE),"Non trouvé")</f>
        <v>Non trouvé</v>
      </c>
      <c r="H1398" t="str">
        <f>IFERROR(VLOOKUP(Logs_reseau[[#This Row],[Cell_ID]],'[1]Registre_Maintenance_combine '!A:D,4,FALSE),"Non trouvé")</f>
        <v>Non trouvé</v>
      </c>
      <c r="I1398" t="str">
        <f>IFERROR(VLOOKUP(Logs_reseau[[#This Row],[Cell_ID]],'[1]Registre_Maintenance_combine '!A:E,5,FALSE),"Non trouvé")</f>
        <v>Non trouvé</v>
      </c>
      <c r="J1398" t="str">
        <f>IFERROR(VLOOKUP(Logs_reseau[[#This Row],[Cell_ID]],'[1]Registre_Maintenance_combine '!A:F,6,FALSE),"Non trouvé")</f>
        <v>Non trouvé</v>
      </c>
    </row>
    <row r="1399" spans="1:10" x14ac:dyDescent="0.25">
      <c r="A1399" t="str">
        <f>IFERROR(VLOOKUP(Logs_reseau[[#This Row],[Cell_ID]],'[1]Registre_Maintenance_combine '!A:B,2,FALSE),"Non trouvé")</f>
        <v>Non trouvé</v>
      </c>
      <c r="B1399" t="s">
        <v>15</v>
      </c>
      <c r="C1399" s="3">
        <v>45222.55972222222</v>
      </c>
      <c r="D1399" s="11">
        <f>Logs_reseau[[#This Row],[Duree_Panne_Min]]/1440</f>
        <v>1.8055555555555554E-2</v>
      </c>
      <c r="E1399">
        <v>26</v>
      </c>
      <c r="F1399" t="s">
        <v>4</v>
      </c>
      <c r="G1399" t="str">
        <f>IFERROR(VLOOKUP(Logs_reseau[[#This Row],[Cell_ID]],'[1]Registre_Maintenance_combine '!A:C,3,FALSE),"Non trouvé")</f>
        <v>Non trouvé</v>
      </c>
      <c r="H1399" t="str">
        <f>IFERROR(VLOOKUP(Logs_reseau[[#This Row],[Cell_ID]],'[1]Registre_Maintenance_combine '!A:D,4,FALSE),"Non trouvé")</f>
        <v>Non trouvé</v>
      </c>
      <c r="I1399" t="str">
        <f>IFERROR(VLOOKUP(Logs_reseau[[#This Row],[Cell_ID]],'[1]Registre_Maintenance_combine '!A:E,5,FALSE),"Non trouvé")</f>
        <v>Non trouvé</v>
      </c>
      <c r="J1399" t="str">
        <f>IFERROR(VLOOKUP(Logs_reseau[[#This Row],[Cell_ID]],'[1]Registre_Maintenance_combine '!A:F,6,FALSE),"Non trouvé")</f>
        <v>Non trouvé</v>
      </c>
    </row>
    <row r="1400" spans="1:10" x14ac:dyDescent="0.25">
      <c r="A1400" t="str">
        <f>IFERROR(VLOOKUP(Logs_reseau[[#This Row],[Cell_ID]],'[1]Registre_Maintenance_combine '!A:B,2,FALSE),"Non trouvé")</f>
        <v>Non trouvé</v>
      </c>
      <c r="B1400" t="s">
        <v>20</v>
      </c>
      <c r="C1400" s="3">
        <v>45204.39166666667</v>
      </c>
      <c r="D1400" s="11">
        <f>Logs_reseau[[#This Row],[Duree_Panne_Min]]/1440</f>
        <v>6.805555555555555E-2</v>
      </c>
      <c r="E1400">
        <v>98</v>
      </c>
      <c r="F1400" t="s">
        <v>4</v>
      </c>
      <c r="G1400" t="str">
        <f>IFERROR(VLOOKUP(Logs_reseau[[#This Row],[Cell_ID]],'[1]Registre_Maintenance_combine '!A:C,3,FALSE),"Non trouvé")</f>
        <v>Non trouvé</v>
      </c>
      <c r="H1400" t="str">
        <f>IFERROR(VLOOKUP(Logs_reseau[[#This Row],[Cell_ID]],'[1]Registre_Maintenance_combine '!A:D,4,FALSE),"Non trouvé")</f>
        <v>Non trouvé</v>
      </c>
      <c r="I1400" t="str">
        <f>IFERROR(VLOOKUP(Logs_reseau[[#This Row],[Cell_ID]],'[1]Registre_Maintenance_combine '!A:E,5,FALSE),"Non trouvé")</f>
        <v>Non trouvé</v>
      </c>
      <c r="J1400" t="str">
        <f>IFERROR(VLOOKUP(Logs_reseau[[#This Row],[Cell_ID]],'[1]Registre_Maintenance_combine '!A:F,6,FALSE),"Non trouvé")</f>
        <v>Non trouvé</v>
      </c>
    </row>
    <row r="1401" spans="1:10" x14ac:dyDescent="0.25">
      <c r="A1401" t="str">
        <f>IFERROR(VLOOKUP(Logs_reseau[[#This Row],[Cell_ID]],'[1]Registre_Maintenance_combine '!A:B,2,FALSE),"Non trouvé")</f>
        <v>Haut-Katanga</v>
      </c>
      <c r="B1401" t="s">
        <v>538</v>
      </c>
      <c r="C1401" s="3">
        <v>45205.729166666664</v>
      </c>
      <c r="D1401" s="11">
        <f>Logs_reseau[[#This Row],[Duree_Panne_Min]]/1440</f>
        <v>7.3611111111111113E-2</v>
      </c>
      <c r="E1401">
        <v>106</v>
      </c>
      <c r="F1401" t="s">
        <v>4</v>
      </c>
      <c r="G1401">
        <f>IFERROR(VLOOKUP(Logs_reseau[[#This Row],[Cell_ID]],'[1]Registre_Maintenance_combine '!A:C,3,FALSE),"Non trouvé")</f>
        <v>-4.4958720000000003</v>
      </c>
      <c r="H1401">
        <f>IFERROR(VLOOKUP(Logs_reseau[[#This Row],[Cell_ID]],'[1]Registre_Maintenance_combine '!A:D,4,FALSE),"Non trouvé")</f>
        <v>18.514112000000001</v>
      </c>
      <c r="I1401" t="str">
        <f>IFERROR(VLOOKUP(Logs_reseau[[#This Row],[Cell_ID]],'[1]Registre_Maintenance_combine '!A:E,5,FALSE),"Non trouvé")</f>
        <v>4G</v>
      </c>
      <c r="J1401" t="str">
        <f>IFERROR(VLOOKUP(Logs_reseau[[#This Row],[Cell_ID]],'[1]Registre_Maintenance_combine '!A:F,6,FALSE),"Non trouvé")</f>
        <v>Nokia</v>
      </c>
    </row>
    <row r="1402" spans="1:10" x14ac:dyDescent="0.25">
      <c r="A1402" t="str">
        <f>IFERROR(VLOOKUP(Logs_reseau[[#This Row],[Cell_ID]],'[1]Registre_Maintenance_combine '!A:B,2,FALSE),"Non trouvé")</f>
        <v>Non trouvé</v>
      </c>
      <c r="B1402" t="s">
        <v>202</v>
      </c>
      <c r="C1402" s="3">
        <v>45207.304861111108</v>
      </c>
      <c r="D1402" s="11">
        <f>Logs_reseau[[#This Row],[Duree_Panne_Min]]/1440</f>
        <v>3.4722222222222224E-2</v>
      </c>
      <c r="E1402">
        <v>50</v>
      </c>
      <c r="F1402" t="s">
        <v>2</v>
      </c>
      <c r="G1402" t="str">
        <f>IFERROR(VLOOKUP(Logs_reseau[[#This Row],[Cell_ID]],'[1]Registre_Maintenance_combine '!A:C,3,FALSE),"Non trouvé")</f>
        <v>Non trouvé</v>
      </c>
      <c r="H1402" t="str">
        <f>IFERROR(VLOOKUP(Logs_reseau[[#This Row],[Cell_ID]],'[1]Registre_Maintenance_combine '!A:D,4,FALSE),"Non trouvé")</f>
        <v>Non trouvé</v>
      </c>
      <c r="I1402" t="str">
        <f>IFERROR(VLOOKUP(Logs_reseau[[#This Row],[Cell_ID]],'[1]Registre_Maintenance_combine '!A:E,5,FALSE),"Non trouvé")</f>
        <v>Non trouvé</v>
      </c>
      <c r="J1402" t="str">
        <f>IFERROR(VLOOKUP(Logs_reseau[[#This Row],[Cell_ID]],'[1]Registre_Maintenance_combine '!A:F,6,FALSE),"Non trouvé")</f>
        <v>Non trouvé</v>
      </c>
    </row>
    <row r="1403" spans="1:10" x14ac:dyDescent="0.25">
      <c r="A1403" t="str">
        <f>IFERROR(VLOOKUP(Logs_reseau[[#This Row],[Cell_ID]],'[1]Registre_Maintenance_combine '!A:B,2,FALSE),"Non trouvé")</f>
        <v>Nord-Kivu</v>
      </c>
      <c r="B1403" t="s">
        <v>299</v>
      </c>
      <c r="C1403" s="3">
        <v>45227.92291666667</v>
      </c>
      <c r="D1403" s="11">
        <f>Logs_reseau[[#This Row],[Duree_Panne_Min]]/1440</f>
        <v>1.8055555555555554E-2</v>
      </c>
      <c r="E1403">
        <v>26</v>
      </c>
      <c r="F1403" t="s">
        <v>4</v>
      </c>
      <c r="G1403">
        <f>IFERROR(VLOOKUP(Logs_reseau[[#This Row],[Cell_ID]],'[1]Registre_Maintenance_combine '!A:C,3,FALSE),"Non trouvé")</f>
        <v>-10.25074</v>
      </c>
      <c r="H1403">
        <f>IFERROR(VLOOKUP(Logs_reseau[[#This Row],[Cell_ID]],'[1]Registre_Maintenance_combine '!A:D,4,FALSE),"Non trouvé")</f>
        <v>26.099086</v>
      </c>
      <c r="I1403" t="str">
        <f>IFERROR(VLOOKUP(Logs_reseau[[#This Row],[Cell_ID]],'[1]Registre_Maintenance_combine '!A:E,5,FALSE),"Non trouvé")</f>
        <v>4G</v>
      </c>
      <c r="J1403" t="str">
        <f>IFERROR(VLOOKUP(Logs_reseau[[#This Row],[Cell_ID]],'[1]Registre_Maintenance_combine '!A:F,6,FALSE),"Non trouvé")</f>
        <v>Huawei</v>
      </c>
    </row>
    <row r="1404" spans="1:10" x14ac:dyDescent="0.25">
      <c r="A1404" t="str">
        <f>IFERROR(VLOOKUP(Logs_reseau[[#This Row],[Cell_ID]],'[1]Registre_Maintenance_combine '!A:B,2,FALSE),"Non trouvé")</f>
        <v>Mai-Ndombe</v>
      </c>
      <c r="B1404" t="s">
        <v>539</v>
      </c>
      <c r="C1404" s="3">
        <v>45225.623611111114</v>
      </c>
      <c r="D1404" s="11">
        <f>Logs_reseau[[#This Row],[Duree_Panne_Min]]/1440</f>
        <v>1.5277777777777777E-2</v>
      </c>
      <c r="E1404">
        <v>22</v>
      </c>
      <c r="F1404" t="s">
        <v>1</v>
      </c>
      <c r="G1404">
        <f>IFERROR(VLOOKUP(Logs_reseau[[#This Row],[Cell_ID]],'[1]Registre_Maintenance_combine '!A:C,3,FALSE),"Non trouvé")</f>
        <v>-0.47411900000000001</v>
      </c>
      <c r="H1404">
        <f>IFERROR(VLOOKUP(Logs_reseau[[#This Row],[Cell_ID]],'[1]Registre_Maintenance_combine '!A:D,4,FALSE),"Non trouvé")</f>
        <v>27.184329000000002</v>
      </c>
      <c r="I1404" t="str">
        <f>IFERROR(VLOOKUP(Logs_reseau[[#This Row],[Cell_ID]],'[1]Registre_Maintenance_combine '!A:E,5,FALSE),"Non trouvé")</f>
        <v>5G</v>
      </c>
      <c r="J1404" t="str">
        <f>IFERROR(VLOOKUP(Logs_reseau[[#This Row],[Cell_ID]],'[1]Registre_Maintenance_combine '!A:F,6,FALSE),"Non trouvé")</f>
        <v>ZTE</v>
      </c>
    </row>
    <row r="1405" spans="1:10" x14ac:dyDescent="0.25">
      <c r="A1405" t="str">
        <f>IFERROR(VLOOKUP(Logs_reseau[[#This Row],[Cell_ID]],'[1]Registre_Maintenance_combine '!A:B,2,FALSE),"Non trouvé")</f>
        <v>Kasai-Oriental</v>
      </c>
      <c r="B1405" t="s">
        <v>540</v>
      </c>
      <c r="C1405" s="3">
        <v>45201.726388888892</v>
      </c>
      <c r="D1405" s="11">
        <f>Logs_reseau[[#This Row],[Duree_Panne_Min]]/1440</f>
        <v>6.7361111111111108E-2</v>
      </c>
      <c r="E1405">
        <v>97</v>
      </c>
      <c r="F1405" t="s">
        <v>2</v>
      </c>
      <c r="G1405">
        <f>IFERROR(VLOOKUP(Logs_reseau[[#This Row],[Cell_ID]],'[1]Registre_Maintenance_combine '!A:C,3,FALSE),"Non trouvé")</f>
        <v>-4.3639070000000002</v>
      </c>
      <c r="H1405">
        <f>IFERROR(VLOOKUP(Logs_reseau[[#This Row],[Cell_ID]],'[1]Registre_Maintenance_combine '!A:D,4,FALSE),"Non trouvé")</f>
        <v>16.283307000000001</v>
      </c>
      <c r="I1405" t="str">
        <f>IFERROR(VLOOKUP(Logs_reseau[[#This Row],[Cell_ID]],'[1]Registre_Maintenance_combine '!A:E,5,FALSE),"Non trouvé")</f>
        <v>5G</v>
      </c>
      <c r="J1405" t="str">
        <f>IFERROR(VLOOKUP(Logs_reseau[[#This Row],[Cell_ID]],'[1]Registre_Maintenance_combine '!A:F,6,FALSE),"Non trouvé")</f>
        <v>Huawei</v>
      </c>
    </row>
    <row r="1406" spans="1:10" x14ac:dyDescent="0.25">
      <c r="A1406" t="str">
        <f>IFERROR(VLOOKUP(Logs_reseau[[#This Row],[Cell_ID]],'[1]Registre_Maintenance_combine '!A:B,2,FALSE),"Non trouvé")</f>
        <v>Non trouvé</v>
      </c>
      <c r="B1406" t="s">
        <v>20</v>
      </c>
      <c r="C1406" s="3">
        <v>45230.565972222219</v>
      </c>
      <c r="D1406" s="11">
        <f>Logs_reseau[[#This Row],[Duree_Panne_Min]]/1440</f>
        <v>5.1388888888888887E-2</v>
      </c>
      <c r="E1406">
        <v>74</v>
      </c>
      <c r="F1406" t="s">
        <v>1</v>
      </c>
      <c r="G1406" t="str">
        <f>IFERROR(VLOOKUP(Logs_reseau[[#This Row],[Cell_ID]],'[1]Registre_Maintenance_combine '!A:C,3,FALSE),"Non trouvé")</f>
        <v>Non trouvé</v>
      </c>
      <c r="H1406" t="str">
        <f>IFERROR(VLOOKUP(Logs_reseau[[#This Row],[Cell_ID]],'[1]Registre_Maintenance_combine '!A:D,4,FALSE),"Non trouvé")</f>
        <v>Non trouvé</v>
      </c>
      <c r="I1406" t="str">
        <f>IFERROR(VLOOKUP(Logs_reseau[[#This Row],[Cell_ID]],'[1]Registre_Maintenance_combine '!A:E,5,FALSE),"Non trouvé")</f>
        <v>Non trouvé</v>
      </c>
      <c r="J1406" t="str">
        <f>IFERROR(VLOOKUP(Logs_reseau[[#This Row],[Cell_ID]],'[1]Registre_Maintenance_combine '!A:F,6,FALSE),"Non trouvé")</f>
        <v>Non trouvé</v>
      </c>
    </row>
    <row r="1407" spans="1:10" x14ac:dyDescent="0.25">
      <c r="A1407" t="str">
        <f>IFERROR(VLOOKUP(Logs_reseau[[#This Row],[Cell_ID]],'[1]Registre_Maintenance_combine '!A:B,2,FALSE),"Non trouvé")</f>
        <v>Lualaba</v>
      </c>
      <c r="B1407" t="s">
        <v>440</v>
      </c>
      <c r="C1407" s="3">
        <v>45216.183333333334</v>
      </c>
      <c r="D1407" s="11">
        <f>Logs_reseau[[#This Row],[Duree_Panne_Min]]/1440</f>
        <v>4.6527777777777779E-2</v>
      </c>
      <c r="E1407">
        <v>67</v>
      </c>
      <c r="F1407" t="s">
        <v>2</v>
      </c>
      <c r="G1407">
        <f>IFERROR(VLOOKUP(Logs_reseau[[#This Row],[Cell_ID]],'[1]Registre_Maintenance_combine '!A:C,3,FALSE),"Non trouvé")</f>
        <v>-10.967288</v>
      </c>
      <c r="H1407">
        <f>IFERROR(VLOOKUP(Logs_reseau[[#This Row],[Cell_ID]],'[1]Registre_Maintenance_combine '!A:D,4,FALSE),"Non trouvé")</f>
        <v>17.617781000000001</v>
      </c>
      <c r="I1407" t="str">
        <f>IFERROR(VLOOKUP(Logs_reseau[[#This Row],[Cell_ID]],'[1]Registre_Maintenance_combine '!A:E,5,FALSE),"Non trouvé")</f>
        <v>4G</v>
      </c>
      <c r="J1407" t="str">
        <f>IFERROR(VLOOKUP(Logs_reseau[[#This Row],[Cell_ID]],'[1]Registre_Maintenance_combine '!A:F,6,FALSE),"Non trouvé")</f>
        <v>Ericsson</v>
      </c>
    </row>
    <row r="1408" spans="1:10" x14ac:dyDescent="0.25">
      <c r="A1408" t="str">
        <f>IFERROR(VLOOKUP(Logs_reseau[[#This Row],[Cell_ID]],'[1]Registre_Maintenance_combine '!A:B,2,FALSE),"Non trouvé")</f>
        <v>Bas-Uele</v>
      </c>
      <c r="B1408" t="s">
        <v>541</v>
      </c>
      <c r="C1408" s="3">
        <v>45207.342361111114</v>
      </c>
      <c r="D1408" s="11">
        <f>Logs_reseau[[#This Row],[Duree_Panne_Min]]/1440</f>
        <v>1.9444444444444445E-2</v>
      </c>
      <c r="E1408">
        <v>28</v>
      </c>
      <c r="F1408" t="s">
        <v>1</v>
      </c>
      <c r="G1408">
        <f>IFERROR(VLOOKUP(Logs_reseau[[#This Row],[Cell_ID]],'[1]Registre_Maintenance_combine '!A:C,3,FALSE),"Non trouvé")</f>
        <v>0.40267799999999998</v>
      </c>
      <c r="H1408">
        <f>IFERROR(VLOOKUP(Logs_reseau[[#This Row],[Cell_ID]],'[1]Registre_Maintenance_combine '!A:D,4,FALSE),"Non trouvé")</f>
        <v>16.000858000000001</v>
      </c>
      <c r="I1408" t="str">
        <f>IFERROR(VLOOKUP(Logs_reseau[[#This Row],[Cell_ID]],'[1]Registre_Maintenance_combine '!A:E,5,FALSE),"Non trouvé")</f>
        <v>3G</v>
      </c>
      <c r="J1408" t="str">
        <f>IFERROR(VLOOKUP(Logs_reseau[[#This Row],[Cell_ID]],'[1]Registre_Maintenance_combine '!A:F,6,FALSE),"Non trouvé")</f>
        <v>Nokia</v>
      </c>
    </row>
    <row r="1409" spans="1:10" x14ac:dyDescent="0.25">
      <c r="A1409" t="str">
        <f>IFERROR(VLOOKUP(Logs_reseau[[#This Row],[Cell_ID]],'[1]Registre_Maintenance_combine '!A:B,2,FALSE),"Non trouvé")</f>
        <v>Mongala</v>
      </c>
      <c r="B1409" t="s">
        <v>542</v>
      </c>
      <c r="C1409" s="3">
        <v>45210.836805555555</v>
      </c>
      <c r="D1409" s="11">
        <f>Logs_reseau[[#This Row],[Duree_Panne_Min]]/1440</f>
        <v>8.1944444444444445E-2</v>
      </c>
      <c r="E1409">
        <v>118</v>
      </c>
      <c r="F1409" t="s">
        <v>1</v>
      </c>
      <c r="G1409">
        <f>IFERROR(VLOOKUP(Logs_reseau[[#This Row],[Cell_ID]],'[1]Registre_Maintenance_combine '!A:C,3,FALSE),"Non trouvé")</f>
        <v>-11.407966</v>
      </c>
      <c r="H1409">
        <f>IFERROR(VLOOKUP(Logs_reseau[[#This Row],[Cell_ID]],'[1]Registre_Maintenance_combine '!A:D,4,FALSE),"Non trouvé")</f>
        <v>28.378274000000001</v>
      </c>
      <c r="I1409" t="str">
        <f>IFERROR(VLOOKUP(Logs_reseau[[#This Row],[Cell_ID]],'[1]Registre_Maintenance_combine '!A:E,5,FALSE),"Non trouvé")</f>
        <v>4G</v>
      </c>
      <c r="J1409" t="str">
        <f>IFERROR(VLOOKUP(Logs_reseau[[#This Row],[Cell_ID]],'[1]Registre_Maintenance_combine '!A:F,6,FALSE),"Non trouvé")</f>
        <v>ZTE</v>
      </c>
    </row>
    <row r="1410" spans="1:10" x14ac:dyDescent="0.25">
      <c r="A1410" t="str">
        <f>IFERROR(VLOOKUP(Logs_reseau[[#This Row],[Cell_ID]],'[1]Registre_Maintenance_combine '!A:B,2,FALSE),"Non trouvé")</f>
        <v>Haut-Uele</v>
      </c>
      <c r="B1410" t="s">
        <v>543</v>
      </c>
      <c r="C1410" s="3">
        <v>45229.620833333334</v>
      </c>
      <c r="D1410" s="11">
        <f>Logs_reseau[[#This Row],[Duree_Panne_Min]]/1440</f>
        <v>5.1388888888888887E-2</v>
      </c>
      <c r="E1410">
        <v>74</v>
      </c>
      <c r="F1410" t="s">
        <v>4</v>
      </c>
      <c r="G1410">
        <f>IFERROR(VLOOKUP(Logs_reseau[[#This Row],[Cell_ID]],'[1]Registre_Maintenance_combine '!A:C,3,FALSE),"Non trouvé")</f>
        <v>-12.488033</v>
      </c>
      <c r="H1410">
        <f>IFERROR(VLOOKUP(Logs_reseau[[#This Row],[Cell_ID]],'[1]Registre_Maintenance_combine '!A:D,4,FALSE),"Non trouvé")</f>
        <v>16.139648000000001</v>
      </c>
      <c r="I1410" t="str">
        <f>IFERROR(VLOOKUP(Logs_reseau[[#This Row],[Cell_ID]],'[1]Registre_Maintenance_combine '!A:E,5,FALSE),"Non trouvé")</f>
        <v>4G</v>
      </c>
      <c r="J1410" t="str">
        <f>IFERROR(VLOOKUP(Logs_reseau[[#This Row],[Cell_ID]],'[1]Registre_Maintenance_combine '!A:F,6,FALSE),"Non trouvé")</f>
        <v>Huawei</v>
      </c>
    </row>
    <row r="1411" spans="1:10" x14ac:dyDescent="0.25">
      <c r="A1411" t="str">
        <f>IFERROR(VLOOKUP(Logs_reseau[[#This Row],[Cell_ID]],'[1]Registre_Maintenance_combine '!A:B,2,FALSE),"Non trouvé")</f>
        <v>Sud-Kivu</v>
      </c>
      <c r="B1411" t="s">
        <v>266</v>
      </c>
      <c r="C1411" s="3">
        <v>45211.106944444444</v>
      </c>
      <c r="D1411" s="11">
        <f>Logs_reseau[[#This Row],[Duree_Panne_Min]]/1440</f>
        <v>6.0416666666666667E-2</v>
      </c>
      <c r="E1411">
        <v>87</v>
      </c>
      <c r="F1411" t="s">
        <v>4</v>
      </c>
      <c r="G1411">
        <f>IFERROR(VLOOKUP(Logs_reseau[[#This Row],[Cell_ID]],'[1]Registre_Maintenance_combine '!A:C,3,FALSE),"Non trouvé")</f>
        <v>-5.2526849999999996</v>
      </c>
      <c r="H1411">
        <f>IFERROR(VLOOKUP(Logs_reseau[[#This Row],[Cell_ID]],'[1]Registre_Maintenance_combine '!A:D,4,FALSE),"Non trouvé")</f>
        <v>12.374528</v>
      </c>
      <c r="I1411" t="str">
        <f>IFERROR(VLOOKUP(Logs_reseau[[#This Row],[Cell_ID]],'[1]Registre_Maintenance_combine '!A:E,5,FALSE),"Non trouvé")</f>
        <v>3G</v>
      </c>
      <c r="J1411" t="str">
        <f>IFERROR(VLOOKUP(Logs_reseau[[#This Row],[Cell_ID]],'[1]Registre_Maintenance_combine '!A:F,6,FALSE),"Non trouvé")</f>
        <v>Nokia</v>
      </c>
    </row>
    <row r="1412" spans="1:10" x14ac:dyDescent="0.25">
      <c r="A1412" t="str">
        <f>IFERROR(VLOOKUP(Logs_reseau[[#This Row],[Cell_ID]],'[1]Registre_Maintenance_combine '!A:B,2,FALSE),"Non trouvé")</f>
        <v>Nord-Kivu</v>
      </c>
      <c r="B1412" t="s">
        <v>396</v>
      </c>
      <c r="C1412" s="3">
        <v>45223.252083333333</v>
      </c>
      <c r="D1412" s="11">
        <f>Logs_reseau[[#This Row],[Duree_Panne_Min]]/1440</f>
        <v>8.3333333333333332E-3</v>
      </c>
      <c r="E1412">
        <v>12</v>
      </c>
      <c r="F1412" t="s">
        <v>2</v>
      </c>
      <c r="G1412">
        <f>IFERROR(VLOOKUP(Logs_reseau[[#This Row],[Cell_ID]],'[1]Registre_Maintenance_combine '!A:C,3,FALSE),"Non trouvé")</f>
        <v>-10.846306999999999</v>
      </c>
      <c r="H1412">
        <f>IFERROR(VLOOKUP(Logs_reseau[[#This Row],[Cell_ID]],'[1]Registre_Maintenance_combine '!A:D,4,FALSE),"Non trouvé")</f>
        <v>19.201827999999999</v>
      </c>
      <c r="I1412" t="str">
        <f>IFERROR(VLOOKUP(Logs_reseau[[#This Row],[Cell_ID]],'[1]Registre_Maintenance_combine '!A:E,5,FALSE),"Non trouvé")</f>
        <v>4G</v>
      </c>
      <c r="J1412" t="str">
        <f>IFERROR(VLOOKUP(Logs_reseau[[#This Row],[Cell_ID]],'[1]Registre_Maintenance_combine '!A:F,6,FALSE),"Non trouvé")</f>
        <v>Ericsson</v>
      </c>
    </row>
    <row r="1413" spans="1:10" x14ac:dyDescent="0.25">
      <c r="A1413" t="str">
        <f>IFERROR(VLOOKUP(Logs_reseau[[#This Row],[Cell_ID]],'[1]Registre_Maintenance_combine '!A:B,2,FALSE),"Non trouvé")</f>
        <v>Non trouvé</v>
      </c>
      <c r="B1413" t="s">
        <v>544</v>
      </c>
      <c r="C1413" s="3">
        <v>45208.529861111114</v>
      </c>
      <c r="D1413" s="11">
        <f>Logs_reseau[[#This Row],[Duree_Panne_Min]]/1440</f>
        <v>0.05</v>
      </c>
      <c r="E1413">
        <v>72</v>
      </c>
      <c r="F1413" t="s">
        <v>4</v>
      </c>
      <c r="G1413" t="str">
        <f>IFERROR(VLOOKUP(Logs_reseau[[#This Row],[Cell_ID]],'[1]Registre_Maintenance_combine '!A:C,3,FALSE),"Non trouvé")</f>
        <v>Non trouvé</v>
      </c>
      <c r="H1413" t="str">
        <f>IFERROR(VLOOKUP(Logs_reseau[[#This Row],[Cell_ID]],'[1]Registre_Maintenance_combine '!A:D,4,FALSE),"Non trouvé")</f>
        <v>Non trouvé</v>
      </c>
      <c r="I1413" t="str">
        <f>IFERROR(VLOOKUP(Logs_reseau[[#This Row],[Cell_ID]],'[1]Registre_Maintenance_combine '!A:E,5,FALSE),"Non trouvé")</f>
        <v>Non trouvé</v>
      </c>
      <c r="J1413" t="str">
        <f>IFERROR(VLOOKUP(Logs_reseau[[#This Row],[Cell_ID]],'[1]Registre_Maintenance_combine '!A:F,6,FALSE),"Non trouvé")</f>
        <v>Non trouvé</v>
      </c>
    </row>
    <row r="1414" spans="1:10" x14ac:dyDescent="0.25">
      <c r="A1414" t="str">
        <f>IFERROR(VLOOKUP(Logs_reseau[[#This Row],[Cell_ID]],'[1]Registre_Maintenance_combine '!A:B,2,FALSE),"Non trouvé")</f>
        <v>Non trouvé</v>
      </c>
      <c r="B1414" t="s">
        <v>379</v>
      </c>
      <c r="C1414" s="3">
        <v>45219.793055555558</v>
      </c>
      <c r="D1414" s="11">
        <f>Logs_reseau[[#This Row],[Duree_Panne_Min]]/1440</f>
        <v>6.2500000000000003E-3</v>
      </c>
      <c r="E1414">
        <v>9</v>
      </c>
      <c r="F1414" t="s">
        <v>2</v>
      </c>
      <c r="G1414" t="str">
        <f>IFERROR(VLOOKUP(Logs_reseau[[#This Row],[Cell_ID]],'[1]Registre_Maintenance_combine '!A:C,3,FALSE),"Non trouvé")</f>
        <v>Non trouvé</v>
      </c>
      <c r="H1414" t="str">
        <f>IFERROR(VLOOKUP(Logs_reseau[[#This Row],[Cell_ID]],'[1]Registre_Maintenance_combine '!A:D,4,FALSE),"Non trouvé")</f>
        <v>Non trouvé</v>
      </c>
      <c r="I1414" t="str">
        <f>IFERROR(VLOOKUP(Logs_reseau[[#This Row],[Cell_ID]],'[1]Registre_Maintenance_combine '!A:E,5,FALSE),"Non trouvé")</f>
        <v>Non trouvé</v>
      </c>
      <c r="J1414" t="str">
        <f>IFERROR(VLOOKUP(Logs_reseau[[#This Row],[Cell_ID]],'[1]Registre_Maintenance_combine '!A:F,6,FALSE),"Non trouvé")</f>
        <v>Non trouvé</v>
      </c>
    </row>
    <row r="1415" spans="1:10" x14ac:dyDescent="0.25">
      <c r="A1415" t="str">
        <f>IFERROR(VLOOKUP(Logs_reseau[[#This Row],[Cell_ID]],'[1]Registre_Maintenance_combine '!A:B,2,FALSE),"Non trouvé")</f>
        <v>Kwilu</v>
      </c>
      <c r="B1415" t="s">
        <v>183</v>
      </c>
      <c r="C1415" s="3">
        <v>45227.091666666667</v>
      </c>
      <c r="D1415" s="11">
        <f>Logs_reseau[[#This Row],[Duree_Panne_Min]]/1440</f>
        <v>7.7777777777777779E-2</v>
      </c>
      <c r="E1415">
        <v>112</v>
      </c>
      <c r="F1415" t="s">
        <v>1</v>
      </c>
      <c r="G1415">
        <f>IFERROR(VLOOKUP(Logs_reseau[[#This Row],[Cell_ID]],'[1]Registre_Maintenance_combine '!A:C,3,FALSE),"Non trouvé")</f>
        <v>-10.161428000000001</v>
      </c>
      <c r="H1415">
        <f>IFERROR(VLOOKUP(Logs_reseau[[#This Row],[Cell_ID]],'[1]Registre_Maintenance_combine '!A:D,4,FALSE),"Non trouvé")</f>
        <v>19.362325999999999</v>
      </c>
      <c r="I1415" t="str">
        <f>IFERROR(VLOOKUP(Logs_reseau[[#This Row],[Cell_ID]],'[1]Registre_Maintenance_combine '!A:E,5,FALSE),"Non trouvé")</f>
        <v>3G</v>
      </c>
      <c r="J1415" t="str">
        <f>IFERROR(VLOOKUP(Logs_reseau[[#This Row],[Cell_ID]],'[1]Registre_Maintenance_combine '!A:F,6,FALSE),"Non trouvé")</f>
        <v>Nokia</v>
      </c>
    </row>
    <row r="1416" spans="1:10" x14ac:dyDescent="0.25">
      <c r="A1416" t="str">
        <f>IFERROR(VLOOKUP(Logs_reseau[[#This Row],[Cell_ID]],'[1]Registre_Maintenance_combine '!A:B,2,FALSE),"Non trouvé")</f>
        <v>Tanganyika</v>
      </c>
      <c r="B1416" t="s">
        <v>111</v>
      </c>
      <c r="C1416" s="3">
        <v>45225.781944444447</v>
      </c>
      <c r="D1416" s="11">
        <f>Logs_reseau[[#This Row],[Duree_Panne_Min]]/1440</f>
        <v>7.8472222222222221E-2</v>
      </c>
      <c r="E1416">
        <v>113</v>
      </c>
      <c r="F1416" t="s">
        <v>2</v>
      </c>
      <c r="G1416">
        <f>IFERROR(VLOOKUP(Logs_reseau[[#This Row],[Cell_ID]],'[1]Registre_Maintenance_combine '!A:C,3,FALSE),"Non trouvé")</f>
        <v>-7.9425049999999997</v>
      </c>
      <c r="H1416">
        <f>IFERROR(VLOOKUP(Logs_reseau[[#This Row],[Cell_ID]],'[1]Registre_Maintenance_combine '!A:D,4,FALSE),"Non trouvé")</f>
        <v>24.111059000000001</v>
      </c>
      <c r="I1416" t="str">
        <f>IFERROR(VLOOKUP(Logs_reseau[[#This Row],[Cell_ID]],'[1]Registre_Maintenance_combine '!A:E,5,FALSE),"Non trouvé")</f>
        <v>3G</v>
      </c>
      <c r="J1416" t="str">
        <f>IFERROR(VLOOKUP(Logs_reseau[[#This Row],[Cell_ID]],'[1]Registre_Maintenance_combine '!A:F,6,FALSE),"Non trouvé")</f>
        <v>ZTE</v>
      </c>
    </row>
    <row r="1417" spans="1:10" x14ac:dyDescent="0.25">
      <c r="A1417" t="str">
        <f>IFERROR(VLOOKUP(Logs_reseau[[#This Row],[Cell_ID]],'[1]Registre_Maintenance_combine '!A:B,2,FALSE),"Non trouvé")</f>
        <v>Tanganyika</v>
      </c>
      <c r="B1417" t="s">
        <v>223</v>
      </c>
      <c r="C1417" s="3">
        <v>45221.717361111114</v>
      </c>
      <c r="D1417" s="11">
        <f>Logs_reseau[[#This Row],[Duree_Panne_Min]]/1440</f>
        <v>9.7222222222222224E-3</v>
      </c>
      <c r="E1417">
        <v>14</v>
      </c>
      <c r="F1417" t="s">
        <v>1</v>
      </c>
      <c r="G1417">
        <f>IFERROR(VLOOKUP(Logs_reseau[[#This Row],[Cell_ID]],'[1]Registre_Maintenance_combine '!A:C,3,FALSE),"Non trouvé")</f>
        <v>-2.4662510000000002</v>
      </c>
      <c r="H1417">
        <f>IFERROR(VLOOKUP(Logs_reseau[[#This Row],[Cell_ID]],'[1]Registre_Maintenance_combine '!A:D,4,FALSE),"Non trouvé")</f>
        <v>18.007998000000001</v>
      </c>
      <c r="I1417" t="str">
        <f>IFERROR(VLOOKUP(Logs_reseau[[#This Row],[Cell_ID]],'[1]Registre_Maintenance_combine '!A:E,5,FALSE),"Non trouvé")</f>
        <v>5G</v>
      </c>
      <c r="J1417" t="str">
        <f>IFERROR(VLOOKUP(Logs_reseau[[#This Row],[Cell_ID]],'[1]Registre_Maintenance_combine '!A:F,6,FALSE),"Non trouvé")</f>
        <v>Ericsson</v>
      </c>
    </row>
    <row r="1418" spans="1:10" x14ac:dyDescent="0.25">
      <c r="A1418" t="str">
        <f>IFERROR(VLOOKUP(Logs_reseau[[#This Row],[Cell_ID]],'[1]Registre_Maintenance_combine '!A:B,2,FALSE),"Non trouvé")</f>
        <v>Kongo-Central</v>
      </c>
      <c r="B1418" t="s">
        <v>100</v>
      </c>
      <c r="C1418" s="3">
        <v>45215.288194444445</v>
      </c>
      <c r="D1418" s="11">
        <f>Logs_reseau[[#This Row],[Duree_Panne_Min]]/1440</f>
        <v>7.5694444444444439E-2</v>
      </c>
      <c r="E1418">
        <v>109</v>
      </c>
      <c r="F1418" t="s">
        <v>1</v>
      </c>
      <c r="G1418">
        <f>IFERROR(VLOOKUP(Logs_reseau[[#This Row],[Cell_ID]],'[1]Registre_Maintenance_combine '!A:C,3,FALSE),"Non trouvé")</f>
        <v>-11.157245</v>
      </c>
      <c r="H1418">
        <f>IFERROR(VLOOKUP(Logs_reseau[[#This Row],[Cell_ID]],'[1]Registre_Maintenance_combine '!A:D,4,FALSE),"Non trouvé")</f>
        <v>21.262627999999999</v>
      </c>
      <c r="I1418" t="str">
        <f>IFERROR(VLOOKUP(Logs_reseau[[#This Row],[Cell_ID]],'[1]Registre_Maintenance_combine '!A:E,5,FALSE),"Non trouvé")</f>
        <v>5G</v>
      </c>
      <c r="J1418" t="str">
        <f>IFERROR(VLOOKUP(Logs_reseau[[#This Row],[Cell_ID]],'[1]Registre_Maintenance_combine '!A:F,6,FALSE),"Non trouvé")</f>
        <v>ZTE</v>
      </c>
    </row>
    <row r="1419" spans="1:10" x14ac:dyDescent="0.25">
      <c r="A1419" t="str">
        <f>IFERROR(VLOOKUP(Logs_reseau[[#This Row],[Cell_ID]],'[1]Registre_Maintenance_combine '!A:B,2,FALSE),"Non trouvé")</f>
        <v>Non trouvé</v>
      </c>
      <c r="B1419" t="s">
        <v>423</v>
      </c>
      <c r="C1419" s="3">
        <v>45229.429861111108</v>
      </c>
      <c r="D1419" s="11">
        <f>Logs_reseau[[#This Row],[Duree_Panne_Min]]/1440</f>
        <v>6.25E-2</v>
      </c>
      <c r="E1419">
        <v>90</v>
      </c>
      <c r="F1419" t="s">
        <v>1</v>
      </c>
      <c r="G1419" t="str">
        <f>IFERROR(VLOOKUP(Logs_reseau[[#This Row],[Cell_ID]],'[1]Registre_Maintenance_combine '!A:C,3,FALSE),"Non trouvé")</f>
        <v>Non trouvé</v>
      </c>
      <c r="H1419" t="str">
        <f>IFERROR(VLOOKUP(Logs_reseau[[#This Row],[Cell_ID]],'[1]Registre_Maintenance_combine '!A:D,4,FALSE),"Non trouvé")</f>
        <v>Non trouvé</v>
      </c>
      <c r="I1419" t="str">
        <f>IFERROR(VLOOKUP(Logs_reseau[[#This Row],[Cell_ID]],'[1]Registre_Maintenance_combine '!A:E,5,FALSE),"Non trouvé")</f>
        <v>Non trouvé</v>
      </c>
      <c r="J1419" t="str">
        <f>IFERROR(VLOOKUP(Logs_reseau[[#This Row],[Cell_ID]],'[1]Registre_Maintenance_combine '!A:F,6,FALSE),"Non trouvé")</f>
        <v>Non trouvé</v>
      </c>
    </row>
    <row r="1420" spans="1:10" x14ac:dyDescent="0.25">
      <c r="A1420" t="str">
        <f>IFERROR(VLOOKUP(Logs_reseau[[#This Row],[Cell_ID]],'[1]Registre_Maintenance_combine '!A:B,2,FALSE),"Non trouvé")</f>
        <v>Nord-Ubangi</v>
      </c>
      <c r="B1420" t="s">
        <v>154</v>
      </c>
      <c r="C1420" s="3">
        <v>45230.009027777778</v>
      </c>
      <c r="D1420" s="11">
        <f>Logs_reseau[[#This Row],[Duree_Panne_Min]]/1440</f>
        <v>7.6388888888888886E-3</v>
      </c>
      <c r="E1420">
        <v>11</v>
      </c>
      <c r="F1420" t="s">
        <v>2</v>
      </c>
      <c r="G1420">
        <f>IFERROR(VLOOKUP(Logs_reseau[[#This Row],[Cell_ID]],'[1]Registre_Maintenance_combine '!A:C,3,FALSE),"Non trouvé")</f>
        <v>0.94539899999999999</v>
      </c>
      <c r="H1420">
        <f>IFERROR(VLOOKUP(Logs_reseau[[#This Row],[Cell_ID]],'[1]Registre_Maintenance_combine '!A:D,4,FALSE),"Non trouvé")</f>
        <v>14.401821999999999</v>
      </c>
      <c r="I1420" t="str">
        <f>IFERROR(VLOOKUP(Logs_reseau[[#This Row],[Cell_ID]],'[1]Registre_Maintenance_combine '!A:E,5,FALSE),"Non trouvé")</f>
        <v>5G</v>
      </c>
      <c r="J1420" t="str">
        <f>IFERROR(VLOOKUP(Logs_reseau[[#This Row],[Cell_ID]],'[1]Registre_Maintenance_combine '!A:F,6,FALSE),"Non trouvé")</f>
        <v>Nokia</v>
      </c>
    </row>
    <row r="1421" spans="1:10" x14ac:dyDescent="0.25">
      <c r="A1421" t="str">
        <f>IFERROR(VLOOKUP(Logs_reseau[[#This Row],[Cell_ID]],'[1]Registre_Maintenance_combine '!A:B,2,FALSE),"Non trouvé")</f>
        <v>Non trouvé</v>
      </c>
      <c r="B1421" t="s">
        <v>233</v>
      </c>
      <c r="C1421" s="3">
        <v>45229.282638888886</v>
      </c>
      <c r="D1421" s="11">
        <f>Logs_reseau[[#This Row],[Duree_Panne_Min]]/1440</f>
        <v>7.0833333333333331E-2</v>
      </c>
      <c r="E1421">
        <v>102</v>
      </c>
      <c r="F1421" t="s">
        <v>2</v>
      </c>
      <c r="G1421" t="str">
        <f>IFERROR(VLOOKUP(Logs_reseau[[#This Row],[Cell_ID]],'[1]Registre_Maintenance_combine '!A:C,3,FALSE),"Non trouvé")</f>
        <v>Non trouvé</v>
      </c>
      <c r="H1421" t="str">
        <f>IFERROR(VLOOKUP(Logs_reseau[[#This Row],[Cell_ID]],'[1]Registre_Maintenance_combine '!A:D,4,FALSE),"Non trouvé")</f>
        <v>Non trouvé</v>
      </c>
      <c r="I1421" t="str">
        <f>IFERROR(VLOOKUP(Logs_reseau[[#This Row],[Cell_ID]],'[1]Registre_Maintenance_combine '!A:E,5,FALSE),"Non trouvé")</f>
        <v>Non trouvé</v>
      </c>
      <c r="J1421" t="str">
        <f>IFERROR(VLOOKUP(Logs_reseau[[#This Row],[Cell_ID]],'[1]Registre_Maintenance_combine '!A:F,6,FALSE),"Non trouvé")</f>
        <v>Non trouvé</v>
      </c>
    </row>
    <row r="1422" spans="1:10" x14ac:dyDescent="0.25">
      <c r="A1422" t="str">
        <f>IFERROR(VLOOKUP(Logs_reseau[[#This Row],[Cell_ID]],'[1]Registre_Maintenance_combine '!A:B,2,FALSE),"Non trouvé")</f>
        <v>Non trouvé</v>
      </c>
      <c r="B1422" t="s">
        <v>196</v>
      </c>
      <c r="C1422" s="3">
        <v>45203.991666666669</v>
      </c>
      <c r="D1422" s="11">
        <f>Logs_reseau[[#This Row],[Duree_Panne_Min]]/1440</f>
        <v>3.472222222222222E-3</v>
      </c>
      <c r="E1422">
        <v>5</v>
      </c>
      <c r="F1422" t="s">
        <v>4</v>
      </c>
      <c r="G1422" t="str">
        <f>IFERROR(VLOOKUP(Logs_reseau[[#This Row],[Cell_ID]],'[1]Registre_Maintenance_combine '!A:C,3,FALSE),"Non trouvé")</f>
        <v>Non trouvé</v>
      </c>
      <c r="H1422" t="str">
        <f>IFERROR(VLOOKUP(Logs_reseau[[#This Row],[Cell_ID]],'[1]Registre_Maintenance_combine '!A:D,4,FALSE),"Non trouvé")</f>
        <v>Non trouvé</v>
      </c>
      <c r="I1422" t="str">
        <f>IFERROR(VLOOKUP(Logs_reseau[[#This Row],[Cell_ID]],'[1]Registre_Maintenance_combine '!A:E,5,FALSE),"Non trouvé")</f>
        <v>Non trouvé</v>
      </c>
      <c r="J1422" t="str">
        <f>IFERROR(VLOOKUP(Logs_reseau[[#This Row],[Cell_ID]],'[1]Registre_Maintenance_combine '!A:F,6,FALSE),"Non trouvé")</f>
        <v>Non trouvé</v>
      </c>
    </row>
    <row r="1423" spans="1:10" x14ac:dyDescent="0.25">
      <c r="A1423" t="str">
        <f>IFERROR(VLOOKUP(Logs_reseau[[#This Row],[Cell_ID]],'[1]Registre_Maintenance_combine '!A:B,2,FALSE),"Non trouvé")</f>
        <v>Non trouvé</v>
      </c>
      <c r="B1423" t="s">
        <v>545</v>
      </c>
      <c r="C1423" s="3">
        <v>45215.322222222225</v>
      </c>
      <c r="D1423" s="11">
        <f>Logs_reseau[[#This Row],[Duree_Panne_Min]]/1440</f>
        <v>3.9583333333333331E-2</v>
      </c>
      <c r="E1423">
        <v>57</v>
      </c>
      <c r="F1423" t="s">
        <v>4</v>
      </c>
      <c r="G1423" t="str">
        <f>IFERROR(VLOOKUP(Logs_reseau[[#This Row],[Cell_ID]],'[1]Registre_Maintenance_combine '!A:C,3,FALSE),"Non trouvé")</f>
        <v>Non trouvé</v>
      </c>
      <c r="H1423" t="str">
        <f>IFERROR(VLOOKUP(Logs_reseau[[#This Row],[Cell_ID]],'[1]Registre_Maintenance_combine '!A:D,4,FALSE),"Non trouvé")</f>
        <v>Non trouvé</v>
      </c>
      <c r="I1423" t="str">
        <f>IFERROR(VLOOKUP(Logs_reseau[[#This Row],[Cell_ID]],'[1]Registre_Maintenance_combine '!A:E,5,FALSE),"Non trouvé")</f>
        <v>Non trouvé</v>
      </c>
      <c r="J1423" t="str">
        <f>IFERROR(VLOOKUP(Logs_reseau[[#This Row],[Cell_ID]],'[1]Registre_Maintenance_combine '!A:F,6,FALSE),"Non trouvé")</f>
        <v>Non trouvé</v>
      </c>
    </row>
    <row r="1424" spans="1:10" x14ac:dyDescent="0.25">
      <c r="A1424" t="str">
        <f>IFERROR(VLOOKUP(Logs_reseau[[#This Row],[Cell_ID]],'[1]Registre_Maintenance_combine '!A:B,2,FALSE),"Non trouvé")</f>
        <v>Non trouvé</v>
      </c>
      <c r="B1424" t="s">
        <v>546</v>
      </c>
      <c r="C1424" s="3">
        <v>45219.925694444442</v>
      </c>
      <c r="D1424" s="11">
        <f>Logs_reseau[[#This Row],[Duree_Panne_Min]]/1440</f>
        <v>1.5277777777777777E-2</v>
      </c>
      <c r="E1424">
        <v>22</v>
      </c>
      <c r="F1424" t="s">
        <v>1</v>
      </c>
      <c r="G1424" t="str">
        <f>IFERROR(VLOOKUP(Logs_reseau[[#This Row],[Cell_ID]],'[1]Registre_Maintenance_combine '!A:C,3,FALSE),"Non trouvé")</f>
        <v>Non trouvé</v>
      </c>
      <c r="H1424" t="str">
        <f>IFERROR(VLOOKUP(Logs_reseau[[#This Row],[Cell_ID]],'[1]Registre_Maintenance_combine '!A:D,4,FALSE),"Non trouvé")</f>
        <v>Non trouvé</v>
      </c>
      <c r="I1424" t="str">
        <f>IFERROR(VLOOKUP(Logs_reseau[[#This Row],[Cell_ID]],'[1]Registre_Maintenance_combine '!A:E,5,FALSE),"Non trouvé")</f>
        <v>Non trouvé</v>
      </c>
      <c r="J1424" t="str">
        <f>IFERROR(VLOOKUP(Logs_reseau[[#This Row],[Cell_ID]],'[1]Registre_Maintenance_combine '!A:F,6,FALSE),"Non trouvé")</f>
        <v>Non trouvé</v>
      </c>
    </row>
    <row r="1425" spans="1:10" x14ac:dyDescent="0.25">
      <c r="A1425" t="str">
        <f>IFERROR(VLOOKUP(Logs_reseau[[#This Row],[Cell_ID]],'[1]Registre_Maintenance_combine '!A:B,2,FALSE),"Non trouvé")</f>
        <v>Non trouvé</v>
      </c>
      <c r="B1425" t="s">
        <v>338</v>
      </c>
      <c r="C1425" s="3">
        <v>45212.315972222219</v>
      </c>
      <c r="D1425" s="11">
        <f>Logs_reseau[[#This Row],[Duree_Panne_Min]]/1440</f>
        <v>7.7777777777777779E-2</v>
      </c>
      <c r="E1425">
        <v>112</v>
      </c>
      <c r="F1425" t="s">
        <v>1</v>
      </c>
      <c r="G1425" t="str">
        <f>IFERROR(VLOOKUP(Logs_reseau[[#This Row],[Cell_ID]],'[1]Registre_Maintenance_combine '!A:C,3,FALSE),"Non trouvé")</f>
        <v>Non trouvé</v>
      </c>
      <c r="H1425" t="str">
        <f>IFERROR(VLOOKUP(Logs_reseau[[#This Row],[Cell_ID]],'[1]Registre_Maintenance_combine '!A:D,4,FALSE),"Non trouvé")</f>
        <v>Non trouvé</v>
      </c>
      <c r="I1425" t="str">
        <f>IFERROR(VLOOKUP(Logs_reseau[[#This Row],[Cell_ID]],'[1]Registre_Maintenance_combine '!A:E,5,FALSE),"Non trouvé")</f>
        <v>Non trouvé</v>
      </c>
      <c r="J1425" t="str">
        <f>IFERROR(VLOOKUP(Logs_reseau[[#This Row],[Cell_ID]],'[1]Registre_Maintenance_combine '!A:F,6,FALSE),"Non trouvé")</f>
        <v>Non trouvé</v>
      </c>
    </row>
    <row r="1426" spans="1:10" x14ac:dyDescent="0.25">
      <c r="A1426" t="str">
        <f>IFERROR(VLOOKUP(Logs_reseau[[#This Row],[Cell_ID]],'[1]Registre_Maintenance_combine '!A:B,2,FALSE),"Non trouvé")</f>
        <v>Nord-Kivu</v>
      </c>
      <c r="B1426" t="s">
        <v>276</v>
      </c>
      <c r="C1426" s="3">
        <v>45210.39166666667</v>
      </c>
      <c r="D1426" s="11">
        <f>Logs_reseau[[#This Row],[Duree_Panne_Min]]/1440</f>
        <v>5.9027777777777776E-2</v>
      </c>
      <c r="E1426">
        <v>85</v>
      </c>
      <c r="F1426" t="s">
        <v>2</v>
      </c>
      <c r="G1426">
        <f>IFERROR(VLOOKUP(Logs_reseau[[#This Row],[Cell_ID]],'[1]Registre_Maintenance_combine '!A:C,3,FALSE),"Non trouvé")</f>
        <v>1.017161</v>
      </c>
      <c r="H1426">
        <f>IFERROR(VLOOKUP(Logs_reseau[[#This Row],[Cell_ID]],'[1]Registre_Maintenance_combine '!A:D,4,FALSE),"Non trouvé")</f>
        <v>16.519689</v>
      </c>
      <c r="I1426" t="str">
        <f>IFERROR(VLOOKUP(Logs_reseau[[#This Row],[Cell_ID]],'[1]Registre_Maintenance_combine '!A:E,5,FALSE),"Non trouvé")</f>
        <v>3G</v>
      </c>
      <c r="J1426" t="str">
        <f>IFERROR(VLOOKUP(Logs_reseau[[#This Row],[Cell_ID]],'[1]Registre_Maintenance_combine '!A:F,6,FALSE),"Non trouvé")</f>
        <v>Nokia</v>
      </c>
    </row>
    <row r="1427" spans="1:10" x14ac:dyDescent="0.25">
      <c r="A1427" t="str">
        <f>IFERROR(VLOOKUP(Logs_reseau[[#This Row],[Cell_ID]],'[1]Registre_Maintenance_combine '!A:B,2,FALSE),"Non trouvé")</f>
        <v>Kwilu</v>
      </c>
      <c r="B1427" t="s">
        <v>547</v>
      </c>
      <c r="C1427" s="3">
        <v>45214.736805555556</v>
      </c>
      <c r="D1427" s="11">
        <f>Logs_reseau[[#This Row],[Duree_Panne_Min]]/1440</f>
        <v>2.361111111111111E-2</v>
      </c>
      <c r="E1427">
        <v>34</v>
      </c>
      <c r="F1427" t="s">
        <v>4</v>
      </c>
      <c r="G1427">
        <f>IFERROR(VLOOKUP(Logs_reseau[[#This Row],[Cell_ID]],'[1]Registre_Maintenance_combine '!A:C,3,FALSE),"Non trouvé")</f>
        <v>5.3608999999999997E-2</v>
      </c>
      <c r="H1427">
        <f>IFERROR(VLOOKUP(Logs_reseau[[#This Row],[Cell_ID]],'[1]Registre_Maintenance_combine '!A:D,4,FALSE),"Non trouvé")</f>
        <v>28.346852999999999</v>
      </c>
      <c r="I1427" t="str">
        <f>IFERROR(VLOOKUP(Logs_reseau[[#This Row],[Cell_ID]],'[1]Registre_Maintenance_combine '!A:E,5,FALSE),"Non trouvé")</f>
        <v>3G</v>
      </c>
      <c r="J1427" t="str">
        <f>IFERROR(VLOOKUP(Logs_reseau[[#This Row],[Cell_ID]],'[1]Registre_Maintenance_combine '!A:F,6,FALSE),"Non trouvé")</f>
        <v>ZTE</v>
      </c>
    </row>
    <row r="1428" spans="1:10" x14ac:dyDescent="0.25">
      <c r="A1428" t="str">
        <f>IFERROR(VLOOKUP(Logs_reseau[[#This Row],[Cell_ID]],'[1]Registre_Maintenance_combine '!A:B,2,FALSE),"Non trouvé")</f>
        <v>Non trouvé</v>
      </c>
      <c r="B1428" t="s">
        <v>357</v>
      </c>
      <c r="C1428" s="3">
        <v>45211.386111111111</v>
      </c>
      <c r="D1428" s="11">
        <f>Logs_reseau[[#This Row],[Duree_Panne_Min]]/1440</f>
        <v>9.0277777777777769E-3</v>
      </c>
      <c r="E1428">
        <v>13</v>
      </c>
      <c r="F1428" t="s">
        <v>2</v>
      </c>
      <c r="G1428" t="str">
        <f>IFERROR(VLOOKUP(Logs_reseau[[#This Row],[Cell_ID]],'[1]Registre_Maintenance_combine '!A:C,3,FALSE),"Non trouvé")</f>
        <v>Non trouvé</v>
      </c>
      <c r="H1428" t="str">
        <f>IFERROR(VLOOKUP(Logs_reseau[[#This Row],[Cell_ID]],'[1]Registre_Maintenance_combine '!A:D,4,FALSE),"Non trouvé")</f>
        <v>Non trouvé</v>
      </c>
      <c r="I1428" t="str">
        <f>IFERROR(VLOOKUP(Logs_reseau[[#This Row],[Cell_ID]],'[1]Registre_Maintenance_combine '!A:E,5,FALSE),"Non trouvé")</f>
        <v>Non trouvé</v>
      </c>
      <c r="J1428" t="str">
        <f>IFERROR(VLOOKUP(Logs_reseau[[#This Row],[Cell_ID]],'[1]Registre_Maintenance_combine '!A:F,6,FALSE),"Non trouvé")</f>
        <v>Non trouvé</v>
      </c>
    </row>
    <row r="1429" spans="1:10" x14ac:dyDescent="0.25">
      <c r="A1429" t="str">
        <f>IFERROR(VLOOKUP(Logs_reseau[[#This Row],[Cell_ID]],'[1]Registre_Maintenance_combine '!A:B,2,FALSE),"Non trouvé")</f>
        <v>Non trouvé</v>
      </c>
      <c r="B1429" t="s">
        <v>548</v>
      </c>
      <c r="C1429" s="3">
        <v>45211.705555555556</v>
      </c>
      <c r="D1429" s="11">
        <f>Logs_reseau[[#This Row],[Duree_Panne_Min]]/1440</f>
        <v>6.5972222222222224E-2</v>
      </c>
      <c r="E1429">
        <v>95</v>
      </c>
      <c r="F1429" t="s">
        <v>2</v>
      </c>
      <c r="G1429" t="str">
        <f>IFERROR(VLOOKUP(Logs_reseau[[#This Row],[Cell_ID]],'[1]Registre_Maintenance_combine '!A:C,3,FALSE),"Non trouvé")</f>
        <v>Non trouvé</v>
      </c>
      <c r="H1429" t="str">
        <f>IFERROR(VLOOKUP(Logs_reseau[[#This Row],[Cell_ID]],'[1]Registre_Maintenance_combine '!A:D,4,FALSE),"Non trouvé")</f>
        <v>Non trouvé</v>
      </c>
      <c r="I1429" t="str">
        <f>IFERROR(VLOOKUP(Logs_reseau[[#This Row],[Cell_ID]],'[1]Registre_Maintenance_combine '!A:E,5,FALSE),"Non trouvé")</f>
        <v>Non trouvé</v>
      </c>
      <c r="J1429" t="str">
        <f>IFERROR(VLOOKUP(Logs_reseau[[#This Row],[Cell_ID]],'[1]Registre_Maintenance_combine '!A:F,6,FALSE),"Non trouvé")</f>
        <v>Non trouvé</v>
      </c>
    </row>
    <row r="1430" spans="1:10" x14ac:dyDescent="0.25">
      <c r="A1430" t="str">
        <f>IFERROR(VLOOKUP(Logs_reseau[[#This Row],[Cell_ID]],'[1]Registre_Maintenance_combine '!A:B,2,FALSE),"Non trouvé")</f>
        <v>Maniema</v>
      </c>
      <c r="B1430" t="s">
        <v>549</v>
      </c>
      <c r="C1430" s="3">
        <v>45215.587500000001</v>
      </c>
      <c r="D1430" s="11">
        <f>Logs_reseau[[#This Row],[Duree_Panne_Min]]/1440</f>
        <v>1.6666666666666666E-2</v>
      </c>
      <c r="E1430">
        <v>24</v>
      </c>
      <c r="F1430" t="s">
        <v>2</v>
      </c>
      <c r="G1430">
        <f>IFERROR(VLOOKUP(Logs_reseau[[#This Row],[Cell_ID]],'[1]Registre_Maintenance_combine '!A:C,3,FALSE),"Non trouvé")</f>
        <v>2.5458379999999998</v>
      </c>
      <c r="H1430">
        <f>IFERROR(VLOOKUP(Logs_reseau[[#This Row],[Cell_ID]],'[1]Registre_Maintenance_combine '!A:D,4,FALSE),"Non trouvé")</f>
        <v>13.308655</v>
      </c>
      <c r="I1430" t="str">
        <f>IFERROR(VLOOKUP(Logs_reseau[[#This Row],[Cell_ID]],'[1]Registre_Maintenance_combine '!A:E,5,FALSE),"Non trouvé")</f>
        <v>5G</v>
      </c>
      <c r="J1430" t="str">
        <f>IFERROR(VLOOKUP(Logs_reseau[[#This Row],[Cell_ID]],'[1]Registre_Maintenance_combine '!A:F,6,FALSE),"Non trouvé")</f>
        <v>ZTE</v>
      </c>
    </row>
    <row r="1431" spans="1:10" x14ac:dyDescent="0.25">
      <c r="A1431" t="str">
        <f>IFERROR(VLOOKUP(Logs_reseau[[#This Row],[Cell_ID]],'[1]Registre_Maintenance_combine '!A:B,2,FALSE),"Non trouvé")</f>
        <v>Tshuapa</v>
      </c>
      <c r="B1431" t="s">
        <v>82</v>
      </c>
      <c r="C1431" s="3">
        <v>45225.979166666664</v>
      </c>
      <c r="D1431" s="11">
        <f>Logs_reseau[[#This Row],[Duree_Panne_Min]]/1440</f>
        <v>4.1666666666666666E-3</v>
      </c>
      <c r="E1431">
        <v>6</v>
      </c>
      <c r="F1431" t="s">
        <v>1</v>
      </c>
      <c r="G1431">
        <f>IFERROR(VLOOKUP(Logs_reseau[[#This Row],[Cell_ID]],'[1]Registre_Maintenance_combine '!A:C,3,FALSE),"Non trouvé")</f>
        <v>-10.577049000000001</v>
      </c>
      <c r="H1431">
        <f>IFERROR(VLOOKUP(Logs_reseau[[#This Row],[Cell_ID]],'[1]Registre_Maintenance_combine '!A:D,4,FALSE),"Non trouvé")</f>
        <v>23.721854</v>
      </c>
      <c r="I1431" t="str">
        <f>IFERROR(VLOOKUP(Logs_reseau[[#This Row],[Cell_ID]],'[1]Registre_Maintenance_combine '!A:E,5,FALSE),"Non trouvé")</f>
        <v>4G</v>
      </c>
      <c r="J1431" t="str">
        <f>IFERROR(VLOOKUP(Logs_reseau[[#This Row],[Cell_ID]],'[1]Registre_Maintenance_combine '!A:F,6,FALSE),"Non trouvé")</f>
        <v>ZTE</v>
      </c>
    </row>
    <row r="1432" spans="1:10" x14ac:dyDescent="0.25">
      <c r="A1432" t="str">
        <f>IFERROR(VLOOKUP(Logs_reseau[[#This Row],[Cell_ID]],'[1]Registre_Maintenance_combine '!A:B,2,FALSE),"Non trouvé")</f>
        <v>Non trouvé</v>
      </c>
      <c r="B1432" t="s">
        <v>218</v>
      </c>
      <c r="C1432" s="3">
        <v>45224.456944444442</v>
      </c>
      <c r="D1432" s="11">
        <f>Logs_reseau[[#This Row],[Duree_Panne_Min]]/1440</f>
        <v>2.2222222222222223E-2</v>
      </c>
      <c r="E1432">
        <v>32</v>
      </c>
      <c r="F1432" t="s">
        <v>1</v>
      </c>
      <c r="G1432" t="str">
        <f>IFERROR(VLOOKUP(Logs_reseau[[#This Row],[Cell_ID]],'[1]Registre_Maintenance_combine '!A:C,3,FALSE),"Non trouvé")</f>
        <v>Non trouvé</v>
      </c>
      <c r="H1432" t="str">
        <f>IFERROR(VLOOKUP(Logs_reseau[[#This Row],[Cell_ID]],'[1]Registre_Maintenance_combine '!A:D,4,FALSE),"Non trouvé")</f>
        <v>Non trouvé</v>
      </c>
      <c r="I1432" t="str">
        <f>IFERROR(VLOOKUP(Logs_reseau[[#This Row],[Cell_ID]],'[1]Registre_Maintenance_combine '!A:E,5,FALSE),"Non trouvé")</f>
        <v>Non trouvé</v>
      </c>
      <c r="J1432" t="str">
        <f>IFERROR(VLOOKUP(Logs_reseau[[#This Row],[Cell_ID]],'[1]Registre_Maintenance_combine '!A:F,6,FALSE),"Non trouvé")</f>
        <v>Non trouvé</v>
      </c>
    </row>
    <row r="1433" spans="1:10" x14ac:dyDescent="0.25">
      <c r="A1433" t="str">
        <f>IFERROR(VLOOKUP(Logs_reseau[[#This Row],[Cell_ID]],'[1]Registre_Maintenance_combine '!A:B,2,FALSE),"Non trouvé")</f>
        <v>Non trouvé</v>
      </c>
      <c r="B1433" t="s">
        <v>550</v>
      </c>
      <c r="C1433" s="3">
        <v>45206.472222222219</v>
      </c>
      <c r="D1433" s="11">
        <f>Logs_reseau[[#This Row],[Duree_Panne_Min]]/1440</f>
        <v>4.791666666666667E-2</v>
      </c>
      <c r="E1433">
        <v>69</v>
      </c>
      <c r="F1433" t="s">
        <v>4</v>
      </c>
      <c r="G1433" t="str">
        <f>IFERROR(VLOOKUP(Logs_reseau[[#This Row],[Cell_ID]],'[1]Registre_Maintenance_combine '!A:C,3,FALSE),"Non trouvé")</f>
        <v>Non trouvé</v>
      </c>
      <c r="H1433" t="str">
        <f>IFERROR(VLOOKUP(Logs_reseau[[#This Row],[Cell_ID]],'[1]Registre_Maintenance_combine '!A:D,4,FALSE),"Non trouvé")</f>
        <v>Non trouvé</v>
      </c>
      <c r="I1433" t="str">
        <f>IFERROR(VLOOKUP(Logs_reseau[[#This Row],[Cell_ID]],'[1]Registre_Maintenance_combine '!A:E,5,FALSE),"Non trouvé")</f>
        <v>Non trouvé</v>
      </c>
      <c r="J1433" t="str">
        <f>IFERROR(VLOOKUP(Logs_reseau[[#This Row],[Cell_ID]],'[1]Registre_Maintenance_combine '!A:F,6,FALSE),"Non trouvé")</f>
        <v>Non trouvé</v>
      </c>
    </row>
    <row r="1434" spans="1:10" x14ac:dyDescent="0.25">
      <c r="A1434" t="str">
        <f>IFERROR(VLOOKUP(Logs_reseau[[#This Row],[Cell_ID]],'[1]Registre_Maintenance_combine '!A:B,2,FALSE),"Non trouvé")</f>
        <v>Sud-Ubangi</v>
      </c>
      <c r="B1434" t="s">
        <v>465</v>
      </c>
      <c r="C1434" s="3">
        <v>45213.066666666666</v>
      </c>
      <c r="D1434" s="11">
        <f>Logs_reseau[[#This Row],[Duree_Panne_Min]]/1440</f>
        <v>4.3749999999999997E-2</v>
      </c>
      <c r="E1434">
        <v>63</v>
      </c>
      <c r="F1434" t="s">
        <v>1</v>
      </c>
      <c r="G1434">
        <f>IFERROR(VLOOKUP(Logs_reseau[[#This Row],[Cell_ID]],'[1]Registre_Maintenance_combine '!A:C,3,FALSE),"Non trouvé")</f>
        <v>-11.387295999999999</v>
      </c>
      <c r="H1434">
        <f>IFERROR(VLOOKUP(Logs_reseau[[#This Row],[Cell_ID]],'[1]Registre_Maintenance_combine '!A:D,4,FALSE),"Non trouvé")</f>
        <v>19.384257999999999</v>
      </c>
      <c r="I1434" t="str">
        <f>IFERROR(VLOOKUP(Logs_reseau[[#This Row],[Cell_ID]],'[1]Registre_Maintenance_combine '!A:E,5,FALSE),"Non trouvé")</f>
        <v>3G</v>
      </c>
      <c r="J1434" t="str">
        <f>IFERROR(VLOOKUP(Logs_reseau[[#This Row],[Cell_ID]],'[1]Registre_Maintenance_combine '!A:F,6,FALSE),"Non trouvé")</f>
        <v>Huawei</v>
      </c>
    </row>
    <row r="1435" spans="1:10" x14ac:dyDescent="0.25">
      <c r="A1435" t="str">
        <f>IFERROR(VLOOKUP(Logs_reseau[[#This Row],[Cell_ID]],'[1]Registre_Maintenance_combine '!A:B,2,FALSE),"Non trouvé")</f>
        <v>Non trouvé</v>
      </c>
      <c r="B1435" t="s">
        <v>551</v>
      </c>
      <c r="C1435" s="3">
        <v>45227.324305555558</v>
      </c>
      <c r="D1435" s="11">
        <f>Logs_reseau[[#This Row],[Duree_Panne_Min]]/1440</f>
        <v>3.6111111111111108E-2</v>
      </c>
      <c r="E1435">
        <v>52</v>
      </c>
      <c r="F1435" t="s">
        <v>1</v>
      </c>
      <c r="G1435" t="str">
        <f>IFERROR(VLOOKUP(Logs_reseau[[#This Row],[Cell_ID]],'[1]Registre_Maintenance_combine '!A:C,3,FALSE),"Non trouvé")</f>
        <v>Non trouvé</v>
      </c>
      <c r="H1435" t="str">
        <f>IFERROR(VLOOKUP(Logs_reseau[[#This Row],[Cell_ID]],'[1]Registre_Maintenance_combine '!A:D,4,FALSE),"Non trouvé")</f>
        <v>Non trouvé</v>
      </c>
      <c r="I1435" t="str">
        <f>IFERROR(VLOOKUP(Logs_reseau[[#This Row],[Cell_ID]],'[1]Registre_Maintenance_combine '!A:E,5,FALSE),"Non trouvé")</f>
        <v>Non trouvé</v>
      </c>
      <c r="J1435" t="str">
        <f>IFERROR(VLOOKUP(Logs_reseau[[#This Row],[Cell_ID]],'[1]Registre_Maintenance_combine '!A:F,6,FALSE),"Non trouvé")</f>
        <v>Non trouvé</v>
      </c>
    </row>
    <row r="1436" spans="1:10" x14ac:dyDescent="0.25">
      <c r="A1436" t="str">
        <f>IFERROR(VLOOKUP(Logs_reseau[[#This Row],[Cell_ID]],'[1]Registre_Maintenance_combine '!A:B,2,FALSE),"Non trouvé")</f>
        <v>Maniema</v>
      </c>
      <c r="B1436" t="s">
        <v>552</v>
      </c>
      <c r="C1436" s="3">
        <v>45204.011111111111</v>
      </c>
      <c r="D1436" s="11">
        <f>Logs_reseau[[#This Row],[Duree_Panne_Min]]/1440</f>
        <v>8.3333333333333332E-3</v>
      </c>
      <c r="E1436">
        <v>12</v>
      </c>
      <c r="F1436" t="s">
        <v>2</v>
      </c>
      <c r="G1436">
        <f>IFERROR(VLOOKUP(Logs_reseau[[#This Row],[Cell_ID]],'[1]Registre_Maintenance_combine '!A:C,3,FALSE),"Non trouvé")</f>
        <v>-1.6488929999999999</v>
      </c>
      <c r="H1436">
        <f>IFERROR(VLOOKUP(Logs_reseau[[#This Row],[Cell_ID]],'[1]Registre_Maintenance_combine '!A:D,4,FALSE),"Non trouvé")</f>
        <v>27.284617000000001</v>
      </c>
      <c r="I1436" t="str">
        <f>IFERROR(VLOOKUP(Logs_reseau[[#This Row],[Cell_ID]],'[1]Registre_Maintenance_combine '!A:E,5,FALSE),"Non trouvé")</f>
        <v>5G</v>
      </c>
      <c r="J1436" t="str">
        <f>IFERROR(VLOOKUP(Logs_reseau[[#This Row],[Cell_ID]],'[1]Registre_Maintenance_combine '!A:F,6,FALSE),"Non trouvé")</f>
        <v>Nokia</v>
      </c>
    </row>
    <row r="1437" spans="1:10" x14ac:dyDescent="0.25">
      <c r="A1437" t="str">
        <f>IFERROR(VLOOKUP(Logs_reseau[[#This Row],[Cell_ID]],'[1]Registre_Maintenance_combine '!A:B,2,FALSE),"Non trouvé")</f>
        <v>Maniema</v>
      </c>
      <c r="B1437" t="s">
        <v>326</v>
      </c>
      <c r="C1437" s="3">
        <v>45217.775694444441</v>
      </c>
      <c r="D1437" s="11">
        <f>Logs_reseau[[#This Row],[Duree_Panne_Min]]/1440</f>
        <v>5.8333333333333334E-2</v>
      </c>
      <c r="E1437">
        <v>84</v>
      </c>
      <c r="F1437" t="s">
        <v>1</v>
      </c>
      <c r="G1437">
        <f>IFERROR(VLOOKUP(Logs_reseau[[#This Row],[Cell_ID]],'[1]Registre_Maintenance_combine '!A:C,3,FALSE),"Non trouvé")</f>
        <v>-2.3743210000000001</v>
      </c>
      <c r="H1437">
        <f>IFERROR(VLOOKUP(Logs_reseau[[#This Row],[Cell_ID]],'[1]Registre_Maintenance_combine '!A:D,4,FALSE),"Non trouvé")</f>
        <v>22.399491000000001</v>
      </c>
      <c r="I1437" t="str">
        <f>IFERROR(VLOOKUP(Logs_reseau[[#This Row],[Cell_ID]],'[1]Registre_Maintenance_combine '!A:E,5,FALSE),"Non trouvé")</f>
        <v>5G</v>
      </c>
      <c r="J1437" t="str">
        <f>IFERROR(VLOOKUP(Logs_reseau[[#This Row],[Cell_ID]],'[1]Registre_Maintenance_combine '!A:F,6,FALSE),"Non trouvé")</f>
        <v>Ericsson</v>
      </c>
    </row>
    <row r="1438" spans="1:10" x14ac:dyDescent="0.25">
      <c r="A1438" t="str">
        <f>IFERROR(VLOOKUP(Logs_reseau[[#This Row],[Cell_ID]],'[1]Registre_Maintenance_combine '!A:B,2,FALSE),"Non trouvé")</f>
        <v>Sud-Ubangi</v>
      </c>
      <c r="B1438" t="s">
        <v>553</v>
      </c>
      <c r="C1438" s="3">
        <v>45223.554166666669</v>
      </c>
      <c r="D1438" s="11">
        <f>Logs_reseau[[#This Row],[Duree_Panne_Min]]/1440</f>
        <v>5.9722222222222225E-2</v>
      </c>
      <c r="E1438">
        <v>86</v>
      </c>
      <c r="F1438" t="s">
        <v>2</v>
      </c>
      <c r="G1438">
        <f>IFERROR(VLOOKUP(Logs_reseau[[#This Row],[Cell_ID]],'[1]Registre_Maintenance_combine '!A:C,3,FALSE),"Non trouvé")</f>
        <v>-12.050063</v>
      </c>
      <c r="H1438">
        <f>IFERROR(VLOOKUP(Logs_reseau[[#This Row],[Cell_ID]],'[1]Registre_Maintenance_combine '!A:D,4,FALSE),"Non trouvé")</f>
        <v>26.636987999999999</v>
      </c>
      <c r="I1438" t="str">
        <f>IFERROR(VLOOKUP(Logs_reseau[[#This Row],[Cell_ID]],'[1]Registre_Maintenance_combine '!A:E,5,FALSE),"Non trouvé")</f>
        <v>3G</v>
      </c>
      <c r="J1438" t="str">
        <f>IFERROR(VLOOKUP(Logs_reseau[[#This Row],[Cell_ID]],'[1]Registre_Maintenance_combine '!A:F,6,FALSE),"Non trouvé")</f>
        <v>Nokia</v>
      </c>
    </row>
    <row r="1439" spans="1:10" x14ac:dyDescent="0.25">
      <c r="A1439" t="str">
        <f>IFERROR(VLOOKUP(Logs_reseau[[#This Row],[Cell_ID]],'[1]Registre_Maintenance_combine '!A:B,2,FALSE),"Non trouvé")</f>
        <v>Lualaba</v>
      </c>
      <c r="B1439" t="s">
        <v>500</v>
      </c>
      <c r="C1439" s="3">
        <v>45204.26458333333</v>
      </c>
      <c r="D1439" s="11">
        <f>Logs_reseau[[#This Row],[Duree_Panne_Min]]/1440</f>
        <v>6.25E-2</v>
      </c>
      <c r="E1439">
        <v>90</v>
      </c>
      <c r="F1439" t="s">
        <v>4</v>
      </c>
      <c r="G1439">
        <f>IFERROR(VLOOKUP(Logs_reseau[[#This Row],[Cell_ID]],'[1]Registre_Maintenance_combine '!A:C,3,FALSE),"Non trouvé")</f>
        <v>2.0392079999999999</v>
      </c>
      <c r="H1439">
        <f>IFERROR(VLOOKUP(Logs_reseau[[#This Row],[Cell_ID]],'[1]Registre_Maintenance_combine '!A:D,4,FALSE),"Non trouvé")</f>
        <v>19.090841999999999</v>
      </c>
      <c r="I1439" t="str">
        <f>IFERROR(VLOOKUP(Logs_reseau[[#This Row],[Cell_ID]],'[1]Registre_Maintenance_combine '!A:E,5,FALSE),"Non trouvé")</f>
        <v>4G</v>
      </c>
      <c r="J1439" t="str">
        <f>IFERROR(VLOOKUP(Logs_reseau[[#This Row],[Cell_ID]],'[1]Registre_Maintenance_combine '!A:F,6,FALSE),"Non trouvé")</f>
        <v>Nokia</v>
      </c>
    </row>
    <row r="1440" spans="1:10" x14ac:dyDescent="0.25">
      <c r="A1440" t="str">
        <f>IFERROR(VLOOKUP(Logs_reseau[[#This Row],[Cell_ID]],'[1]Registre_Maintenance_combine '!A:B,2,FALSE),"Non trouvé")</f>
        <v>Non trouvé</v>
      </c>
      <c r="B1440" t="s">
        <v>554</v>
      </c>
      <c r="C1440" s="3">
        <v>45207.525000000001</v>
      </c>
      <c r="D1440" s="11">
        <f>Logs_reseau[[#This Row],[Duree_Panne_Min]]/1440</f>
        <v>5.7638888888888892E-2</v>
      </c>
      <c r="E1440">
        <v>83</v>
      </c>
      <c r="F1440" t="s">
        <v>1</v>
      </c>
      <c r="G1440" t="str">
        <f>IFERROR(VLOOKUP(Logs_reseau[[#This Row],[Cell_ID]],'[1]Registre_Maintenance_combine '!A:C,3,FALSE),"Non trouvé")</f>
        <v>Non trouvé</v>
      </c>
      <c r="H1440" t="str">
        <f>IFERROR(VLOOKUP(Logs_reseau[[#This Row],[Cell_ID]],'[1]Registre_Maintenance_combine '!A:D,4,FALSE),"Non trouvé")</f>
        <v>Non trouvé</v>
      </c>
      <c r="I1440" t="str">
        <f>IFERROR(VLOOKUP(Logs_reseau[[#This Row],[Cell_ID]],'[1]Registre_Maintenance_combine '!A:E,5,FALSE),"Non trouvé")</f>
        <v>Non trouvé</v>
      </c>
      <c r="J1440" t="str">
        <f>IFERROR(VLOOKUP(Logs_reseau[[#This Row],[Cell_ID]],'[1]Registre_Maintenance_combine '!A:F,6,FALSE),"Non trouvé")</f>
        <v>Non trouvé</v>
      </c>
    </row>
    <row r="1441" spans="1:10" x14ac:dyDescent="0.25">
      <c r="A1441" t="str">
        <f>IFERROR(VLOOKUP(Logs_reseau[[#This Row],[Cell_ID]],'[1]Registre_Maintenance_combine '!A:B,2,FALSE),"Non trouvé")</f>
        <v>Equateur</v>
      </c>
      <c r="B1441" t="s">
        <v>555</v>
      </c>
      <c r="C1441" s="3">
        <v>45226.313194444447</v>
      </c>
      <c r="D1441" s="11">
        <f>Logs_reseau[[#This Row],[Duree_Panne_Min]]/1440</f>
        <v>4.583333333333333E-2</v>
      </c>
      <c r="E1441">
        <v>66</v>
      </c>
      <c r="F1441" t="s">
        <v>4</v>
      </c>
      <c r="G1441">
        <f>IFERROR(VLOOKUP(Logs_reseau[[#This Row],[Cell_ID]],'[1]Registre_Maintenance_combine '!A:C,3,FALSE),"Non trouvé")</f>
        <v>-12.839263000000001</v>
      </c>
      <c r="H1441">
        <f>IFERROR(VLOOKUP(Logs_reseau[[#This Row],[Cell_ID]],'[1]Registre_Maintenance_combine '!A:D,4,FALSE),"Non trouvé")</f>
        <v>12.355677</v>
      </c>
      <c r="I1441" t="str">
        <f>IFERROR(VLOOKUP(Logs_reseau[[#This Row],[Cell_ID]],'[1]Registre_Maintenance_combine '!A:E,5,FALSE),"Non trouvé")</f>
        <v>3G</v>
      </c>
      <c r="J1441" t="str">
        <f>IFERROR(VLOOKUP(Logs_reseau[[#This Row],[Cell_ID]],'[1]Registre_Maintenance_combine '!A:F,6,FALSE),"Non trouvé")</f>
        <v>Huawei</v>
      </c>
    </row>
    <row r="1442" spans="1:10" x14ac:dyDescent="0.25">
      <c r="A1442" t="str">
        <f>IFERROR(VLOOKUP(Logs_reseau[[#This Row],[Cell_ID]],'[1]Registre_Maintenance_combine '!A:B,2,FALSE),"Non trouvé")</f>
        <v>Non trouvé</v>
      </c>
      <c r="B1442" t="s">
        <v>556</v>
      </c>
      <c r="C1442" s="3">
        <v>45217.863194444442</v>
      </c>
      <c r="D1442" s="11">
        <f>Logs_reseau[[#This Row],[Duree_Panne_Min]]/1440</f>
        <v>6.1805555555555558E-2</v>
      </c>
      <c r="E1442">
        <v>89</v>
      </c>
      <c r="F1442" t="s">
        <v>1</v>
      </c>
      <c r="G1442" t="str">
        <f>IFERROR(VLOOKUP(Logs_reseau[[#This Row],[Cell_ID]],'[1]Registre_Maintenance_combine '!A:C,3,FALSE),"Non trouvé")</f>
        <v>Non trouvé</v>
      </c>
      <c r="H1442" t="str">
        <f>IFERROR(VLOOKUP(Logs_reseau[[#This Row],[Cell_ID]],'[1]Registre_Maintenance_combine '!A:D,4,FALSE),"Non trouvé")</f>
        <v>Non trouvé</v>
      </c>
      <c r="I1442" t="str">
        <f>IFERROR(VLOOKUP(Logs_reseau[[#This Row],[Cell_ID]],'[1]Registre_Maintenance_combine '!A:E,5,FALSE),"Non trouvé")</f>
        <v>Non trouvé</v>
      </c>
      <c r="J1442" t="str">
        <f>IFERROR(VLOOKUP(Logs_reseau[[#This Row],[Cell_ID]],'[1]Registre_Maintenance_combine '!A:F,6,FALSE),"Non trouvé")</f>
        <v>Non trouvé</v>
      </c>
    </row>
    <row r="1443" spans="1:10" x14ac:dyDescent="0.25">
      <c r="A1443" t="str">
        <f>IFERROR(VLOOKUP(Logs_reseau[[#This Row],[Cell_ID]],'[1]Registre_Maintenance_combine '!A:B,2,FALSE),"Non trouvé")</f>
        <v>Lualaba</v>
      </c>
      <c r="B1443" t="s">
        <v>557</v>
      </c>
      <c r="C1443" s="3">
        <v>45210.366666666669</v>
      </c>
      <c r="D1443" s="11">
        <f>Logs_reseau[[#This Row],[Duree_Panne_Min]]/1440</f>
        <v>4.6527777777777779E-2</v>
      </c>
      <c r="E1443">
        <v>67</v>
      </c>
      <c r="F1443" t="s">
        <v>2</v>
      </c>
      <c r="G1443">
        <f>IFERROR(VLOOKUP(Logs_reseau[[#This Row],[Cell_ID]],'[1]Registre_Maintenance_combine '!A:C,3,FALSE),"Non trouvé")</f>
        <v>-8.0301989999999996</v>
      </c>
      <c r="H1443">
        <f>IFERROR(VLOOKUP(Logs_reseau[[#This Row],[Cell_ID]],'[1]Registre_Maintenance_combine '!A:D,4,FALSE),"Non trouvé")</f>
        <v>24.122495000000001</v>
      </c>
      <c r="I1443" t="str">
        <f>IFERROR(VLOOKUP(Logs_reseau[[#This Row],[Cell_ID]],'[1]Registre_Maintenance_combine '!A:E,5,FALSE),"Non trouvé")</f>
        <v>5G</v>
      </c>
      <c r="J1443" t="str">
        <f>IFERROR(VLOOKUP(Logs_reseau[[#This Row],[Cell_ID]],'[1]Registre_Maintenance_combine '!A:F,6,FALSE),"Non trouvé")</f>
        <v>ZTE</v>
      </c>
    </row>
    <row r="1444" spans="1:10" x14ac:dyDescent="0.25">
      <c r="A1444" t="str">
        <f>IFERROR(VLOOKUP(Logs_reseau[[#This Row],[Cell_ID]],'[1]Registre_Maintenance_combine '!A:B,2,FALSE),"Non trouvé")</f>
        <v>Non trouvé</v>
      </c>
      <c r="B1444" t="s">
        <v>84</v>
      </c>
      <c r="C1444" s="3">
        <v>45226.656944444447</v>
      </c>
      <c r="D1444" s="11">
        <f>Logs_reseau[[#This Row],[Duree_Panne_Min]]/1440</f>
        <v>4.8611111111111112E-3</v>
      </c>
      <c r="E1444">
        <v>7</v>
      </c>
      <c r="F1444" t="s">
        <v>1</v>
      </c>
      <c r="G1444" t="str">
        <f>IFERROR(VLOOKUP(Logs_reseau[[#This Row],[Cell_ID]],'[1]Registre_Maintenance_combine '!A:C,3,FALSE),"Non trouvé")</f>
        <v>Non trouvé</v>
      </c>
      <c r="H1444" t="str">
        <f>IFERROR(VLOOKUP(Logs_reseau[[#This Row],[Cell_ID]],'[1]Registre_Maintenance_combine '!A:D,4,FALSE),"Non trouvé")</f>
        <v>Non trouvé</v>
      </c>
      <c r="I1444" t="str">
        <f>IFERROR(VLOOKUP(Logs_reseau[[#This Row],[Cell_ID]],'[1]Registre_Maintenance_combine '!A:E,5,FALSE),"Non trouvé")</f>
        <v>Non trouvé</v>
      </c>
      <c r="J1444" t="str">
        <f>IFERROR(VLOOKUP(Logs_reseau[[#This Row],[Cell_ID]],'[1]Registre_Maintenance_combine '!A:F,6,FALSE),"Non trouvé")</f>
        <v>Non trouvé</v>
      </c>
    </row>
    <row r="1445" spans="1:10" x14ac:dyDescent="0.25">
      <c r="A1445" t="str">
        <f>IFERROR(VLOOKUP(Logs_reseau[[#This Row],[Cell_ID]],'[1]Registre_Maintenance_combine '!A:B,2,FALSE),"Non trouvé")</f>
        <v>Non trouvé</v>
      </c>
      <c r="B1445" t="s">
        <v>558</v>
      </c>
      <c r="C1445" s="3">
        <v>45224.963888888888</v>
      </c>
      <c r="D1445" s="11">
        <f>Logs_reseau[[#This Row],[Duree_Panne_Min]]/1440</f>
        <v>5.7638888888888892E-2</v>
      </c>
      <c r="E1445">
        <v>83</v>
      </c>
      <c r="F1445" t="s">
        <v>2</v>
      </c>
      <c r="G1445" t="str">
        <f>IFERROR(VLOOKUP(Logs_reseau[[#This Row],[Cell_ID]],'[1]Registre_Maintenance_combine '!A:C,3,FALSE),"Non trouvé")</f>
        <v>Non trouvé</v>
      </c>
      <c r="H1445" t="str">
        <f>IFERROR(VLOOKUP(Logs_reseau[[#This Row],[Cell_ID]],'[1]Registre_Maintenance_combine '!A:D,4,FALSE),"Non trouvé")</f>
        <v>Non trouvé</v>
      </c>
      <c r="I1445" t="str">
        <f>IFERROR(VLOOKUP(Logs_reseau[[#This Row],[Cell_ID]],'[1]Registre_Maintenance_combine '!A:E,5,FALSE),"Non trouvé")</f>
        <v>Non trouvé</v>
      </c>
      <c r="J1445" t="str">
        <f>IFERROR(VLOOKUP(Logs_reseau[[#This Row],[Cell_ID]],'[1]Registre_Maintenance_combine '!A:F,6,FALSE),"Non trouvé")</f>
        <v>Non trouvé</v>
      </c>
    </row>
    <row r="1446" spans="1:10" x14ac:dyDescent="0.25">
      <c r="A1446" t="str">
        <f>IFERROR(VLOOKUP(Logs_reseau[[#This Row],[Cell_ID]],'[1]Registre_Maintenance_combine '!A:B,2,FALSE),"Non trouvé")</f>
        <v>Kwango</v>
      </c>
      <c r="B1446" t="s">
        <v>559</v>
      </c>
      <c r="C1446" s="3">
        <v>45225.948611111111</v>
      </c>
      <c r="D1446" s="11">
        <f>Logs_reseau[[#This Row],[Duree_Panne_Min]]/1440</f>
        <v>2.0833333333333332E-2</v>
      </c>
      <c r="E1446">
        <v>30</v>
      </c>
      <c r="F1446" t="s">
        <v>1</v>
      </c>
      <c r="G1446">
        <f>IFERROR(VLOOKUP(Logs_reseau[[#This Row],[Cell_ID]],'[1]Registre_Maintenance_combine '!A:C,3,FALSE),"Non trouvé")</f>
        <v>-10.653247</v>
      </c>
      <c r="H1446">
        <f>IFERROR(VLOOKUP(Logs_reseau[[#This Row],[Cell_ID]],'[1]Registre_Maintenance_combine '!A:D,4,FALSE),"Non trouvé")</f>
        <v>14.685601</v>
      </c>
      <c r="I1446" t="str">
        <f>IFERROR(VLOOKUP(Logs_reseau[[#This Row],[Cell_ID]],'[1]Registre_Maintenance_combine '!A:E,5,FALSE),"Non trouvé")</f>
        <v>4G</v>
      </c>
      <c r="J1446" t="str">
        <f>IFERROR(VLOOKUP(Logs_reseau[[#This Row],[Cell_ID]],'[1]Registre_Maintenance_combine '!A:F,6,FALSE),"Non trouvé")</f>
        <v>Ericsson</v>
      </c>
    </row>
    <row r="1447" spans="1:10" x14ac:dyDescent="0.25">
      <c r="A1447" t="str">
        <f>IFERROR(VLOOKUP(Logs_reseau[[#This Row],[Cell_ID]],'[1]Registre_Maintenance_combine '!A:B,2,FALSE),"Non trouvé")</f>
        <v>Tshopo</v>
      </c>
      <c r="B1447" t="s">
        <v>560</v>
      </c>
      <c r="C1447" s="3">
        <v>45202.699305555558</v>
      </c>
      <c r="D1447" s="11">
        <f>Logs_reseau[[#This Row],[Duree_Panne_Min]]/1440</f>
        <v>4.3749999999999997E-2</v>
      </c>
      <c r="E1447">
        <v>63</v>
      </c>
      <c r="F1447" t="s">
        <v>2</v>
      </c>
      <c r="G1447">
        <f>IFERROR(VLOOKUP(Logs_reseau[[#This Row],[Cell_ID]],'[1]Registre_Maintenance_combine '!A:C,3,FALSE),"Non trouvé")</f>
        <v>1.400674</v>
      </c>
      <c r="H1447">
        <f>IFERROR(VLOOKUP(Logs_reseau[[#This Row],[Cell_ID]],'[1]Registre_Maintenance_combine '!A:D,4,FALSE),"Non trouvé")</f>
        <v>13.503126999999999</v>
      </c>
      <c r="I1447" t="str">
        <f>IFERROR(VLOOKUP(Logs_reseau[[#This Row],[Cell_ID]],'[1]Registre_Maintenance_combine '!A:E,5,FALSE),"Non trouvé")</f>
        <v>5G</v>
      </c>
      <c r="J1447" t="str">
        <f>IFERROR(VLOOKUP(Logs_reseau[[#This Row],[Cell_ID]],'[1]Registre_Maintenance_combine '!A:F,6,FALSE),"Non trouvé")</f>
        <v>ZTE</v>
      </c>
    </row>
    <row r="1448" spans="1:10" x14ac:dyDescent="0.25">
      <c r="A1448" t="str">
        <f>IFERROR(VLOOKUP(Logs_reseau[[#This Row],[Cell_ID]],'[1]Registre_Maintenance_combine '!A:B,2,FALSE),"Non trouvé")</f>
        <v>Mongala</v>
      </c>
      <c r="B1448" t="s">
        <v>443</v>
      </c>
      <c r="C1448" s="3">
        <v>45211.04583333333</v>
      </c>
      <c r="D1448" s="11">
        <f>Logs_reseau[[#This Row],[Duree_Panne_Min]]/1440</f>
        <v>1.2500000000000001E-2</v>
      </c>
      <c r="E1448">
        <v>18</v>
      </c>
      <c r="F1448" t="s">
        <v>4</v>
      </c>
      <c r="G1448">
        <f>IFERROR(VLOOKUP(Logs_reseau[[#This Row],[Cell_ID]],'[1]Registre_Maintenance_combine '!A:C,3,FALSE),"Non trouvé")</f>
        <v>-5.3762689999999997</v>
      </c>
      <c r="H1448">
        <f>IFERROR(VLOOKUP(Logs_reseau[[#This Row],[Cell_ID]],'[1]Registre_Maintenance_combine '!A:D,4,FALSE),"Non trouvé")</f>
        <v>28.189575999999999</v>
      </c>
      <c r="I1448" t="str">
        <f>IFERROR(VLOOKUP(Logs_reseau[[#This Row],[Cell_ID]],'[1]Registre_Maintenance_combine '!A:E,5,FALSE),"Non trouvé")</f>
        <v>5G</v>
      </c>
      <c r="J1448" t="str">
        <f>IFERROR(VLOOKUP(Logs_reseau[[#This Row],[Cell_ID]],'[1]Registre_Maintenance_combine '!A:F,6,FALSE),"Non trouvé")</f>
        <v>Huawei</v>
      </c>
    </row>
    <row r="1449" spans="1:10" x14ac:dyDescent="0.25">
      <c r="A1449" t="str">
        <f>IFERROR(VLOOKUP(Logs_reseau[[#This Row],[Cell_ID]],'[1]Registre_Maintenance_combine '!A:B,2,FALSE),"Non trouvé")</f>
        <v>Non trouvé</v>
      </c>
      <c r="B1449" t="s">
        <v>561</v>
      </c>
      <c r="C1449" s="3">
        <v>45213.328472222223</v>
      </c>
      <c r="D1449" s="11">
        <f>Logs_reseau[[#This Row],[Duree_Panne_Min]]/1440</f>
        <v>1.5277777777777777E-2</v>
      </c>
      <c r="E1449">
        <v>22</v>
      </c>
      <c r="F1449" t="s">
        <v>4</v>
      </c>
      <c r="G1449" t="str">
        <f>IFERROR(VLOOKUP(Logs_reseau[[#This Row],[Cell_ID]],'[1]Registre_Maintenance_combine '!A:C,3,FALSE),"Non trouvé")</f>
        <v>Non trouvé</v>
      </c>
      <c r="H1449" t="str">
        <f>IFERROR(VLOOKUP(Logs_reseau[[#This Row],[Cell_ID]],'[1]Registre_Maintenance_combine '!A:D,4,FALSE),"Non trouvé")</f>
        <v>Non trouvé</v>
      </c>
      <c r="I1449" t="str">
        <f>IFERROR(VLOOKUP(Logs_reseau[[#This Row],[Cell_ID]],'[1]Registre_Maintenance_combine '!A:E,5,FALSE),"Non trouvé")</f>
        <v>Non trouvé</v>
      </c>
      <c r="J1449" t="str">
        <f>IFERROR(VLOOKUP(Logs_reseau[[#This Row],[Cell_ID]],'[1]Registre_Maintenance_combine '!A:F,6,FALSE),"Non trouvé")</f>
        <v>Non trouvé</v>
      </c>
    </row>
    <row r="1450" spans="1:10" x14ac:dyDescent="0.25">
      <c r="A1450" t="str">
        <f>IFERROR(VLOOKUP(Logs_reseau[[#This Row],[Cell_ID]],'[1]Registre_Maintenance_combine '!A:B,2,FALSE),"Non trouvé")</f>
        <v>Non trouvé</v>
      </c>
      <c r="B1450" t="s">
        <v>494</v>
      </c>
      <c r="C1450" s="3">
        <v>45202.443055555559</v>
      </c>
      <c r="D1450" s="11">
        <f>Logs_reseau[[#This Row],[Duree_Panne_Min]]/1440</f>
        <v>2.9861111111111113E-2</v>
      </c>
      <c r="E1450">
        <v>43</v>
      </c>
      <c r="F1450" t="s">
        <v>1</v>
      </c>
      <c r="G1450" t="str">
        <f>IFERROR(VLOOKUP(Logs_reseau[[#This Row],[Cell_ID]],'[1]Registre_Maintenance_combine '!A:C,3,FALSE),"Non trouvé")</f>
        <v>Non trouvé</v>
      </c>
      <c r="H1450" t="str">
        <f>IFERROR(VLOOKUP(Logs_reseau[[#This Row],[Cell_ID]],'[1]Registre_Maintenance_combine '!A:D,4,FALSE),"Non trouvé")</f>
        <v>Non trouvé</v>
      </c>
      <c r="I1450" t="str">
        <f>IFERROR(VLOOKUP(Logs_reseau[[#This Row],[Cell_ID]],'[1]Registre_Maintenance_combine '!A:E,5,FALSE),"Non trouvé")</f>
        <v>Non trouvé</v>
      </c>
      <c r="J1450" t="str">
        <f>IFERROR(VLOOKUP(Logs_reseau[[#This Row],[Cell_ID]],'[1]Registre_Maintenance_combine '!A:F,6,FALSE),"Non trouvé")</f>
        <v>Non trouvé</v>
      </c>
    </row>
    <row r="1451" spans="1:10" x14ac:dyDescent="0.25">
      <c r="A1451" t="str">
        <f>IFERROR(VLOOKUP(Logs_reseau[[#This Row],[Cell_ID]],'[1]Registre_Maintenance_combine '!A:B,2,FALSE),"Non trouvé")</f>
        <v>Non trouvé</v>
      </c>
      <c r="B1451" t="s">
        <v>377</v>
      </c>
      <c r="C1451" s="3">
        <v>45224.818055555559</v>
      </c>
      <c r="D1451" s="11">
        <f>Logs_reseau[[#This Row],[Duree_Panne_Min]]/1440</f>
        <v>3.472222222222222E-3</v>
      </c>
      <c r="E1451">
        <v>5</v>
      </c>
      <c r="F1451" t="s">
        <v>4</v>
      </c>
      <c r="G1451" t="str">
        <f>IFERROR(VLOOKUP(Logs_reseau[[#This Row],[Cell_ID]],'[1]Registre_Maintenance_combine '!A:C,3,FALSE),"Non trouvé")</f>
        <v>Non trouvé</v>
      </c>
      <c r="H1451" t="str">
        <f>IFERROR(VLOOKUP(Logs_reseau[[#This Row],[Cell_ID]],'[1]Registre_Maintenance_combine '!A:D,4,FALSE),"Non trouvé")</f>
        <v>Non trouvé</v>
      </c>
      <c r="I1451" t="str">
        <f>IFERROR(VLOOKUP(Logs_reseau[[#This Row],[Cell_ID]],'[1]Registre_Maintenance_combine '!A:E,5,FALSE),"Non trouvé")</f>
        <v>Non trouvé</v>
      </c>
      <c r="J1451" t="str">
        <f>IFERROR(VLOOKUP(Logs_reseau[[#This Row],[Cell_ID]],'[1]Registre_Maintenance_combine '!A:F,6,FALSE),"Non trouvé")</f>
        <v>Non trouvé</v>
      </c>
    </row>
    <row r="1452" spans="1:10" x14ac:dyDescent="0.25">
      <c r="A1452" t="str">
        <f>IFERROR(VLOOKUP(Logs_reseau[[#This Row],[Cell_ID]],'[1]Registre_Maintenance_combine '!A:B,2,FALSE),"Non trouvé")</f>
        <v>Maniema</v>
      </c>
      <c r="B1452" t="s">
        <v>118</v>
      </c>
      <c r="C1452" s="3">
        <v>45212.417361111111</v>
      </c>
      <c r="D1452" s="11">
        <f>Logs_reseau[[#This Row],[Duree_Panne_Min]]/1440</f>
        <v>3.8194444444444448E-2</v>
      </c>
      <c r="E1452">
        <v>55</v>
      </c>
      <c r="F1452" t="s">
        <v>2</v>
      </c>
      <c r="G1452">
        <f>IFERROR(VLOOKUP(Logs_reseau[[#This Row],[Cell_ID]],'[1]Registre_Maintenance_combine '!A:C,3,FALSE),"Non trouvé")</f>
        <v>1.938083</v>
      </c>
      <c r="H1452">
        <f>IFERROR(VLOOKUP(Logs_reseau[[#This Row],[Cell_ID]],'[1]Registre_Maintenance_combine '!A:D,4,FALSE),"Non trouvé")</f>
        <v>28.25281</v>
      </c>
      <c r="I1452" t="str">
        <f>IFERROR(VLOOKUP(Logs_reseau[[#This Row],[Cell_ID]],'[1]Registre_Maintenance_combine '!A:E,5,FALSE),"Non trouvé")</f>
        <v>4G</v>
      </c>
      <c r="J1452" t="str">
        <f>IFERROR(VLOOKUP(Logs_reseau[[#This Row],[Cell_ID]],'[1]Registre_Maintenance_combine '!A:F,6,FALSE),"Non trouvé")</f>
        <v>Nokia</v>
      </c>
    </row>
    <row r="1453" spans="1:10" x14ac:dyDescent="0.25">
      <c r="A1453" t="str">
        <f>IFERROR(VLOOKUP(Logs_reseau[[#This Row],[Cell_ID]],'[1]Registre_Maintenance_combine '!A:B,2,FALSE),"Non trouvé")</f>
        <v>Non trouvé</v>
      </c>
      <c r="B1453" t="s">
        <v>562</v>
      </c>
      <c r="C1453" s="3">
        <v>45220.368055555555</v>
      </c>
      <c r="D1453" s="11">
        <f>Logs_reseau[[#This Row],[Duree_Panne_Min]]/1440</f>
        <v>3.2638888888888891E-2</v>
      </c>
      <c r="E1453">
        <v>47</v>
      </c>
      <c r="F1453" t="s">
        <v>4</v>
      </c>
      <c r="G1453" t="str">
        <f>IFERROR(VLOOKUP(Logs_reseau[[#This Row],[Cell_ID]],'[1]Registre_Maintenance_combine '!A:C,3,FALSE),"Non trouvé")</f>
        <v>Non trouvé</v>
      </c>
      <c r="H1453" t="str">
        <f>IFERROR(VLOOKUP(Logs_reseau[[#This Row],[Cell_ID]],'[1]Registre_Maintenance_combine '!A:D,4,FALSE),"Non trouvé")</f>
        <v>Non trouvé</v>
      </c>
      <c r="I1453" t="str">
        <f>IFERROR(VLOOKUP(Logs_reseau[[#This Row],[Cell_ID]],'[1]Registre_Maintenance_combine '!A:E,5,FALSE),"Non trouvé")</f>
        <v>Non trouvé</v>
      </c>
      <c r="J1453" t="str">
        <f>IFERROR(VLOOKUP(Logs_reseau[[#This Row],[Cell_ID]],'[1]Registre_Maintenance_combine '!A:F,6,FALSE),"Non trouvé")</f>
        <v>Non trouvé</v>
      </c>
    </row>
    <row r="1454" spans="1:10" x14ac:dyDescent="0.25">
      <c r="A1454" t="str">
        <f>IFERROR(VLOOKUP(Logs_reseau[[#This Row],[Cell_ID]],'[1]Registre_Maintenance_combine '!A:B,2,FALSE),"Non trouvé")</f>
        <v>Equateur</v>
      </c>
      <c r="B1454" t="s">
        <v>563</v>
      </c>
      <c r="C1454" s="3">
        <v>45214.634722222225</v>
      </c>
      <c r="D1454" s="11">
        <f>Logs_reseau[[#This Row],[Duree_Panne_Min]]/1440</f>
        <v>7.7777777777777779E-2</v>
      </c>
      <c r="E1454">
        <v>112</v>
      </c>
      <c r="F1454" t="s">
        <v>2</v>
      </c>
      <c r="G1454">
        <f>IFERROR(VLOOKUP(Logs_reseau[[#This Row],[Cell_ID]],'[1]Registre_Maintenance_combine '!A:C,3,FALSE),"Non trouvé")</f>
        <v>-6.1490739999999997</v>
      </c>
      <c r="H1454">
        <f>IFERROR(VLOOKUP(Logs_reseau[[#This Row],[Cell_ID]],'[1]Registre_Maintenance_combine '!A:D,4,FALSE),"Non trouvé")</f>
        <v>23.304411000000002</v>
      </c>
      <c r="I1454" t="str">
        <f>IFERROR(VLOOKUP(Logs_reseau[[#This Row],[Cell_ID]],'[1]Registre_Maintenance_combine '!A:E,5,FALSE),"Non trouvé")</f>
        <v>5G</v>
      </c>
      <c r="J1454" t="str">
        <f>IFERROR(VLOOKUP(Logs_reseau[[#This Row],[Cell_ID]],'[1]Registre_Maintenance_combine '!A:F,6,FALSE),"Non trouvé")</f>
        <v>ZTE</v>
      </c>
    </row>
    <row r="1455" spans="1:10" x14ac:dyDescent="0.25">
      <c r="A1455" t="str">
        <f>IFERROR(VLOOKUP(Logs_reseau[[#This Row],[Cell_ID]],'[1]Registre_Maintenance_combine '!A:B,2,FALSE),"Non trouvé")</f>
        <v>Sankuru</v>
      </c>
      <c r="B1455" t="s">
        <v>444</v>
      </c>
      <c r="C1455" s="3">
        <v>45211.724999999999</v>
      </c>
      <c r="D1455" s="11">
        <f>Logs_reseau[[#This Row],[Duree_Panne_Min]]/1440</f>
        <v>5.8333333333333334E-2</v>
      </c>
      <c r="E1455">
        <v>84</v>
      </c>
      <c r="F1455" t="s">
        <v>4</v>
      </c>
      <c r="G1455">
        <f>IFERROR(VLOOKUP(Logs_reseau[[#This Row],[Cell_ID]],'[1]Registre_Maintenance_combine '!A:C,3,FALSE),"Non trouvé")</f>
        <v>-1.4110389999999999</v>
      </c>
      <c r="H1455">
        <f>IFERROR(VLOOKUP(Logs_reseau[[#This Row],[Cell_ID]],'[1]Registre_Maintenance_combine '!A:D,4,FALSE),"Non trouvé")</f>
        <v>21.261644</v>
      </c>
      <c r="I1455" t="str">
        <f>IFERROR(VLOOKUP(Logs_reseau[[#This Row],[Cell_ID]],'[1]Registre_Maintenance_combine '!A:E,5,FALSE),"Non trouvé")</f>
        <v>4G</v>
      </c>
      <c r="J1455" t="str">
        <f>IFERROR(VLOOKUP(Logs_reseau[[#This Row],[Cell_ID]],'[1]Registre_Maintenance_combine '!A:F,6,FALSE),"Non trouvé")</f>
        <v>ZTE</v>
      </c>
    </row>
    <row r="1456" spans="1:10" x14ac:dyDescent="0.25">
      <c r="A1456" t="str">
        <f>IFERROR(VLOOKUP(Logs_reseau[[#This Row],[Cell_ID]],'[1]Registre_Maintenance_combine '!A:B,2,FALSE),"Non trouvé")</f>
        <v>Nord-Ubangi</v>
      </c>
      <c r="B1456" t="s">
        <v>564</v>
      </c>
      <c r="C1456" s="3">
        <v>45213.238194444442</v>
      </c>
      <c r="D1456" s="11">
        <f>Logs_reseau[[#This Row],[Duree_Panne_Min]]/1440</f>
        <v>3.6805555555555557E-2</v>
      </c>
      <c r="E1456">
        <v>53</v>
      </c>
      <c r="F1456" t="s">
        <v>2</v>
      </c>
      <c r="G1456">
        <f>IFERROR(VLOOKUP(Logs_reseau[[#This Row],[Cell_ID]],'[1]Registre_Maintenance_combine '!A:C,3,FALSE),"Non trouvé")</f>
        <v>-8.4985189999999999</v>
      </c>
      <c r="H1456">
        <f>IFERROR(VLOOKUP(Logs_reseau[[#This Row],[Cell_ID]],'[1]Registre_Maintenance_combine '!A:D,4,FALSE),"Non trouvé")</f>
        <v>12.929456999999999</v>
      </c>
      <c r="I1456" t="str">
        <f>IFERROR(VLOOKUP(Logs_reseau[[#This Row],[Cell_ID]],'[1]Registre_Maintenance_combine '!A:E,5,FALSE),"Non trouvé")</f>
        <v>4G</v>
      </c>
      <c r="J1456" t="str">
        <f>IFERROR(VLOOKUP(Logs_reseau[[#This Row],[Cell_ID]],'[1]Registre_Maintenance_combine '!A:F,6,FALSE),"Non trouvé")</f>
        <v>Ericsson</v>
      </c>
    </row>
    <row r="1457" spans="1:10" x14ac:dyDescent="0.25">
      <c r="A1457" t="str">
        <f>IFERROR(VLOOKUP(Logs_reseau[[#This Row],[Cell_ID]],'[1]Registre_Maintenance_combine '!A:B,2,FALSE),"Non trouvé")</f>
        <v>Non trouvé</v>
      </c>
      <c r="B1457" t="s">
        <v>261</v>
      </c>
      <c r="C1457" s="3">
        <v>45218.89166666667</v>
      </c>
      <c r="D1457" s="11">
        <f>Logs_reseau[[#This Row],[Duree_Panne_Min]]/1440</f>
        <v>7.4305555555555555E-2</v>
      </c>
      <c r="E1457">
        <v>107</v>
      </c>
      <c r="F1457" t="s">
        <v>2</v>
      </c>
      <c r="G1457" t="str">
        <f>IFERROR(VLOOKUP(Logs_reseau[[#This Row],[Cell_ID]],'[1]Registre_Maintenance_combine '!A:C,3,FALSE),"Non trouvé")</f>
        <v>Non trouvé</v>
      </c>
      <c r="H1457" t="str">
        <f>IFERROR(VLOOKUP(Logs_reseau[[#This Row],[Cell_ID]],'[1]Registre_Maintenance_combine '!A:D,4,FALSE),"Non trouvé")</f>
        <v>Non trouvé</v>
      </c>
      <c r="I1457" t="str">
        <f>IFERROR(VLOOKUP(Logs_reseau[[#This Row],[Cell_ID]],'[1]Registre_Maintenance_combine '!A:E,5,FALSE),"Non trouvé")</f>
        <v>Non trouvé</v>
      </c>
      <c r="J1457" t="str">
        <f>IFERROR(VLOOKUP(Logs_reseau[[#This Row],[Cell_ID]],'[1]Registre_Maintenance_combine '!A:F,6,FALSE),"Non trouvé")</f>
        <v>Non trouvé</v>
      </c>
    </row>
    <row r="1458" spans="1:10" x14ac:dyDescent="0.25">
      <c r="A1458" t="str">
        <f>IFERROR(VLOOKUP(Logs_reseau[[#This Row],[Cell_ID]],'[1]Registre_Maintenance_combine '!A:B,2,FALSE),"Non trouvé")</f>
        <v>Haut-Uele</v>
      </c>
      <c r="B1458" t="s">
        <v>184</v>
      </c>
      <c r="C1458" s="3">
        <v>45202.804166666669</v>
      </c>
      <c r="D1458" s="11">
        <f>Logs_reseau[[#This Row],[Duree_Panne_Min]]/1440</f>
        <v>7.9861111111111105E-2</v>
      </c>
      <c r="E1458">
        <v>115</v>
      </c>
      <c r="F1458" t="s">
        <v>2</v>
      </c>
      <c r="G1458">
        <f>IFERROR(VLOOKUP(Logs_reseau[[#This Row],[Cell_ID]],'[1]Registre_Maintenance_combine '!A:C,3,FALSE),"Non trouvé")</f>
        <v>1.2391989999999999</v>
      </c>
      <c r="H1458">
        <f>IFERROR(VLOOKUP(Logs_reseau[[#This Row],[Cell_ID]],'[1]Registre_Maintenance_combine '!A:D,4,FALSE),"Non trouvé")</f>
        <v>15.386718999999999</v>
      </c>
      <c r="I1458" t="str">
        <f>IFERROR(VLOOKUP(Logs_reseau[[#This Row],[Cell_ID]],'[1]Registre_Maintenance_combine '!A:E,5,FALSE),"Non trouvé")</f>
        <v>5G</v>
      </c>
      <c r="J1458" t="str">
        <f>IFERROR(VLOOKUP(Logs_reseau[[#This Row],[Cell_ID]],'[1]Registre_Maintenance_combine '!A:F,6,FALSE),"Non trouvé")</f>
        <v>ZTE</v>
      </c>
    </row>
    <row r="1459" spans="1:10" x14ac:dyDescent="0.25">
      <c r="A1459" t="str">
        <f>IFERROR(VLOOKUP(Logs_reseau[[#This Row],[Cell_ID]],'[1]Registre_Maintenance_combine '!A:B,2,FALSE),"Non trouvé")</f>
        <v>Non trouvé</v>
      </c>
      <c r="B1459" t="s">
        <v>565</v>
      </c>
      <c r="C1459" s="3">
        <v>45225.322916666664</v>
      </c>
      <c r="D1459" s="11">
        <f>Logs_reseau[[#This Row],[Duree_Panne_Min]]/1440</f>
        <v>3.2638888888888891E-2</v>
      </c>
      <c r="E1459">
        <v>47</v>
      </c>
      <c r="F1459" t="s">
        <v>4</v>
      </c>
      <c r="G1459" t="str">
        <f>IFERROR(VLOOKUP(Logs_reseau[[#This Row],[Cell_ID]],'[1]Registre_Maintenance_combine '!A:C,3,FALSE),"Non trouvé")</f>
        <v>Non trouvé</v>
      </c>
      <c r="H1459" t="str">
        <f>IFERROR(VLOOKUP(Logs_reseau[[#This Row],[Cell_ID]],'[1]Registre_Maintenance_combine '!A:D,4,FALSE),"Non trouvé")</f>
        <v>Non trouvé</v>
      </c>
      <c r="I1459" t="str">
        <f>IFERROR(VLOOKUP(Logs_reseau[[#This Row],[Cell_ID]],'[1]Registre_Maintenance_combine '!A:E,5,FALSE),"Non trouvé")</f>
        <v>Non trouvé</v>
      </c>
      <c r="J1459" t="str">
        <f>IFERROR(VLOOKUP(Logs_reseau[[#This Row],[Cell_ID]],'[1]Registre_Maintenance_combine '!A:F,6,FALSE),"Non trouvé")</f>
        <v>Non trouvé</v>
      </c>
    </row>
    <row r="1460" spans="1:10" x14ac:dyDescent="0.25">
      <c r="A1460" t="str">
        <f>IFERROR(VLOOKUP(Logs_reseau[[#This Row],[Cell_ID]],'[1]Registre_Maintenance_combine '!A:B,2,FALSE),"Non trouvé")</f>
        <v>Non trouvé</v>
      </c>
      <c r="B1460" t="s">
        <v>566</v>
      </c>
      <c r="C1460" s="3">
        <v>45202.095138888886</v>
      </c>
      <c r="D1460" s="11">
        <f>Logs_reseau[[#This Row],[Duree_Panne_Min]]/1440</f>
        <v>4.2361111111111113E-2</v>
      </c>
      <c r="E1460">
        <v>61</v>
      </c>
      <c r="F1460" t="s">
        <v>2</v>
      </c>
      <c r="G1460" t="str">
        <f>IFERROR(VLOOKUP(Logs_reseau[[#This Row],[Cell_ID]],'[1]Registre_Maintenance_combine '!A:C,3,FALSE),"Non trouvé")</f>
        <v>Non trouvé</v>
      </c>
      <c r="H1460" t="str">
        <f>IFERROR(VLOOKUP(Logs_reseau[[#This Row],[Cell_ID]],'[1]Registre_Maintenance_combine '!A:D,4,FALSE),"Non trouvé")</f>
        <v>Non trouvé</v>
      </c>
      <c r="I1460" t="str">
        <f>IFERROR(VLOOKUP(Logs_reseau[[#This Row],[Cell_ID]],'[1]Registre_Maintenance_combine '!A:E,5,FALSE),"Non trouvé")</f>
        <v>Non trouvé</v>
      </c>
      <c r="J1460" t="str">
        <f>IFERROR(VLOOKUP(Logs_reseau[[#This Row],[Cell_ID]],'[1]Registre_Maintenance_combine '!A:F,6,FALSE),"Non trouvé")</f>
        <v>Non trouvé</v>
      </c>
    </row>
    <row r="1461" spans="1:10" x14ac:dyDescent="0.25">
      <c r="A1461" t="str">
        <f>IFERROR(VLOOKUP(Logs_reseau[[#This Row],[Cell_ID]],'[1]Registre_Maintenance_combine '!A:B,2,FALSE),"Non trouvé")</f>
        <v>Nord-Kivu</v>
      </c>
      <c r="B1461" t="s">
        <v>336</v>
      </c>
      <c r="C1461" s="3">
        <v>45204.53125</v>
      </c>
      <c r="D1461" s="11">
        <f>Logs_reseau[[#This Row],[Duree_Panne_Min]]/1440</f>
        <v>3.2638888888888891E-2</v>
      </c>
      <c r="E1461">
        <v>47</v>
      </c>
      <c r="F1461" t="s">
        <v>1</v>
      </c>
      <c r="G1461">
        <f>IFERROR(VLOOKUP(Logs_reseau[[#This Row],[Cell_ID]],'[1]Registre_Maintenance_combine '!A:C,3,FALSE),"Non trouvé")</f>
        <v>-12.336202</v>
      </c>
      <c r="H1461">
        <f>IFERROR(VLOOKUP(Logs_reseau[[#This Row],[Cell_ID]],'[1]Registre_Maintenance_combine '!A:D,4,FALSE),"Non trouvé")</f>
        <v>13.693683999999999</v>
      </c>
      <c r="I1461" t="str">
        <f>IFERROR(VLOOKUP(Logs_reseau[[#This Row],[Cell_ID]],'[1]Registre_Maintenance_combine '!A:E,5,FALSE),"Non trouvé")</f>
        <v>5G</v>
      </c>
      <c r="J1461" t="str">
        <f>IFERROR(VLOOKUP(Logs_reseau[[#This Row],[Cell_ID]],'[1]Registre_Maintenance_combine '!A:F,6,FALSE),"Non trouvé")</f>
        <v>Huawei</v>
      </c>
    </row>
    <row r="1462" spans="1:10" x14ac:dyDescent="0.25">
      <c r="A1462" t="str">
        <f>IFERROR(VLOOKUP(Logs_reseau[[#This Row],[Cell_ID]],'[1]Registre_Maintenance_combine '!A:B,2,FALSE),"Non trouvé")</f>
        <v>Non trouvé</v>
      </c>
      <c r="B1462" t="s">
        <v>30</v>
      </c>
      <c r="C1462" s="3">
        <v>45225.839583333334</v>
      </c>
      <c r="D1462" s="11">
        <f>Logs_reseau[[#This Row],[Duree_Panne_Min]]/1440</f>
        <v>4.1666666666666664E-2</v>
      </c>
      <c r="E1462">
        <v>60</v>
      </c>
      <c r="F1462" t="s">
        <v>4</v>
      </c>
      <c r="G1462" t="str">
        <f>IFERROR(VLOOKUP(Logs_reseau[[#This Row],[Cell_ID]],'[1]Registre_Maintenance_combine '!A:C,3,FALSE),"Non trouvé")</f>
        <v>Non trouvé</v>
      </c>
      <c r="H1462" t="str">
        <f>IFERROR(VLOOKUP(Logs_reseau[[#This Row],[Cell_ID]],'[1]Registre_Maintenance_combine '!A:D,4,FALSE),"Non trouvé")</f>
        <v>Non trouvé</v>
      </c>
      <c r="I1462" t="str">
        <f>IFERROR(VLOOKUP(Logs_reseau[[#This Row],[Cell_ID]],'[1]Registre_Maintenance_combine '!A:E,5,FALSE),"Non trouvé")</f>
        <v>Non trouvé</v>
      </c>
      <c r="J1462" t="str">
        <f>IFERROR(VLOOKUP(Logs_reseau[[#This Row],[Cell_ID]],'[1]Registre_Maintenance_combine '!A:F,6,FALSE),"Non trouvé")</f>
        <v>Non trouvé</v>
      </c>
    </row>
    <row r="1463" spans="1:10" x14ac:dyDescent="0.25">
      <c r="A1463" t="str">
        <f>IFERROR(VLOOKUP(Logs_reseau[[#This Row],[Cell_ID]],'[1]Registre_Maintenance_combine '!A:B,2,FALSE),"Non trouvé")</f>
        <v>Non trouvé</v>
      </c>
      <c r="B1463" t="s">
        <v>470</v>
      </c>
      <c r="C1463" s="3">
        <v>45223.513888888891</v>
      </c>
      <c r="D1463" s="11">
        <f>Logs_reseau[[#This Row],[Duree_Panne_Min]]/1440</f>
        <v>7.5694444444444439E-2</v>
      </c>
      <c r="E1463">
        <v>109</v>
      </c>
      <c r="F1463" t="s">
        <v>2</v>
      </c>
      <c r="G1463" t="str">
        <f>IFERROR(VLOOKUP(Logs_reseau[[#This Row],[Cell_ID]],'[1]Registre_Maintenance_combine '!A:C,3,FALSE),"Non trouvé")</f>
        <v>Non trouvé</v>
      </c>
      <c r="H1463" t="str">
        <f>IFERROR(VLOOKUP(Logs_reseau[[#This Row],[Cell_ID]],'[1]Registre_Maintenance_combine '!A:D,4,FALSE),"Non trouvé")</f>
        <v>Non trouvé</v>
      </c>
      <c r="I1463" t="str">
        <f>IFERROR(VLOOKUP(Logs_reseau[[#This Row],[Cell_ID]],'[1]Registre_Maintenance_combine '!A:E,5,FALSE),"Non trouvé")</f>
        <v>Non trouvé</v>
      </c>
      <c r="J1463" t="str">
        <f>IFERROR(VLOOKUP(Logs_reseau[[#This Row],[Cell_ID]],'[1]Registre_Maintenance_combine '!A:F,6,FALSE),"Non trouvé")</f>
        <v>Non trouvé</v>
      </c>
    </row>
    <row r="1464" spans="1:10" x14ac:dyDescent="0.25">
      <c r="A1464" t="str">
        <f>IFERROR(VLOOKUP(Logs_reseau[[#This Row],[Cell_ID]],'[1]Registre_Maintenance_combine '!A:B,2,FALSE),"Non trouvé")</f>
        <v>Sud-Kivu</v>
      </c>
      <c r="B1464" t="s">
        <v>458</v>
      </c>
      <c r="C1464" s="3">
        <v>45211.128472222219</v>
      </c>
      <c r="D1464" s="11">
        <f>Logs_reseau[[#This Row],[Duree_Panne_Min]]/1440</f>
        <v>7.6388888888888895E-2</v>
      </c>
      <c r="E1464">
        <v>110</v>
      </c>
      <c r="F1464" t="s">
        <v>2</v>
      </c>
      <c r="G1464">
        <f>IFERROR(VLOOKUP(Logs_reseau[[#This Row],[Cell_ID]],'[1]Registre_Maintenance_combine '!A:C,3,FALSE),"Non trouvé")</f>
        <v>2.453036</v>
      </c>
      <c r="H1464">
        <f>IFERROR(VLOOKUP(Logs_reseau[[#This Row],[Cell_ID]],'[1]Registre_Maintenance_combine '!A:D,4,FALSE),"Non trouvé")</f>
        <v>20.555484</v>
      </c>
      <c r="I1464" t="str">
        <f>IFERROR(VLOOKUP(Logs_reseau[[#This Row],[Cell_ID]],'[1]Registre_Maintenance_combine '!A:E,5,FALSE),"Non trouvé")</f>
        <v>5G</v>
      </c>
      <c r="J1464" t="str">
        <f>IFERROR(VLOOKUP(Logs_reseau[[#This Row],[Cell_ID]],'[1]Registre_Maintenance_combine '!A:F,6,FALSE),"Non trouvé")</f>
        <v>Ericsson</v>
      </c>
    </row>
    <row r="1465" spans="1:10" x14ac:dyDescent="0.25">
      <c r="A1465" t="str">
        <f>IFERROR(VLOOKUP(Logs_reseau[[#This Row],[Cell_ID]],'[1]Registre_Maintenance_combine '!A:B,2,FALSE),"Non trouvé")</f>
        <v>Non trouvé</v>
      </c>
      <c r="B1465" t="s">
        <v>436</v>
      </c>
      <c r="C1465" s="3">
        <v>45200.394444444442</v>
      </c>
      <c r="D1465" s="11">
        <f>Logs_reseau[[#This Row],[Duree_Panne_Min]]/1440</f>
        <v>7.9861111111111105E-2</v>
      </c>
      <c r="E1465">
        <v>115</v>
      </c>
      <c r="F1465" t="s">
        <v>2</v>
      </c>
      <c r="G1465" t="str">
        <f>IFERROR(VLOOKUP(Logs_reseau[[#This Row],[Cell_ID]],'[1]Registre_Maintenance_combine '!A:C,3,FALSE),"Non trouvé")</f>
        <v>Non trouvé</v>
      </c>
      <c r="H1465" t="str">
        <f>IFERROR(VLOOKUP(Logs_reseau[[#This Row],[Cell_ID]],'[1]Registre_Maintenance_combine '!A:D,4,FALSE),"Non trouvé")</f>
        <v>Non trouvé</v>
      </c>
      <c r="I1465" t="str">
        <f>IFERROR(VLOOKUP(Logs_reseau[[#This Row],[Cell_ID]],'[1]Registre_Maintenance_combine '!A:E,5,FALSE),"Non trouvé")</f>
        <v>Non trouvé</v>
      </c>
      <c r="J1465" t="str">
        <f>IFERROR(VLOOKUP(Logs_reseau[[#This Row],[Cell_ID]],'[1]Registre_Maintenance_combine '!A:F,6,FALSE),"Non trouvé")</f>
        <v>Non trouvé</v>
      </c>
    </row>
    <row r="1466" spans="1:10" x14ac:dyDescent="0.25">
      <c r="A1466" t="str">
        <f>IFERROR(VLOOKUP(Logs_reseau[[#This Row],[Cell_ID]],'[1]Registre_Maintenance_combine '!A:B,2,FALSE),"Non trouvé")</f>
        <v>Ituri</v>
      </c>
      <c r="B1466" t="s">
        <v>567</v>
      </c>
      <c r="C1466" s="3">
        <v>45211.337500000001</v>
      </c>
      <c r="D1466" s="11">
        <f>Logs_reseau[[#This Row],[Duree_Panne_Min]]/1440</f>
        <v>6.1111111111111109E-2</v>
      </c>
      <c r="E1466">
        <v>88</v>
      </c>
      <c r="F1466" t="s">
        <v>2</v>
      </c>
      <c r="G1466">
        <f>IFERROR(VLOOKUP(Logs_reseau[[#This Row],[Cell_ID]],'[1]Registre_Maintenance_combine '!A:C,3,FALSE),"Non trouvé")</f>
        <v>-12.364127999999999</v>
      </c>
      <c r="H1466">
        <f>IFERROR(VLOOKUP(Logs_reseau[[#This Row],[Cell_ID]],'[1]Registre_Maintenance_combine '!A:D,4,FALSE),"Non trouvé")</f>
        <v>19.576150999999999</v>
      </c>
      <c r="I1466" t="str">
        <f>IFERROR(VLOOKUP(Logs_reseau[[#This Row],[Cell_ID]],'[1]Registre_Maintenance_combine '!A:E,5,FALSE),"Non trouvé")</f>
        <v>3G</v>
      </c>
      <c r="J1466" t="str">
        <f>IFERROR(VLOOKUP(Logs_reseau[[#This Row],[Cell_ID]],'[1]Registre_Maintenance_combine '!A:F,6,FALSE),"Non trouvé")</f>
        <v>Nokia</v>
      </c>
    </row>
    <row r="1467" spans="1:10" x14ac:dyDescent="0.25">
      <c r="A1467" t="str">
        <f>IFERROR(VLOOKUP(Logs_reseau[[#This Row],[Cell_ID]],'[1]Registre_Maintenance_combine '!A:B,2,FALSE),"Non trouvé")</f>
        <v>Non trouvé</v>
      </c>
      <c r="B1467" t="s">
        <v>568</v>
      </c>
      <c r="C1467" s="3">
        <v>45204.09097222222</v>
      </c>
      <c r="D1467" s="11">
        <f>Logs_reseau[[#This Row],[Duree_Panne_Min]]/1440</f>
        <v>5.6250000000000001E-2</v>
      </c>
      <c r="E1467">
        <v>81</v>
      </c>
      <c r="F1467" t="s">
        <v>1</v>
      </c>
      <c r="G1467" t="str">
        <f>IFERROR(VLOOKUP(Logs_reseau[[#This Row],[Cell_ID]],'[1]Registre_Maintenance_combine '!A:C,3,FALSE),"Non trouvé")</f>
        <v>Non trouvé</v>
      </c>
      <c r="H1467" t="str">
        <f>IFERROR(VLOOKUP(Logs_reseau[[#This Row],[Cell_ID]],'[1]Registre_Maintenance_combine '!A:D,4,FALSE),"Non trouvé")</f>
        <v>Non trouvé</v>
      </c>
      <c r="I1467" t="str">
        <f>IFERROR(VLOOKUP(Logs_reseau[[#This Row],[Cell_ID]],'[1]Registre_Maintenance_combine '!A:E,5,FALSE),"Non trouvé")</f>
        <v>Non trouvé</v>
      </c>
      <c r="J1467" t="str">
        <f>IFERROR(VLOOKUP(Logs_reseau[[#This Row],[Cell_ID]],'[1]Registre_Maintenance_combine '!A:F,6,FALSE),"Non trouvé")</f>
        <v>Non trouvé</v>
      </c>
    </row>
    <row r="1468" spans="1:10" x14ac:dyDescent="0.25">
      <c r="A1468" t="str">
        <f>IFERROR(VLOOKUP(Logs_reseau[[#This Row],[Cell_ID]],'[1]Registre_Maintenance_combine '!A:B,2,FALSE),"Non trouvé")</f>
        <v>Non trouvé</v>
      </c>
      <c r="B1468" t="s">
        <v>569</v>
      </c>
      <c r="C1468" s="3">
        <v>45213.607638888891</v>
      </c>
      <c r="D1468" s="11">
        <f>Logs_reseau[[#This Row],[Duree_Panne_Min]]/1440</f>
        <v>1.5277777777777777E-2</v>
      </c>
      <c r="E1468">
        <v>22</v>
      </c>
      <c r="F1468" t="s">
        <v>1</v>
      </c>
      <c r="G1468" t="str">
        <f>IFERROR(VLOOKUP(Logs_reseau[[#This Row],[Cell_ID]],'[1]Registre_Maintenance_combine '!A:C,3,FALSE),"Non trouvé")</f>
        <v>Non trouvé</v>
      </c>
      <c r="H1468" t="str">
        <f>IFERROR(VLOOKUP(Logs_reseau[[#This Row],[Cell_ID]],'[1]Registre_Maintenance_combine '!A:D,4,FALSE),"Non trouvé")</f>
        <v>Non trouvé</v>
      </c>
      <c r="I1468" t="str">
        <f>IFERROR(VLOOKUP(Logs_reseau[[#This Row],[Cell_ID]],'[1]Registre_Maintenance_combine '!A:E,5,FALSE),"Non trouvé")</f>
        <v>Non trouvé</v>
      </c>
      <c r="J1468" t="str">
        <f>IFERROR(VLOOKUP(Logs_reseau[[#This Row],[Cell_ID]],'[1]Registre_Maintenance_combine '!A:F,6,FALSE),"Non trouvé")</f>
        <v>Non trouvé</v>
      </c>
    </row>
    <row r="1469" spans="1:10" x14ac:dyDescent="0.25">
      <c r="A1469" t="str">
        <f>IFERROR(VLOOKUP(Logs_reseau[[#This Row],[Cell_ID]],'[1]Registre_Maintenance_combine '!A:B,2,FALSE),"Non trouvé")</f>
        <v>Non trouvé</v>
      </c>
      <c r="B1469" t="s">
        <v>361</v>
      </c>
      <c r="C1469" s="3">
        <v>45217.68472222222</v>
      </c>
      <c r="D1469" s="11">
        <f>Logs_reseau[[#This Row],[Duree_Panne_Min]]/1440</f>
        <v>2.9861111111111113E-2</v>
      </c>
      <c r="E1469">
        <v>43</v>
      </c>
      <c r="F1469" t="s">
        <v>1</v>
      </c>
      <c r="G1469" t="str">
        <f>IFERROR(VLOOKUP(Logs_reseau[[#This Row],[Cell_ID]],'[1]Registre_Maintenance_combine '!A:C,3,FALSE),"Non trouvé")</f>
        <v>Non trouvé</v>
      </c>
      <c r="H1469" t="str">
        <f>IFERROR(VLOOKUP(Logs_reseau[[#This Row],[Cell_ID]],'[1]Registre_Maintenance_combine '!A:D,4,FALSE),"Non trouvé")</f>
        <v>Non trouvé</v>
      </c>
      <c r="I1469" t="str">
        <f>IFERROR(VLOOKUP(Logs_reseau[[#This Row],[Cell_ID]],'[1]Registre_Maintenance_combine '!A:E,5,FALSE),"Non trouvé")</f>
        <v>Non trouvé</v>
      </c>
      <c r="J1469" t="str">
        <f>IFERROR(VLOOKUP(Logs_reseau[[#This Row],[Cell_ID]],'[1]Registre_Maintenance_combine '!A:F,6,FALSE),"Non trouvé")</f>
        <v>Non trouvé</v>
      </c>
    </row>
    <row r="1470" spans="1:10" x14ac:dyDescent="0.25">
      <c r="A1470" t="str">
        <f>IFERROR(VLOOKUP(Logs_reseau[[#This Row],[Cell_ID]],'[1]Registre_Maintenance_combine '!A:B,2,FALSE),"Non trouvé")</f>
        <v>Non trouvé</v>
      </c>
      <c r="B1470" t="s">
        <v>570</v>
      </c>
      <c r="C1470" s="3">
        <v>45203.003472222219</v>
      </c>
      <c r="D1470" s="11">
        <f>Logs_reseau[[#This Row],[Duree_Panne_Min]]/1440</f>
        <v>3.1944444444444442E-2</v>
      </c>
      <c r="E1470">
        <v>46</v>
      </c>
      <c r="F1470" t="s">
        <v>2</v>
      </c>
      <c r="G1470" t="str">
        <f>IFERROR(VLOOKUP(Logs_reseau[[#This Row],[Cell_ID]],'[1]Registre_Maintenance_combine '!A:C,3,FALSE),"Non trouvé")</f>
        <v>Non trouvé</v>
      </c>
      <c r="H1470" t="str">
        <f>IFERROR(VLOOKUP(Logs_reseau[[#This Row],[Cell_ID]],'[1]Registre_Maintenance_combine '!A:D,4,FALSE),"Non trouvé")</f>
        <v>Non trouvé</v>
      </c>
      <c r="I1470" t="str">
        <f>IFERROR(VLOOKUP(Logs_reseau[[#This Row],[Cell_ID]],'[1]Registre_Maintenance_combine '!A:E,5,FALSE),"Non trouvé")</f>
        <v>Non trouvé</v>
      </c>
      <c r="J1470" t="str">
        <f>IFERROR(VLOOKUP(Logs_reseau[[#This Row],[Cell_ID]],'[1]Registre_Maintenance_combine '!A:F,6,FALSE),"Non trouvé")</f>
        <v>Non trouvé</v>
      </c>
    </row>
    <row r="1471" spans="1:10" x14ac:dyDescent="0.25">
      <c r="A1471" t="str">
        <f>IFERROR(VLOOKUP(Logs_reseau[[#This Row],[Cell_ID]],'[1]Registre_Maintenance_combine '!A:B,2,FALSE),"Non trouvé")</f>
        <v>Non trouvé</v>
      </c>
      <c r="B1471" t="s">
        <v>571</v>
      </c>
      <c r="C1471" s="3">
        <v>45211.711805555555</v>
      </c>
      <c r="D1471" s="11">
        <f>Logs_reseau[[#This Row],[Duree_Panne_Min]]/1440</f>
        <v>5.6944444444444443E-2</v>
      </c>
      <c r="E1471">
        <v>82</v>
      </c>
      <c r="F1471" t="s">
        <v>2</v>
      </c>
      <c r="G1471" t="str">
        <f>IFERROR(VLOOKUP(Logs_reseau[[#This Row],[Cell_ID]],'[1]Registre_Maintenance_combine '!A:C,3,FALSE),"Non trouvé")</f>
        <v>Non trouvé</v>
      </c>
      <c r="H1471" t="str">
        <f>IFERROR(VLOOKUP(Logs_reseau[[#This Row],[Cell_ID]],'[1]Registre_Maintenance_combine '!A:D,4,FALSE),"Non trouvé")</f>
        <v>Non trouvé</v>
      </c>
      <c r="I1471" t="str">
        <f>IFERROR(VLOOKUP(Logs_reseau[[#This Row],[Cell_ID]],'[1]Registre_Maintenance_combine '!A:E,5,FALSE),"Non trouvé")</f>
        <v>Non trouvé</v>
      </c>
      <c r="J1471" t="str">
        <f>IFERROR(VLOOKUP(Logs_reseau[[#This Row],[Cell_ID]],'[1]Registre_Maintenance_combine '!A:F,6,FALSE),"Non trouvé")</f>
        <v>Non trouvé</v>
      </c>
    </row>
    <row r="1472" spans="1:10" x14ac:dyDescent="0.25">
      <c r="A1472" t="str">
        <f>IFERROR(VLOOKUP(Logs_reseau[[#This Row],[Cell_ID]],'[1]Registre_Maintenance_combine '!A:B,2,FALSE),"Non trouvé")</f>
        <v>Sud-Kivu</v>
      </c>
      <c r="B1472" t="s">
        <v>230</v>
      </c>
      <c r="C1472" s="3">
        <v>45219.826388888891</v>
      </c>
      <c r="D1472" s="11">
        <f>Logs_reseau[[#This Row],[Duree_Panne_Min]]/1440</f>
        <v>6.458333333333334E-2</v>
      </c>
      <c r="E1472">
        <v>93</v>
      </c>
      <c r="F1472" t="s">
        <v>4</v>
      </c>
      <c r="G1472">
        <f>IFERROR(VLOOKUP(Logs_reseau[[#This Row],[Cell_ID]],'[1]Registre_Maintenance_combine '!A:C,3,FALSE),"Non trouvé")</f>
        <v>4.2493650000000001</v>
      </c>
      <c r="H1472">
        <f>IFERROR(VLOOKUP(Logs_reseau[[#This Row],[Cell_ID]],'[1]Registre_Maintenance_combine '!A:D,4,FALSE),"Non trouvé")</f>
        <v>28.355039999999999</v>
      </c>
      <c r="I1472" t="str">
        <f>IFERROR(VLOOKUP(Logs_reseau[[#This Row],[Cell_ID]],'[1]Registre_Maintenance_combine '!A:E,5,FALSE),"Non trouvé")</f>
        <v>3G</v>
      </c>
      <c r="J1472" t="str">
        <f>IFERROR(VLOOKUP(Logs_reseau[[#This Row],[Cell_ID]],'[1]Registre_Maintenance_combine '!A:F,6,FALSE),"Non trouvé")</f>
        <v>ZTE</v>
      </c>
    </row>
    <row r="1473" spans="1:10" x14ac:dyDescent="0.25">
      <c r="A1473" t="str">
        <f>IFERROR(VLOOKUP(Logs_reseau[[#This Row],[Cell_ID]],'[1]Registre_Maintenance_combine '!A:B,2,FALSE),"Non trouvé")</f>
        <v>Non trouvé</v>
      </c>
      <c r="B1473" t="s">
        <v>572</v>
      </c>
      <c r="C1473" s="3">
        <v>45210.5</v>
      </c>
      <c r="D1473" s="11">
        <f>Logs_reseau[[#This Row],[Duree_Panne_Min]]/1440</f>
        <v>2.0833333333333332E-2</v>
      </c>
      <c r="E1473">
        <v>30</v>
      </c>
      <c r="F1473" t="s">
        <v>1</v>
      </c>
      <c r="G1473" t="str">
        <f>IFERROR(VLOOKUP(Logs_reseau[[#This Row],[Cell_ID]],'[1]Registre_Maintenance_combine '!A:C,3,FALSE),"Non trouvé")</f>
        <v>Non trouvé</v>
      </c>
      <c r="H1473" t="str">
        <f>IFERROR(VLOOKUP(Logs_reseau[[#This Row],[Cell_ID]],'[1]Registre_Maintenance_combine '!A:D,4,FALSE),"Non trouvé")</f>
        <v>Non trouvé</v>
      </c>
      <c r="I1473" t="str">
        <f>IFERROR(VLOOKUP(Logs_reseau[[#This Row],[Cell_ID]],'[1]Registre_Maintenance_combine '!A:E,5,FALSE),"Non trouvé")</f>
        <v>Non trouvé</v>
      </c>
      <c r="J1473" t="str">
        <f>IFERROR(VLOOKUP(Logs_reseau[[#This Row],[Cell_ID]],'[1]Registre_Maintenance_combine '!A:F,6,FALSE),"Non trouvé")</f>
        <v>Non trouvé</v>
      </c>
    </row>
    <row r="1474" spans="1:10" x14ac:dyDescent="0.25">
      <c r="A1474" t="str">
        <f>IFERROR(VLOOKUP(Logs_reseau[[#This Row],[Cell_ID]],'[1]Registre_Maintenance_combine '!A:B,2,FALSE),"Non trouvé")</f>
        <v>Ituri</v>
      </c>
      <c r="B1474" t="s">
        <v>72</v>
      </c>
      <c r="C1474" s="3">
        <v>45209.558333333334</v>
      </c>
      <c r="D1474" s="11">
        <f>Logs_reseau[[#This Row],[Duree_Panne_Min]]/1440</f>
        <v>4.583333333333333E-2</v>
      </c>
      <c r="E1474">
        <v>66</v>
      </c>
      <c r="F1474" t="s">
        <v>2</v>
      </c>
      <c r="G1474">
        <f>IFERROR(VLOOKUP(Logs_reseau[[#This Row],[Cell_ID]],'[1]Registre_Maintenance_combine '!A:C,3,FALSE),"Non trouvé")</f>
        <v>-12.595355</v>
      </c>
      <c r="H1474">
        <f>IFERROR(VLOOKUP(Logs_reseau[[#This Row],[Cell_ID]],'[1]Registre_Maintenance_combine '!A:D,4,FALSE),"Non trouvé")</f>
        <v>17.897442000000002</v>
      </c>
      <c r="I1474" t="str">
        <f>IFERROR(VLOOKUP(Logs_reseau[[#This Row],[Cell_ID]],'[1]Registre_Maintenance_combine '!A:E,5,FALSE),"Non trouvé")</f>
        <v>4G</v>
      </c>
      <c r="J1474" t="str">
        <f>IFERROR(VLOOKUP(Logs_reseau[[#This Row],[Cell_ID]],'[1]Registre_Maintenance_combine '!A:F,6,FALSE),"Non trouvé")</f>
        <v>Huawei</v>
      </c>
    </row>
    <row r="1475" spans="1:10" x14ac:dyDescent="0.25">
      <c r="A1475" t="str">
        <f>IFERROR(VLOOKUP(Logs_reseau[[#This Row],[Cell_ID]],'[1]Registre_Maintenance_combine '!A:B,2,FALSE),"Non trouvé")</f>
        <v>Tshopo</v>
      </c>
      <c r="B1475" t="s">
        <v>573</v>
      </c>
      <c r="C1475" s="3">
        <v>45224.115277777775</v>
      </c>
      <c r="D1475" s="11">
        <f>Logs_reseau[[#This Row],[Duree_Panne_Min]]/1440</f>
        <v>3.125E-2</v>
      </c>
      <c r="E1475">
        <v>45</v>
      </c>
      <c r="F1475" t="s">
        <v>2</v>
      </c>
      <c r="G1475">
        <f>IFERROR(VLOOKUP(Logs_reseau[[#This Row],[Cell_ID]],'[1]Registre_Maintenance_combine '!A:C,3,FALSE),"Non trouvé")</f>
        <v>-11.265995</v>
      </c>
      <c r="H1475">
        <f>IFERROR(VLOOKUP(Logs_reseau[[#This Row],[Cell_ID]],'[1]Registre_Maintenance_combine '!A:D,4,FALSE),"Non trouvé")</f>
        <v>28.935514999999999</v>
      </c>
      <c r="I1475" t="str">
        <f>IFERROR(VLOOKUP(Logs_reseau[[#This Row],[Cell_ID]],'[1]Registre_Maintenance_combine '!A:E,5,FALSE),"Non trouvé")</f>
        <v>4G</v>
      </c>
      <c r="J1475" t="str">
        <f>IFERROR(VLOOKUP(Logs_reseau[[#This Row],[Cell_ID]],'[1]Registre_Maintenance_combine '!A:F,6,FALSE),"Non trouvé")</f>
        <v>Ericsson</v>
      </c>
    </row>
    <row r="1476" spans="1:10" x14ac:dyDescent="0.25">
      <c r="A1476" t="str">
        <f>IFERROR(VLOOKUP(Logs_reseau[[#This Row],[Cell_ID]],'[1]Registre_Maintenance_combine '!A:B,2,FALSE),"Non trouvé")</f>
        <v>Lualaba</v>
      </c>
      <c r="B1476" t="s">
        <v>557</v>
      </c>
      <c r="C1476" s="3">
        <v>45228.747916666667</v>
      </c>
      <c r="D1476" s="11">
        <f>Logs_reseau[[#This Row],[Duree_Panne_Min]]/1440</f>
        <v>1.8749999999999999E-2</v>
      </c>
      <c r="E1476">
        <v>27</v>
      </c>
      <c r="F1476" t="s">
        <v>1</v>
      </c>
      <c r="G1476">
        <f>IFERROR(VLOOKUP(Logs_reseau[[#This Row],[Cell_ID]],'[1]Registre_Maintenance_combine '!A:C,3,FALSE),"Non trouvé")</f>
        <v>-8.0301989999999996</v>
      </c>
      <c r="H1476">
        <f>IFERROR(VLOOKUP(Logs_reseau[[#This Row],[Cell_ID]],'[1]Registre_Maintenance_combine '!A:D,4,FALSE),"Non trouvé")</f>
        <v>24.122495000000001</v>
      </c>
      <c r="I1476" t="str">
        <f>IFERROR(VLOOKUP(Logs_reseau[[#This Row],[Cell_ID]],'[1]Registre_Maintenance_combine '!A:E,5,FALSE),"Non trouvé")</f>
        <v>5G</v>
      </c>
      <c r="J1476" t="str">
        <f>IFERROR(VLOOKUP(Logs_reseau[[#This Row],[Cell_ID]],'[1]Registre_Maintenance_combine '!A:F,6,FALSE),"Non trouvé")</f>
        <v>ZTE</v>
      </c>
    </row>
    <row r="1477" spans="1:10" x14ac:dyDescent="0.25">
      <c r="A1477" t="str">
        <f>IFERROR(VLOOKUP(Logs_reseau[[#This Row],[Cell_ID]],'[1]Registre_Maintenance_combine '!A:B,2,FALSE),"Non trouvé")</f>
        <v>Non trouvé</v>
      </c>
      <c r="B1477" t="s">
        <v>548</v>
      </c>
      <c r="C1477" s="3">
        <v>45207.772916666669</v>
      </c>
      <c r="D1477" s="11">
        <f>Logs_reseau[[#This Row],[Duree_Panne_Min]]/1440</f>
        <v>3.8194444444444448E-2</v>
      </c>
      <c r="E1477">
        <v>55</v>
      </c>
      <c r="F1477" t="s">
        <v>2</v>
      </c>
      <c r="G1477" t="str">
        <f>IFERROR(VLOOKUP(Logs_reseau[[#This Row],[Cell_ID]],'[1]Registre_Maintenance_combine '!A:C,3,FALSE),"Non trouvé")</f>
        <v>Non trouvé</v>
      </c>
      <c r="H1477" t="str">
        <f>IFERROR(VLOOKUP(Logs_reseau[[#This Row],[Cell_ID]],'[1]Registre_Maintenance_combine '!A:D,4,FALSE),"Non trouvé")</f>
        <v>Non trouvé</v>
      </c>
      <c r="I1477" t="str">
        <f>IFERROR(VLOOKUP(Logs_reseau[[#This Row],[Cell_ID]],'[1]Registre_Maintenance_combine '!A:E,5,FALSE),"Non trouvé")</f>
        <v>Non trouvé</v>
      </c>
      <c r="J1477" t="str">
        <f>IFERROR(VLOOKUP(Logs_reseau[[#This Row],[Cell_ID]],'[1]Registre_Maintenance_combine '!A:F,6,FALSE),"Non trouvé")</f>
        <v>Non trouvé</v>
      </c>
    </row>
    <row r="1478" spans="1:10" x14ac:dyDescent="0.25">
      <c r="A1478" t="str">
        <f>IFERROR(VLOOKUP(Logs_reseau[[#This Row],[Cell_ID]],'[1]Registre_Maintenance_combine '!A:B,2,FALSE),"Non trouvé")</f>
        <v>Non trouvé</v>
      </c>
      <c r="B1478" t="s">
        <v>548</v>
      </c>
      <c r="C1478" s="3">
        <v>45205.89166666667</v>
      </c>
      <c r="D1478" s="11">
        <f>Logs_reseau[[#This Row],[Duree_Panne_Min]]/1440</f>
        <v>3.125E-2</v>
      </c>
      <c r="E1478">
        <v>45</v>
      </c>
      <c r="F1478" t="s">
        <v>2</v>
      </c>
      <c r="G1478" t="str">
        <f>IFERROR(VLOOKUP(Logs_reseau[[#This Row],[Cell_ID]],'[1]Registre_Maintenance_combine '!A:C,3,FALSE),"Non trouvé")</f>
        <v>Non trouvé</v>
      </c>
      <c r="H1478" t="str">
        <f>IFERROR(VLOOKUP(Logs_reseau[[#This Row],[Cell_ID]],'[1]Registre_Maintenance_combine '!A:D,4,FALSE),"Non trouvé")</f>
        <v>Non trouvé</v>
      </c>
      <c r="I1478" t="str">
        <f>IFERROR(VLOOKUP(Logs_reseau[[#This Row],[Cell_ID]],'[1]Registre_Maintenance_combine '!A:E,5,FALSE),"Non trouvé")</f>
        <v>Non trouvé</v>
      </c>
      <c r="J1478" t="str">
        <f>IFERROR(VLOOKUP(Logs_reseau[[#This Row],[Cell_ID]],'[1]Registre_Maintenance_combine '!A:F,6,FALSE),"Non trouvé")</f>
        <v>Non trouvé</v>
      </c>
    </row>
    <row r="1479" spans="1:10" x14ac:dyDescent="0.25">
      <c r="A1479" t="str">
        <f>IFERROR(VLOOKUP(Logs_reseau[[#This Row],[Cell_ID]],'[1]Registre_Maintenance_combine '!A:B,2,FALSE),"Non trouvé")</f>
        <v>Sud-Ubangi</v>
      </c>
      <c r="B1479" t="s">
        <v>574</v>
      </c>
      <c r="C1479" s="3">
        <v>45205.178472222222</v>
      </c>
      <c r="D1479" s="11">
        <f>Logs_reseau[[#This Row],[Duree_Panne_Min]]/1440</f>
        <v>2.9166666666666667E-2</v>
      </c>
      <c r="E1479">
        <v>42</v>
      </c>
      <c r="F1479" t="s">
        <v>2</v>
      </c>
      <c r="G1479">
        <f>IFERROR(VLOOKUP(Logs_reseau[[#This Row],[Cell_ID]],'[1]Registre_Maintenance_combine '!A:C,3,FALSE),"Non trouvé")</f>
        <v>3.611561</v>
      </c>
      <c r="H1479">
        <f>IFERROR(VLOOKUP(Logs_reseau[[#This Row],[Cell_ID]],'[1]Registre_Maintenance_combine '!A:D,4,FALSE),"Non trouvé")</f>
        <v>17.725974999999998</v>
      </c>
      <c r="I1479" t="str">
        <f>IFERROR(VLOOKUP(Logs_reseau[[#This Row],[Cell_ID]],'[1]Registre_Maintenance_combine '!A:E,5,FALSE),"Non trouvé")</f>
        <v>3G</v>
      </c>
      <c r="J1479" t="str">
        <f>IFERROR(VLOOKUP(Logs_reseau[[#This Row],[Cell_ID]],'[1]Registre_Maintenance_combine '!A:F,6,FALSE),"Non trouvé")</f>
        <v>ZTE</v>
      </c>
    </row>
    <row r="1480" spans="1:10" x14ac:dyDescent="0.25">
      <c r="A1480" t="str">
        <f>IFERROR(VLOOKUP(Logs_reseau[[#This Row],[Cell_ID]],'[1]Registre_Maintenance_combine '!A:B,2,FALSE),"Non trouvé")</f>
        <v>Kinshasa</v>
      </c>
      <c r="B1480" t="s">
        <v>524</v>
      </c>
      <c r="C1480" s="3">
        <v>45209.354861111111</v>
      </c>
      <c r="D1480" s="11">
        <f>Logs_reseau[[#This Row],[Duree_Panne_Min]]/1440</f>
        <v>6.8750000000000006E-2</v>
      </c>
      <c r="E1480">
        <v>99</v>
      </c>
      <c r="F1480" t="s">
        <v>2</v>
      </c>
      <c r="G1480">
        <f>IFERROR(VLOOKUP(Logs_reseau[[#This Row],[Cell_ID]],'[1]Registre_Maintenance_combine '!A:C,3,FALSE),"Non trouvé")</f>
        <v>1.3006180000000001</v>
      </c>
      <c r="H1480">
        <f>IFERROR(VLOOKUP(Logs_reseau[[#This Row],[Cell_ID]],'[1]Registre_Maintenance_combine '!A:D,4,FALSE),"Non trouvé")</f>
        <v>29.060970999999999</v>
      </c>
      <c r="I1480" t="str">
        <f>IFERROR(VLOOKUP(Logs_reseau[[#This Row],[Cell_ID]],'[1]Registre_Maintenance_combine '!A:E,5,FALSE),"Non trouvé")</f>
        <v>3G</v>
      </c>
      <c r="J1480" t="str">
        <f>IFERROR(VLOOKUP(Logs_reseau[[#This Row],[Cell_ID]],'[1]Registre_Maintenance_combine '!A:F,6,FALSE),"Non trouvé")</f>
        <v>ZTE</v>
      </c>
    </row>
    <row r="1481" spans="1:10" x14ac:dyDescent="0.25">
      <c r="A1481" t="str">
        <f>IFERROR(VLOOKUP(Logs_reseau[[#This Row],[Cell_ID]],'[1]Registre_Maintenance_combine '!A:B,2,FALSE),"Non trouvé")</f>
        <v>Non trouvé</v>
      </c>
      <c r="B1481" t="s">
        <v>575</v>
      </c>
      <c r="C1481" s="3">
        <v>45204.090277777781</v>
      </c>
      <c r="D1481" s="11">
        <f>Logs_reseau[[#This Row],[Duree_Panne_Min]]/1440</f>
        <v>6.458333333333334E-2</v>
      </c>
      <c r="E1481">
        <v>93</v>
      </c>
      <c r="F1481" t="s">
        <v>4</v>
      </c>
      <c r="G1481" t="str">
        <f>IFERROR(VLOOKUP(Logs_reseau[[#This Row],[Cell_ID]],'[1]Registre_Maintenance_combine '!A:C,3,FALSE),"Non trouvé")</f>
        <v>Non trouvé</v>
      </c>
      <c r="H1481" t="str">
        <f>IFERROR(VLOOKUP(Logs_reseau[[#This Row],[Cell_ID]],'[1]Registre_Maintenance_combine '!A:D,4,FALSE),"Non trouvé")</f>
        <v>Non trouvé</v>
      </c>
      <c r="I1481" t="str">
        <f>IFERROR(VLOOKUP(Logs_reseau[[#This Row],[Cell_ID]],'[1]Registre_Maintenance_combine '!A:E,5,FALSE),"Non trouvé")</f>
        <v>Non trouvé</v>
      </c>
      <c r="J1481" t="str">
        <f>IFERROR(VLOOKUP(Logs_reseau[[#This Row],[Cell_ID]],'[1]Registre_Maintenance_combine '!A:F,6,FALSE),"Non trouvé")</f>
        <v>Non trouvé</v>
      </c>
    </row>
    <row r="1482" spans="1:10" x14ac:dyDescent="0.25">
      <c r="A1482" t="str">
        <f>IFERROR(VLOOKUP(Logs_reseau[[#This Row],[Cell_ID]],'[1]Registre_Maintenance_combine '!A:B,2,FALSE),"Non trouvé")</f>
        <v>Maniema</v>
      </c>
      <c r="B1482" t="s">
        <v>144</v>
      </c>
      <c r="C1482" s="3">
        <v>45213.351388888892</v>
      </c>
      <c r="D1482" s="11">
        <f>Logs_reseau[[#This Row],[Duree_Panne_Min]]/1440</f>
        <v>5.9722222222222225E-2</v>
      </c>
      <c r="E1482">
        <v>86</v>
      </c>
      <c r="F1482" t="s">
        <v>4</v>
      </c>
      <c r="G1482">
        <f>IFERROR(VLOOKUP(Logs_reseau[[#This Row],[Cell_ID]],'[1]Registre_Maintenance_combine '!A:C,3,FALSE),"Non trouvé")</f>
        <v>4.8228650000000002</v>
      </c>
      <c r="H1482">
        <f>IFERROR(VLOOKUP(Logs_reseau[[#This Row],[Cell_ID]],'[1]Registre_Maintenance_combine '!A:D,4,FALSE),"Non trouvé")</f>
        <v>30.555627000000001</v>
      </c>
      <c r="I1482" t="str">
        <f>IFERROR(VLOOKUP(Logs_reseau[[#This Row],[Cell_ID]],'[1]Registre_Maintenance_combine '!A:E,5,FALSE),"Non trouvé")</f>
        <v>4G</v>
      </c>
      <c r="J1482" t="str">
        <f>IFERROR(VLOOKUP(Logs_reseau[[#This Row],[Cell_ID]],'[1]Registre_Maintenance_combine '!A:F,6,FALSE),"Non trouvé")</f>
        <v>Huawei</v>
      </c>
    </row>
    <row r="1483" spans="1:10" x14ac:dyDescent="0.25">
      <c r="A1483" t="str">
        <f>IFERROR(VLOOKUP(Logs_reseau[[#This Row],[Cell_ID]],'[1]Registre_Maintenance_combine '!A:B,2,FALSE),"Non trouvé")</f>
        <v>Nord-Ubangi</v>
      </c>
      <c r="B1483" t="s">
        <v>403</v>
      </c>
      <c r="C1483" s="3">
        <v>45209.659722222219</v>
      </c>
      <c r="D1483" s="11">
        <f>Logs_reseau[[#This Row],[Duree_Panne_Min]]/1440</f>
        <v>4.6527777777777779E-2</v>
      </c>
      <c r="E1483">
        <v>67</v>
      </c>
      <c r="F1483" t="s">
        <v>4</v>
      </c>
      <c r="G1483">
        <f>IFERROR(VLOOKUP(Logs_reseau[[#This Row],[Cell_ID]],'[1]Registre_Maintenance_combine '!A:C,3,FALSE),"Non trouvé")</f>
        <v>-7.7839049999999999</v>
      </c>
      <c r="H1483">
        <f>IFERROR(VLOOKUP(Logs_reseau[[#This Row],[Cell_ID]],'[1]Registre_Maintenance_combine '!A:D,4,FALSE),"Non trouvé")</f>
        <v>14.114281999999999</v>
      </c>
      <c r="I1483" t="str">
        <f>IFERROR(VLOOKUP(Logs_reseau[[#This Row],[Cell_ID]],'[1]Registre_Maintenance_combine '!A:E,5,FALSE),"Non trouvé")</f>
        <v>3G</v>
      </c>
      <c r="J1483" t="str">
        <f>IFERROR(VLOOKUP(Logs_reseau[[#This Row],[Cell_ID]],'[1]Registre_Maintenance_combine '!A:F,6,FALSE),"Non trouvé")</f>
        <v>ZTE</v>
      </c>
    </row>
    <row r="1484" spans="1:10" x14ac:dyDescent="0.25">
      <c r="A1484" t="str">
        <f>IFERROR(VLOOKUP(Logs_reseau[[#This Row],[Cell_ID]],'[1]Registre_Maintenance_combine '!A:B,2,FALSE),"Non trouvé")</f>
        <v>Non trouvé</v>
      </c>
      <c r="B1484" t="s">
        <v>576</v>
      </c>
      <c r="C1484" s="3">
        <v>45202.469444444447</v>
      </c>
      <c r="D1484" s="11">
        <f>Logs_reseau[[#This Row],[Duree_Panne_Min]]/1440</f>
        <v>5.4166666666666669E-2</v>
      </c>
      <c r="E1484">
        <v>78</v>
      </c>
      <c r="F1484" t="s">
        <v>1</v>
      </c>
      <c r="G1484" t="str">
        <f>IFERROR(VLOOKUP(Logs_reseau[[#This Row],[Cell_ID]],'[1]Registre_Maintenance_combine '!A:C,3,FALSE),"Non trouvé")</f>
        <v>Non trouvé</v>
      </c>
      <c r="H1484" t="str">
        <f>IFERROR(VLOOKUP(Logs_reseau[[#This Row],[Cell_ID]],'[1]Registre_Maintenance_combine '!A:D,4,FALSE),"Non trouvé")</f>
        <v>Non trouvé</v>
      </c>
      <c r="I1484" t="str">
        <f>IFERROR(VLOOKUP(Logs_reseau[[#This Row],[Cell_ID]],'[1]Registre_Maintenance_combine '!A:E,5,FALSE),"Non trouvé")</f>
        <v>Non trouvé</v>
      </c>
      <c r="J1484" t="str">
        <f>IFERROR(VLOOKUP(Logs_reseau[[#This Row],[Cell_ID]],'[1]Registre_Maintenance_combine '!A:F,6,FALSE),"Non trouvé")</f>
        <v>Non trouvé</v>
      </c>
    </row>
    <row r="1485" spans="1:10" x14ac:dyDescent="0.25">
      <c r="A1485" t="str">
        <f>IFERROR(VLOOKUP(Logs_reseau[[#This Row],[Cell_ID]],'[1]Registre_Maintenance_combine '!A:B,2,FALSE),"Non trouvé")</f>
        <v>Haut-Uele</v>
      </c>
      <c r="B1485" t="s">
        <v>311</v>
      </c>
      <c r="C1485" s="3">
        <v>45230.323611111111</v>
      </c>
      <c r="D1485" s="11">
        <f>Logs_reseau[[#This Row],[Duree_Panne_Min]]/1440</f>
        <v>7.2916666666666671E-2</v>
      </c>
      <c r="E1485">
        <v>105</v>
      </c>
      <c r="F1485" t="s">
        <v>1</v>
      </c>
      <c r="G1485">
        <f>IFERROR(VLOOKUP(Logs_reseau[[#This Row],[Cell_ID]],'[1]Registre_Maintenance_combine '!A:C,3,FALSE),"Non trouvé")</f>
        <v>-4.4351269999999996</v>
      </c>
      <c r="H1485">
        <f>IFERROR(VLOOKUP(Logs_reseau[[#This Row],[Cell_ID]],'[1]Registre_Maintenance_combine '!A:D,4,FALSE),"Non trouvé")</f>
        <v>24.825467</v>
      </c>
      <c r="I1485" t="str">
        <f>IFERROR(VLOOKUP(Logs_reseau[[#This Row],[Cell_ID]],'[1]Registre_Maintenance_combine '!A:E,5,FALSE),"Non trouvé")</f>
        <v>4G</v>
      </c>
      <c r="J1485" t="str">
        <f>IFERROR(VLOOKUP(Logs_reseau[[#This Row],[Cell_ID]],'[1]Registre_Maintenance_combine '!A:F,6,FALSE),"Non trouvé")</f>
        <v>Huawei</v>
      </c>
    </row>
    <row r="1486" spans="1:10" x14ac:dyDescent="0.25">
      <c r="A1486" t="str">
        <f>IFERROR(VLOOKUP(Logs_reseau[[#This Row],[Cell_ID]],'[1]Registre_Maintenance_combine '!A:B,2,FALSE),"Non trouvé")</f>
        <v>Non trouvé</v>
      </c>
      <c r="B1486" t="s">
        <v>338</v>
      </c>
      <c r="C1486" s="3">
        <v>45220.651388888888</v>
      </c>
      <c r="D1486" s="11">
        <f>Logs_reseau[[#This Row],[Duree_Panne_Min]]/1440</f>
        <v>2.5000000000000001E-2</v>
      </c>
      <c r="E1486">
        <v>36</v>
      </c>
      <c r="F1486" t="s">
        <v>1</v>
      </c>
      <c r="G1486" t="str">
        <f>IFERROR(VLOOKUP(Logs_reseau[[#This Row],[Cell_ID]],'[1]Registre_Maintenance_combine '!A:C,3,FALSE),"Non trouvé")</f>
        <v>Non trouvé</v>
      </c>
      <c r="H1486" t="str">
        <f>IFERROR(VLOOKUP(Logs_reseau[[#This Row],[Cell_ID]],'[1]Registre_Maintenance_combine '!A:D,4,FALSE),"Non trouvé")</f>
        <v>Non trouvé</v>
      </c>
      <c r="I1486" t="str">
        <f>IFERROR(VLOOKUP(Logs_reseau[[#This Row],[Cell_ID]],'[1]Registre_Maintenance_combine '!A:E,5,FALSE),"Non trouvé")</f>
        <v>Non trouvé</v>
      </c>
      <c r="J1486" t="str">
        <f>IFERROR(VLOOKUP(Logs_reseau[[#This Row],[Cell_ID]],'[1]Registre_Maintenance_combine '!A:F,6,FALSE),"Non trouvé")</f>
        <v>Non trouvé</v>
      </c>
    </row>
    <row r="1487" spans="1:10" x14ac:dyDescent="0.25">
      <c r="A1487" t="str">
        <f>IFERROR(VLOOKUP(Logs_reseau[[#This Row],[Cell_ID]],'[1]Registre_Maintenance_combine '!A:B,2,FALSE),"Non trouvé")</f>
        <v>Nord-Kivu</v>
      </c>
      <c r="B1487" t="s">
        <v>299</v>
      </c>
      <c r="C1487" s="3">
        <v>45207.599305555559</v>
      </c>
      <c r="D1487" s="11">
        <f>Logs_reseau[[#This Row],[Duree_Panne_Min]]/1440</f>
        <v>4.0972222222222222E-2</v>
      </c>
      <c r="E1487">
        <v>59</v>
      </c>
      <c r="F1487" t="s">
        <v>1</v>
      </c>
      <c r="G1487">
        <f>IFERROR(VLOOKUP(Logs_reseau[[#This Row],[Cell_ID]],'[1]Registre_Maintenance_combine '!A:C,3,FALSE),"Non trouvé")</f>
        <v>-10.25074</v>
      </c>
      <c r="H1487">
        <f>IFERROR(VLOOKUP(Logs_reseau[[#This Row],[Cell_ID]],'[1]Registre_Maintenance_combine '!A:D,4,FALSE),"Non trouvé")</f>
        <v>26.099086</v>
      </c>
      <c r="I1487" t="str">
        <f>IFERROR(VLOOKUP(Logs_reseau[[#This Row],[Cell_ID]],'[1]Registre_Maintenance_combine '!A:E,5,FALSE),"Non trouvé")</f>
        <v>4G</v>
      </c>
      <c r="J1487" t="str">
        <f>IFERROR(VLOOKUP(Logs_reseau[[#This Row],[Cell_ID]],'[1]Registre_Maintenance_combine '!A:F,6,FALSE),"Non trouvé")</f>
        <v>Huawei</v>
      </c>
    </row>
    <row r="1488" spans="1:10" x14ac:dyDescent="0.25">
      <c r="A1488" t="str">
        <f>IFERROR(VLOOKUP(Logs_reseau[[#This Row],[Cell_ID]],'[1]Registre_Maintenance_combine '!A:B,2,FALSE),"Non trouvé")</f>
        <v>Non trouvé</v>
      </c>
      <c r="B1488" t="s">
        <v>577</v>
      </c>
      <c r="C1488" s="3">
        <v>45212.617361111108</v>
      </c>
      <c r="D1488" s="11">
        <f>Logs_reseau[[#This Row],[Duree_Panne_Min]]/1440</f>
        <v>1.9444444444444445E-2</v>
      </c>
      <c r="E1488">
        <v>28</v>
      </c>
      <c r="F1488" t="s">
        <v>1</v>
      </c>
      <c r="G1488" t="str">
        <f>IFERROR(VLOOKUP(Logs_reseau[[#This Row],[Cell_ID]],'[1]Registre_Maintenance_combine '!A:C,3,FALSE),"Non trouvé")</f>
        <v>Non trouvé</v>
      </c>
      <c r="H1488" t="str">
        <f>IFERROR(VLOOKUP(Logs_reseau[[#This Row],[Cell_ID]],'[1]Registre_Maintenance_combine '!A:D,4,FALSE),"Non trouvé")</f>
        <v>Non trouvé</v>
      </c>
      <c r="I1488" t="str">
        <f>IFERROR(VLOOKUP(Logs_reseau[[#This Row],[Cell_ID]],'[1]Registre_Maintenance_combine '!A:E,5,FALSE),"Non trouvé")</f>
        <v>Non trouvé</v>
      </c>
      <c r="J1488" t="str">
        <f>IFERROR(VLOOKUP(Logs_reseau[[#This Row],[Cell_ID]],'[1]Registre_Maintenance_combine '!A:F,6,FALSE),"Non trouvé")</f>
        <v>Non trouvé</v>
      </c>
    </row>
    <row r="1489" spans="1:10" x14ac:dyDescent="0.25">
      <c r="A1489" t="str">
        <f>IFERROR(VLOOKUP(Logs_reseau[[#This Row],[Cell_ID]],'[1]Registre_Maintenance_combine '!A:B,2,FALSE),"Non trouvé")</f>
        <v>Tshuapa</v>
      </c>
      <c r="B1489" t="s">
        <v>519</v>
      </c>
      <c r="C1489" s="3">
        <v>45221.780555555553</v>
      </c>
      <c r="D1489" s="11">
        <f>Logs_reseau[[#This Row],[Duree_Panne_Min]]/1440</f>
        <v>4.6527777777777779E-2</v>
      </c>
      <c r="E1489">
        <v>67</v>
      </c>
      <c r="F1489" t="s">
        <v>1</v>
      </c>
      <c r="G1489">
        <f>IFERROR(VLOOKUP(Logs_reseau[[#This Row],[Cell_ID]],'[1]Registre_Maintenance_combine '!A:C,3,FALSE),"Non trouvé")</f>
        <v>-7.789663</v>
      </c>
      <c r="H1489">
        <f>IFERROR(VLOOKUP(Logs_reseau[[#This Row],[Cell_ID]],'[1]Registre_Maintenance_combine '!A:D,4,FALSE),"Non trouvé")</f>
        <v>26.529098000000001</v>
      </c>
      <c r="I1489" t="str">
        <f>IFERROR(VLOOKUP(Logs_reseau[[#This Row],[Cell_ID]],'[1]Registre_Maintenance_combine '!A:E,5,FALSE),"Non trouvé")</f>
        <v>5G</v>
      </c>
      <c r="J1489" t="str">
        <f>IFERROR(VLOOKUP(Logs_reseau[[#This Row],[Cell_ID]],'[1]Registre_Maintenance_combine '!A:F,6,FALSE),"Non trouvé")</f>
        <v>Nokia</v>
      </c>
    </row>
    <row r="1490" spans="1:10" x14ac:dyDescent="0.25">
      <c r="A1490" t="str">
        <f>IFERROR(VLOOKUP(Logs_reseau[[#This Row],[Cell_ID]],'[1]Registre_Maintenance_combine '!A:B,2,FALSE),"Non trouvé")</f>
        <v>Non trouvé</v>
      </c>
      <c r="B1490" t="s">
        <v>578</v>
      </c>
      <c r="C1490" s="3">
        <v>45216.181944444441</v>
      </c>
      <c r="D1490" s="11">
        <f>Logs_reseau[[#This Row],[Duree_Panne_Min]]/1440</f>
        <v>5.9722222222222225E-2</v>
      </c>
      <c r="E1490">
        <v>86</v>
      </c>
      <c r="F1490" t="s">
        <v>2</v>
      </c>
      <c r="G1490" t="str">
        <f>IFERROR(VLOOKUP(Logs_reseau[[#This Row],[Cell_ID]],'[1]Registre_Maintenance_combine '!A:C,3,FALSE),"Non trouvé")</f>
        <v>Non trouvé</v>
      </c>
      <c r="H1490" t="str">
        <f>IFERROR(VLOOKUP(Logs_reseau[[#This Row],[Cell_ID]],'[1]Registre_Maintenance_combine '!A:D,4,FALSE),"Non trouvé")</f>
        <v>Non trouvé</v>
      </c>
      <c r="I1490" t="str">
        <f>IFERROR(VLOOKUP(Logs_reseau[[#This Row],[Cell_ID]],'[1]Registre_Maintenance_combine '!A:E,5,FALSE),"Non trouvé")</f>
        <v>Non trouvé</v>
      </c>
      <c r="J1490" t="str">
        <f>IFERROR(VLOOKUP(Logs_reseau[[#This Row],[Cell_ID]],'[1]Registre_Maintenance_combine '!A:F,6,FALSE),"Non trouvé")</f>
        <v>Non trouvé</v>
      </c>
    </row>
    <row r="1491" spans="1:10" x14ac:dyDescent="0.25">
      <c r="A1491" t="str">
        <f>IFERROR(VLOOKUP(Logs_reseau[[#This Row],[Cell_ID]],'[1]Registre_Maintenance_combine '!A:B,2,FALSE),"Non trouvé")</f>
        <v>Non trouvé</v>
      </c>
      <c r="B1491" t="s">
        <v>172</v>
      </c>
      <c r="C1491" s="3">
        <v>45200.629166666666</v>
      </c>
      <c r="D1491" s="11">
        <f>Logs_reseau[[#This Row],[Duree_Panne_Min]]/1440</f>
        <v>5.0694444444444445E-2</v>
      </c>
      <c r="E1491">
        <v>73</v>
      </c>
      <c r="F1491" t="s">
        <v>2</v>
      </c>
      <c r="G1491" t="str">
        <f>IFERROR(VLOOKUP(Logs_reseau[[#This Row],[Cell_ID]],'[1]Registre_Maintenance_combine '!A:C,3,FALSE),"Non trouvé")</f>
        <v>Non trouvé</v>
      </c>
      <c r="H1491" t="str">
        <f>IFERROR(VLOOKUP(Logs_reseau[[#This Row],[Cell_ID]],'[1]Registre_Maintenance_combine '!A:D,4,FALSE),"Non trouvé")</f>
        <v>Non trouvé</v>
      </c>
      <c r="I1491" t="str">
        <f>IFERROR(VLOOKUP(Logs_reseau[[#This Row],[Cell_ID]],'[1]Registre_Maintenance_combine '!A:E,5,FALSE),"Non trouvé")</f>
        <v>Non trouvé</v>
      </c>
      <c r="J1491" t="str">
        <f>IFERROR(VLOOKUP(Logs_reseau[[#This Row],[Cell_ID]],'[1]Registre_Maintenance_combine '!A:F,6,FALSE),"Non trouvé")</f>
        <v>Non trouvé</v>
      </c>
    </row>
    <row r="1492" spans="1:10" x14ac:dyDescent="0.25">
      <c r="A1492" t="str">
        <f>IFERROR(VLOOKUP(Logs_reseau[[#This Row],[Cell_ID]],'[1]Registre_Maintenance_combine '!A:B,2,FALSE),"Non trouvé")</f>
        <v>Non trouvé</v>
      </c>
      <c r="B1492" t="s">
        <v>579</v>
      </c>
      <c r="C1492" s="3">
        <v>45209.581944444442</v>
      </c>
      <c r="D1492" s="11">
        <f>Logs_reseau[[#This Row],[Duree_Panne_Min]]/1440</f>
        <v>6.458333333333334E-2</v>
      </c>
      <c r="E1492">
        <v>93</v>
      </c>
      <c r="F1492" t="s">
        <v>2</v>
      </c>
      <c r="G1492" t="str">
        <f>IFERROR(VLOOKUP(Logs_reseau[[#This Row],[Cell_ID]],'[1]Registre_Maintenance_combine '!A:C,3,FALSE),"Non trouvé")</f>
        <v>Non trouvé</v>
      </c>
      <c r="H1492" t="str">
        <f>IFERROR(VLOOKUP(Logs_reseau[[#This Row],[Cell_ID]],'[1]Registre_Maintenance_combine '!A:D,4,FALSE),"Non trouvé")</f>
        <v>Non trouvé</v>
      </c>
      <c r="I1492" t="str">
        <f>IFERROR(VLOOKUP(Logs_reseau[[#This Row],[Cell_ID]],'[1]Registre_Maintenance_combine '!A:E,5,FALSE),"Non trouvé")</f>
        <v>Non trouvé</v>
      </c>
      <c r="J1492" t="str">
        <f>IFERROR(VLOOKUP(Logs_reseau[[#This Row],[Cell_ID]],'[1]Registre_Maintenance_combine '!A:F,6,FALSE),"Non trouvé")</f>
        <v>Non trouvé</v>
      </c>
    </row>
    <row r="1493" spans="1:10" x14ac:dyDescent="0.25">
      <c r="A1493" t="str">
        <f>IFERROR(VLOOKUP(Logs_reseau[[#This Row],[Cell_ID]],'[1]Registre_Maintenance_combine '!A:B,2,FALSE),"Non trouvé")</f>
        <v>Non trouvé</v>
      </c>
      <c r="B1493" t="s">
        <v>495</v>
      </c>
      <c r="C1493" s="3">
        <v>45230.088194444441</v>
      </c>
      <c r="D1493" s="11">
        <f>Logs_reseau[[#This Row],[Duree_Panne_Min]]/1440</f>
        <v>6.0416666666666667E-2</v>
      </c>
      <c r="E1493">
        <v>87</v>
      </c>
      <c r="F1493" t="s">
        <v>4</v>
      </c>
      <c r="G1493" t="str">
        <f>IFERROR(VLOOKUP(Logs_reseau[[#This Row],[Cell_ID]],'[1]Registre_Maintenance_combine '!A:C,3,FALSE),"Non trouvé")</f>
        <v>Non trouvé</v>
      </c>
      <c r="H1493" t="str">
        <f>IFERROR(VLOOKUP(Logs_reseau[[#This Row],[Cell_ID]],'[1]Registre_Maintenance_combine '!A:D,4,FALSE),"Non trouvé")</f>
        <v>Non trouvé</v>
      </c>
      <c r="I1493" t="str">
        <f>IFERROR(VLOOKUP(Logs_reseau[[#This Row],[Cell_ID]],'[1]Registre_Maintenance_combine '!A:E,5,FALSE),"Non trouvé")</f>
        <v>Non trouvé</v>
      </c>
      <c r="J1493" t="str">
        <f>IFERROR(VLOOKUP(Logs_reseau[[#This Row],[Cell_ID]],'[1]Registre_Maintenance_combine '!A:F,6,FALSE),"Non trouvé")</f>
        <v>Non trouvé</v>
      </c>
    </row>
    <row r="1494" spans="1:10" x14ac:dyDescent="0.25">
      <c r="A1494" t="str">
        <f>IFERROR(VLOOKUP(Logs_reseau[[#This Row],[Cell_ID]],'[1]Registre_Maintenance_combine '!A:B,2,FALSE),"Non trouvé")</f>
        <v>Lualaba</v>
      </c>
      <c r="B1494" t="s">
        <v>580</v>
      </c>
      <c r="C1494" s="3">
        <v>45226.964583333334</v>
      </c>
      <c r="D1494" s="11">
        <f>Logs_reseau[[#This Row],[Duree_Panne_Min]]/1440</f>
        <v>1.8749999999999999E-2</v>
      </c>
      <c r="E1494">
        <v>27</v>
      </c>
      <c r="F1494" t="s">
        <v>2</v>
      </c>
      <c r="G1494">
        <f>IFERROR(VLOOKUP(Logs_reseau[[#This Row],[Cell_ID]],'[1]Registre_Maintenance_combine '!A:C,3,FALSE),"Non trouvé")</f>
        <v>-11.354772000000001</v>
      </c>
      <c r="H1494">
        <f>IFERROR(VLOOKUP(Logs_reseau[[#This Row],[Cell_ID]],'[1]Registre_Maintenance_combine '!A:D,4,FALSE),"Non trouvé")</f>
        <v>21.957325999999998</v>
      </c>
      <c r="I1494" t="str">
        <f>IFERROR(VLOOKUP(Logs_reseau[[#This Row],[Cell_ID]],'[1]Registre_Maintenance_combine '!A:E,5,FALSE),"Non trouvé")</f>
        <v>3G</v>
      </c>
      <c r="J1494" t="str">
        <f>IFERROR(VLOOKUP(Logs_reseau[[#This Row],[Cell_ID]],'[1]Registre_Maintenance_combine '!A:F,6,FALSE),"Non trouvé")</f>
        <v>Nokia</v>
      </c>
    </row>
    <row r="1495" spans="1:10" x14ac:dyDescent="0.25">
      <c r="A1495" t="str">
        <f>IFERROR(VLOOKUP(Logs_reseau[[#This Row],[Cell_ID]],'[1]Registre_Maintenance_combine '!A:B,2,FALSE),"Non trouvé")</f>
        <v>Non trouvé</v>
      </c>
      <c r="B1495" t="s">
        <v>581</v>
      </c>
      <c r="C1495" s="3">
        <v>45211.38958333333</v>
      </c>
      <c r="D1495" s="11">
        <f>Logs_reseau[[#This Row],[Duree_Panne_Min]]/1440</f>
        <v>5.2777777777777778E-2</v>
      </c>
      <c r="E1495">
        <v>76</v>
      </c>
      <c r="F1495" t="s">
        <v>2</v>
      </c>
      <c r="G1495" t="str">
        <f>IFERROR(VLOOKUP(Logs_reseau[[#This Row],[Cell_ID]],'[1]Registre_Maintenance_combine '!A:C,3,FALSE),"Non trouvé")</f>
        <v>Non trouvé</v>
      </c>
      <c r="H1495" t="str">
        <f>IFERROR(VLOOKUP(Logs_reseau[[#This Row],[Cell_ID]],'[1]Registre_Maintenance_combine '!A:D,4,FALSE),"Non trouvé")</f>
        <v>Non trouvé</v>
      </c>
      <c r="I1495" t="str">
        <f>IFERROR(VLOOKUP(Logs_reseau[[#This Row],[Cell_ID]],'[1]Registre_Maintenance_combine '!A:E,5,FALSE),"Non trouvé")</f>
        <v>Non trouvé</v>
      </c>
      <c r="J1495" t="str">
        <f>IFERROR(VLOOKUP(Logs_reseau[[#This Row],[Cell_ID]],'[1]Registre_Maintenance_combine '!A:F,6,FALSE),"Non trouvé")</f>
        <v>Non trouvé</v>
      </c>
    </row>
    <row r="1496" spans="1:10" x14ac:dyDescent="0.25">
      <c r="A1496" t="str">
        <f>IFERROR(VLOOKUP(Logs_reseau[[#This Row],[Cell_ID]],'[1]Registre_Maintenance_combine '!A:B,2,FALSE),"Non trouvé")</f>
        <v>Non trouvé</v>
      </c>
      <c r="B1496" t="s">
        <v>340</v>
      </c>
      <c r="C1496" s="3">
        <v>45214.272916666669</v>
      </c>
      <c r="D1496" s="11">
        <f>Logs_reseau[[#This Row],[Duree_Panne_Min]]/1440</f>
        <v>1.8055555555555554E-2</v>
      </c>
      <c r="E1496">
        <v>26</v>
      </c>
      <c r="F1496" t="s">
        <v>2</v>
      </c>
      <c r="G1496" t="str">
        <f>IFERROR(VLOOKUP(Logs_reseau[[#This Row],[Cell_ID]],'[1]Registre_Maintenance_combine '!A:C,3,FALSE),"Non trouvé")</f>
        <v>Non trouvé</v>
      </c>
      <c r="H1496" t="str">
        <f>IFERROR(VLOOKUP(Logs_reseau[[#This Row],[Cell_ID]],'[1]Registre_Maintenance_combine '!A:D,4,FALSE),"Non trouvé")</f>
        <v>Non trouvé</v>
      </c>
      <c r="I1496" t="str">
        <f>IFERROR(VLOOKUP(Logs_reseau[[#This Row],[Cell_ID]],'[1]Registre_Maintenance_combine '!A:E,5,FALSE),"Non trouvé")</f>
        <v>Non trouvé</v>
      </c>
      <c r="J1496" t="str">
        <f>IFERROR(VLOOKUP(Logs_reseau[[#This Row],[Cell_ID]],'[1]Registre_Maintenance_combine '!A:F,6,FALSE),"Non trouvé")</f>
        <v>Non trouvé</v>
      </c>
    </row>
    <row r="1497" spans="1:10" x14ac:dyDescent="0.25">
      <c r="A1497" t="str">
        <f>IFERROR(VLOOKUP(Logs_reseau[[#This Row],[Cell_ID]],'[1]Registre_Maintenance_combine '!A:B,2,FALSE),"Non trouvé")</f>
        <v>Non trouvé</v>
      </c>
      <c r="B1497" t="s">
        <v>293</v>
      </c>
      <c r="C1497" s="3">
        <v>45215.479166666664</v>
      </c>
      <c r="D1497" s="11">
        <f>Logs_reseau[[#This Row],[Duree_Panne_Min]]/1440</f>
        <v>4.6527777777777779E-2</v>
      </c>
      <c r="E1497">
        <v>67</v>
      </c>
      <c r="F1497" t="s">
        <v>4</v>
      </c>
      <c r="G1497" t="str">
        <f>IFERROR(VLOOKUP(Logs_reseau[[#This Row],[Cell_ID]],'[1]Registre_Maintenance_combine '!A:C,3,FALSE),"Non trouvé")</f>
        <v>Non trouvé</v>
      </c>
      <c r="H1497" t="str">
        <f>IFERROR(VLOOKUP(Logs_reseau[[#This Row],[Cell_ID]],'[1]Registre_Maintenance_combine '!A:D,4,FALSE),"Non trouvé")</f>
        <v>Non trouvé</v>
      </c>
      <c r="I1497" t="str">
        <f>IFERROR(VLOOKUP(Logs_reseau[[#This Row],[Cell_ID]],'[1]Registre_Maintenance_combine '!A:E,5,FALSE),"Non trouvé")</f>
        <v>Non trouvé</v>
      </c>
      <c r="J1497" t="str">
        <f>IFERROR(VLOOKUP(Logs_reseau[[#This Row],[Cell_ID]],'[1]Registre_Maintenance_combine '!A:F,6,FALSE),"Non trouvé")</f>
        <v>Non trouvé</v>
      </c>
    </row>
    <row r="1498" spans="1:10" x14ac:dyDescent="0.25">
      <c r="A1498" t="str">
        <f>IFERROR(VLOOKUP(Logs_reseau[[#This Row],[Cell_ID]],'[1]Registre_Maintenance_combine '!A:B,2,FALSE),"Non trouvé")</f>
        <v>Non trouvé</v>
      </c>
      <c r="B1498" t="s">
        <v>582</v>
      </c>
      <c r="C1498" s="3">
        <v>45203.615277777775</v>
      </c>
      <c r="D1498" s="11">
        <f>Logs_reseau[[#This Row],[Duree_Panne_Min]]/1440</f>
        <v>2.8472222222222222E-2</v>
      </c>
      <c r="E1498">
        <v>41</v>
      </c>
      <c r="F1498" t="s">
        <v>1</v>
      </c>
      <c r="G1498" t="str">
        <f>IFERROR(VLOOKUP(Logs_reseau[[#This Row],[Cell_ID]],'[1]Registre_Maintenance_combine '!A:C,3,FALSE),"Non trouvé")</f>
        <v>Non trouvé</v>
      </c>
      <c r="H1498" t="str">
        <f>IFERROR(VLOOKUP(Logs_reseau[[#This Row],[Cell_ID]],'[1]Registre_Maintenance_combine '!A:D,4,FALSE),"Non trouvé")</f>
        <v>Non trouvé</v>
      </c>
      <c r="I1498" t="str">
        <f>IFERROR(VLOOKUP(Logs_reseau[[#This Row],[Cell_ID]],'[1]Registre_Maintenance_combine '!A:E,5,FALSE),"Non trouvé")</f>
        <v>Non trouvé</v>
      </c>
      <c r="J1498" t="str">
        <f>IFERROR(VLOOKUP(Logs_reseau[[#This Row],[Cell_ID]],'[1]Registre_Maintenance_combine '!A:F,6,FALSE),"Non trouvé")</f>
        <v>Non trouvé</v>
      </c>
    </row>
    <row r="1499" spans="1:10" x14ac:dyDescent="0.25">
      <c r="A1499" t="str">
        <f>IFERROR(VLOOKUP(Logs_reseau[[#This Row],[Cell_ID]],'[1]Registre_Maintenance_combine '!A:B,2,FALSE),"Non trouvé")</f>
        <v>Nord-Kivu</v>
      </c>
      <c r="B1499" t="s">
        <v>358</v>
      </c>
      <c r="C1499" s="3">
        <v>45222.597222222219</v>
      </c>
      <c r="D1499" s="11">
        <f>Logs_reseau[[#This Row],[Duree_Panne_Min]]/1440</f>
        <v>1.5277777777777777E-2</v>
      </c>
      <c r="E1499">
        <v>22</v>
      </c>
      <c r="F1499" t="s">
        <v>2</v>
      </c>
      <c r="G1499">
        <f>IFERROR(VLOOKUP(Logs_reseau[[#This Row],[Cell_ID]],'[1]Registre_Maintenance_combine '!A:C,3,FALSE),"Non trouvé")</f>
        <v>-1.8555980000000001</v>
      </c>
      <c r="H1499">
        <f>IFERROR(VLOOKUP(Logs_reseau[[#This Row],[Cell_ID]],'[1]Registre_Maintenance_combine '!A:D,4,FALSE),"Non trouvé")</f>
        <v>30.421918000000002</v>
      </c>
      <c r="I1499" t="str">
        <f>IFERROR(VLOOKUP(Logs_reseau[[#This Row],[Cell_ID]],'[1]Registre_Maintenance_combine '!A:E,5,FALSE),"Non trouvé")</f>
        <v>3G</v>
      </c>
      <c r="J1499" t="str">
        <f>IFERROR(VLOOKUP(Logs_reseau[[#This Row],[Cell_ID]],'[1]Registre_Maintenance_combine '!A:F,6,FALSE),"Non trouvé")</f>
        <v>ZTE</v>
      </c>
    </row>
    <row r="1500" spans="1:10" x14ac:dyDescent="0.25">
      <c r="A1500" t="str">
        <f>IFERROR(VLOOKUP(Logs_reseau[[#This Row],[Cell_ID]],'[1]Registre_Maintenance_combine '!A:B,2,FALSE),"Non trouvé")</f>
        <v>Kwilu</v>
      </c>
      <c r="B1500" t="s">
        <v>583</v>
      </c>
      <c r="C1500" s="3">
        <v>45202.376388888886</v>
      </c>
      <c r="D1500" s="11">
        <f>Logs_reseau[[#This Row],[Duree_Panne_Min]]/1440</f>
        <v>1.9444444444444445E-2</v>
      </c>
      <c r="E1500">
        <v>28</v>
      </c>
      <c r="F1500" t="s">
        <v>1</v>
      </c>
      <c r="G1500">
        <f>IFERROR(VLOOKUP(Logs_reseau[[#This Row],[Cell_ID]],'[1]Registre_Maintenance_combine '!A:C,3,FALSE),"Non trouvé")</f>
        <v>-7.402336</v>
      </c>
      <c r="H1500">
        <f>IFERROR(VLOOKUP(Logs_reseau[[#This Row],[Cell_ID]],'[1]Registre_Maintenance_combine '!A:D,4,FALSE),"Non trouvé")</f>
        <v>27.376697</v>
      </c>
      <c r="I1500" t="str">
        <f>IFERROR(VLOOKUP(Logs_reseau[[#This Row],[Cell_ID]],'[1]Registre_Maintenance_combine '!A:E,5,FALSE),"Non trouvé")</f>
        <v>4G</v>
      </c>
      <c r="J1500" t="str">
        <f>IFERROR(VLOOKUP(Logs_reseau[[#This Row],[Cell_ID]],'[1]Registre_Maintenance_combine '!A:F,6,FALSE),"Non trouvé")</f>
        <v>Huawei</v>
      </c>
    </row>
    <row r="1501" spans="1:10" x14ac:dyDescent="0.25">
      <c r="A1501" t="str">
        <f>IFERROR(VLOOKUP(Logs_reseau[[#This Row],[Cell_ID]],'[1]Registre_Maintenance_combine '!A:B,2,FALSE),"Non trouvé")</f>
        <v>Non trouvé</v>
      </c>
      <c r="B1501" t="s">
        <v>117</v>
      </c>
      <c r="C1501" s="3">
        <v>45225.921527777777</v>
      </c>
      <c r="D1501" s="11">
        <f>Logs_reseau[[#This Row],[Duree_Panne_Min]]/1440</f>
        <v>3.125E-2</v>
      </c>
      <c r="E1501">
        <v>45</v>
      </c>
      <c r="F1501" t="s">
        <v>1</v>
      </c>
      <c r="G1501" t="str">
        <f>IFERROR(VLOOKUP(Logs_reseau[[#This Row],[Cell_ID]],'[1]Registre_Maintenance_combine '!A:C,3,FALSE),"Non trouvé")</f>
        <v>Non trouvé</v>
      </c>
      <c r="H1501" t="str">
        <f>IFERROR(VLOOKUP(Logs_reseau[[#This Row],[Cell_ID]],'[1]Registre_Maintenance_combine '!A:D,4,FALSE),"Non trouvé")</f>
        <v>Non trouvé</v>
      </c>
      <c r="I1501" t="str">
        <f>IFERROR(VLOOKUP(Logs_reseau[[#This Row],[Cell_ID]],'[1]Registre_Maintenance_combine '!A:E,5,FALSE),"Non trouvé")</f>
        <v>Non trouvé</v>
      </c>
      <c r="J1501" t="str">
        <f>IFERROR(VLOOKUP(Logs_reseau[[#This Row],[Cell_ID]],'[1]Registre_Maintenance_combine '!A:F,6,FALSE),"Non trouvé")</f>
        <v>Non trouvé</v>
      </c>
    </row>
    <row r="1502" spans="1:10" x14ac:dyDescent="0.25">
      <c r="A1502" t="str">
        <f>IFERROR(VLOOKUP(Logs_reseau[[#This Row],[Cell_ID]],'[1]Registre_Maintenance_combine '!A:B,2,FALSE),"Non trouvé")</f>
        <v>Haut-Katanga</v>
      </c>
      <c r="B1502" t="s">
        <v>584</v>
      </c>
      <c r="C1502" s="3">
        <v>45200.445138888892</v>
      </c>
      <c r="D1502" s="11">
        <f>Logs_reseau[[#This Row],[Duree_Panne_Min]]/1440</f>
        <v>7.7777777777777779E-2</v>
      </c>
      <c r="E1502">
        <v>112</v>
      </c>
      <c r="F1502" t="s">
        <v>1</v>
      </c>
      <c r="G1502">
        <f>IFERROR(VLOOKUP(Logs_reseau[[#This Row],[Cell_ID]],'[1]Registre_Maintenance_combine '!A:C,3,FALSE),"Non trouvé")</f>
        <v>-10.945031</v>
      </c>
      <c r="H1502">
        <f>IFERROR(VLOOKUP(Logs_reseau[[#This Row],[Cell_ID]],'[1]Registre_Maintenance_combine '!A:D,4,FALSE),"Non trouvé")</f>
        <v>27.922274000000002</v>
      </c>
      <c r="I1502" t="str">
        <f>IFERROR(VLOOKUP(Logs_reseau[[#This Row],[Cell_ID]],'[1]Registre_Maintenance_combine '!A:E,5,FALSE),"Non trouvé")</f>
        <v>4G</v>
      </c>
      <c r="J1502" t="str">
        <f>IFERROR(VLOOKUP(Logs_reseau[[#This Row],[Cell_ID]],'[1]Registre_Maintenance_combine '!A:F,6,FALSE),"Non trouvé")</f>
        <v>Ericsson</v>
      </c>
    </row>
    <row r="1503" spans="1:10" x14ac:dyDescent="0.25">
      <c r="A1503" t="str">
        <f>IFERROR(VLOOKUP(Logs_reseau[[#This Row],[Cell_ID]],'[1]Registre_Maintenance_combine '!A:B,2,FALSE),"Non trouvé")</f>
        <v>Maniema</v>
      </c>
      <c r="B1503" t="s">
        <v>118</v>
      </c>
      <c r="C1503" s="3">
        <v>45203.910416666666</v>
      </c>
      <c r="D1503" s="11">
        <f>Logs_reseau[[#This Row],[Duree_Panne_Min]]/1440</f>
        <v>4.3055555555555555E-2</v>
      </c>
      <c r="E1503">
        <v>62</v>
      </c>
      <c r="F1503" t="s">
        <v>1</v>
      </c>
      <c r="G1503">
        <f>IFERROR(VLOOKUP(Logs_reseau[[#This Row],[Cell_ID]],'[1]Registre_Maintenance_combine '!A:C,3,FALSE),"Non trouvé")</f>
        <v>1.938083</v>
      </c>
      <c r="H1503">
        <f>IFERROR(VLOOKUP(Logs_reseau[[#This Row],[Cell_ID]],'[1]Registre_Maintenance_combine '!A:D,4,FALSE),"Non trouvé")</f>
        <v>28.25281</v>
      </c>
      <c r="I1503" t="str">
        <f>IFERROR(VLOOKUP(Logs_reseau[[#This Row],[Cell_ID]],'[1]Registre_Maintenance_combine '!A:E,5,FALSE),"Non trouvé")</f>
        <v>4G</v>
      </c>
      <c r="J1503" t="str">
        <f>IFERROR(VLOOKUP(Logs_reseau[[#This Row],[Cell_ID]],'[1]Registre_Maintenance_combine '!A:F,6,FALSE),"Non trouvé")</f>
        <v>Nokia</v>
      </c>
    </row>
    <row r="1504" spans="1:10" x14ac:dyDescent="0.25">
      <c r="A1504" t="str">
        <f>IFERROR(VLOOKUP(Logs_reseau[[#This Row],[Cell_ID]],'[1]Registre_Maintenance_combine '!A:B,2,FALSE),"Non trouvé")</f>
        <v>Non trouvé</v>
      </c>
      <c r="B1504" t="s">
        <v>585</v>
      </c>
      <c r="C1504" s="3">
        <v>45205.96875</v>
      </c>
      <c r="D1504" s="11">
        <f>Logs_reseau[[#This Row],[Duree_Panne_Min]]/1440</f>
        <v>5.8333333333333334E-2</v>
      </c>
      <c r="E1504">
        <v>84</v>
      </c>
      <c r="F1504" t="s">
        <v>2</v>
      </c>
      <c r="G1504" t="str">
        <f>IFERROR(VLOOKUP(Logs_reseau[[#This Row],[Cell_ID]],'[1]Registre_Maintenance_combine '!A:C,3,FALSE),"Non trouvé")</f>
        <v>Non trouvé</v>
      </c>
      <c r="H1504" t="str">
        <f>IFERROR(VLOOKUP(Logs_reseau[[#This Row],[Cell_ID]],'[1]Registre_Maintenance_combine '!A:D,4,FALSE),"Non trouvé")</f>
        <v>Non trouvé</v>
      </c>
      <c r="I1504" t="str">
        <f>IFERROR(VLOOKUP(Logs_reseau[[#This Row],[Cell_ID]],'[1]Registre_Maintenance_combine '!A:E,5,FALSE),"Non trouvé")</f>
        <v>Non trouvé</v>
      </c>
      <c r="J1504" t="str">
        <f>IFERROR(VLOOKUP(Logs_reseau[[#This Row],[Cell_ID]],'[1]Registre_Maintenance_combine '!A:F,6,FALSE),"Non trouvé")</f>
        <v>Non trouvé</v>
      </c>
    </row>
    <row r="1505" spans="1:10" x14ac:dyDescent="0.25">
      <c r="A1505" t="str">
        <f>IFERROR(VLOOKUP(Logs_reseau[[#This Row],[Cell_ID]],'[1]Registre_Maintenance_combine '!A:B,2,FALSE),"Non trouvé")</f>
        <v>Kasai</v>
      </c>
      <c r="B1505" t="s">
        <v>586</v>
      </c>
      <c r="C1505" s="3">
        <v>45216.232638888891</v>
      </c>
      <c r="D1505" s="11">
        <f>Logs_reseau[[#This Row],[Duree_Panne_Min]]/1440</f>
        <v>7.6388888888888886E-3</v>
      </c>
      <c r="E1505">
        <v>11</v>
      </c>
      <c r="F1505" t="s">
        <v>4</v>
      </c>
      <c r="G1505">
        <f>IFERROR(VLOOKUP(Logs_reseau[[#This Row],[Cell_ID]],'[1]Registre_Maintenance_combine '!A:C,3,FALSE),"Non trouvé")</f>
        <v>-3.8119990000000001</v>
      </c>
      <c r="H1505">
        <f>IFERROR(VLOOKUP(Logs_reseau[[#This Row],[Cell_ID]],'[1]Registre_Maintenance_combine '!A:D,4,FALSE),"Non trouvé")</f>
        <v>20.420048000000001</v>
      </c>
      <c r="I1505" t="str">
        <f>IFERROR(VLOOKUP(Logs_reseau[[#This Row],[Cell_ID]],'[1]Registre_Maintenance_combine '!A:E,5,FALSE),"Non trouvé")</f>
        <v>3G</v>
      </c>
      <c r="J1505" t="str">
        <f>IFERROR(VLOOKUP(Logs_reseau[[#This Row],[Cell_ID]],'[1]Registre_Maintenance_combine '!A:F,6,FALSE),"Non trouvé")</f>
        <v>ZTE</v>
      </c>
    </row>
    <row r="1506" spans="1:10" x14ac:dyDescent="0.25">
      <c r="A1506" t="str">
        <f>IFERROR(VLOOKUP(Logs_reseau[[#This Row],[Cell_ID]],'[1]Registre_Maintenance_combine '!A:B,2,FALSE),"Non trouvé")</f>
        <v>Sud-Kivu</v>
      </c>
      <c r="B1506" t="s">
        <v>587</v>
      </c>
      <c r="C1506" s="3">
        <v>45205.440972222219</v>
      </c>
      <c r="D1506" s="11">
        <f>Logs_reseau[[#This Row],[Duree_Panne_Min]]/1440</f>
        <v>7.9861111111111105E-2</v>
      </c>
      <c r="E1506">
        <v>115</v>
      </c>
      <c r="F1506" t="s">
        <v>2</v>
      </c>
      <c r="G1506">
        <f>IFERROR(VLOOKUP(Logs_reseau[[#This Row],[Cell_ID]],'[1]Registre_Maintenance_combine '!A:C,3,FALSE),"Non trouvé")</f>
        <v>-1.3024210000000001</v>
      </c>
      <c r="H1506">
        <f>IFERROR(VLOOKUP(Logs_reseau[[#This Row],[Cell_ID]],'[1]Registre_Maintenance_combine '!A:D,4,FALSE),"Non trouvé")</f>
        <v>13.601914000000001</v>
      </c>
      <c r="I1506" t="str">
        <f>IFERROR(VLOOKUP(Logs_reseau[[#This Row],[Cell_ID]],'[1]Registre_Maintenance_combine '!A:E,5,FALSE),"Non trouvé")</f>
        <v>3G</v>
      </c>
      <c r="J1506" t="str">
        <f>IFERROR(VLOOKUP(Logs_reseau[[#This Row],[Cell_ID]],'[1]Registre_Maintenance_combine '!A:F,6,FALSE),"Non trouvé")</f>
        <v>Huawei</v>
      </c>
    </row>
    <row r="1507" spans="1:10" x14ac:dyDescent="0.25">
      <c r="A1507" t="str">
        <f>IFERROR(VLOOKUP(Logs_reseau[[#This Row],[Cell_ID]],'[1]Registre_Maintenance_combine '!A:B,2,FALSE),"Non trouvé")</f>
        <v>Non trouvé</v>
      </c>
      <c r="B1507" t="s">
        <v>529</v>
      </c>
      <c r="C1507" s="3">
        <v>45213.593055555553</v>
      </c>
      <c r="D1507" s="11">
        <f>Logs_reseau[[#This Row],[Duree_Panne_Min]]/1440</f>
        <v>3.4722222222222224E-2</v>
      </c>
      <c r="E1507">
        <v>50</v>
      </c>
      <c r="F1507" t="s">
        <v>4</v>
      </c>
      <c r="G1507" t="str">
        <f>IFERROR(VLOOKUP(Logs_reseau[[#This Row],[Cell_ID]],'[1]Registre_Maintenance_combine '!A:C,3,FALSE),"Non trouvé")</f>
        <v>Non trouvé</v>
      </c>
      <c r="H1507" t="str">
        <f>IFERROR(VLOOKUP(Logs_reseau[[#This Row],[Cell_ID]],'[1]Registre_Maintenance_combine '!A:D,4,FALSE),"Non trouvé")</f>
        <v>Non trouvé</v>
      </c>
      <c r="I1507" t="str">
        <f>IFERROR(VLOOKUP(Logs_reseau[[#This Row],[Cell_ID]],'[1]Registre_Maintenance_combine '!A:E,5,FALSE),"Non trouvé")</f>
        <v>Non trouvé</v>
      </c>
      <c r="J1507" t="str">
        <f>IFERROR(VLOOKUP(Logs_reseau[[#This Row],[Cell_ID]],'[1]Registre_Maintenance_combine '!A:F,6,FALSE),"Non trouvé")</f>
        <v>Non trouvé</v>
      </c>
    </row>
    <row r="1508" spans="1:10" x14ac:dyDescent="0.25">
      <c r="A1508" t="str">
        <f>IFERROR(VLOOKUP(Logs_reseau[[#This Row],[Cell_ID]],'[1]Registre_Maintenance_combine '!A:B,2,FALSE),"Non trouvé")</f>
        <v>Non trouvé</v>
      </c>
      <c r="B1508" t="s">
        <v>588</v>
      </c>
      <c r="C1508" s="3">
        <v>45225.527777777781</v>
      </c>
      <c r="D1508" s="11">
        <f>Logs_reseau[[#This Row],[Duree_Panne_Min]]/1440</f>
        <v>4.1666666666666666E-3</v>
      </c>
      <c r="E1508">
        <v>6</v>
      </c>
      <c r="F1508" t="s">
        <v>2</v>
      </c>
      <c r="G1508" t="str">
        <f>IFERROR(VLOOKUP(Logs_reseau[[#This Row],[Cell_ID]],'[1]Registre_Maintenance_combine '!A:C,3,FALSE),"Non trouvé")</f>
        <v>Non trouvé</v>
      </c>
      <c r="H1508" t="str">
        <f>IFERROR(VLOOKUP(Logs_reseau[[#This Row],[Cell_ID]],'[1]Registre_Maintenance_combine '!A:D,4,FALSE),"Non trouvé")</f>
        <v>Non trouvé</v>
      </c>
      <c r="I1508" t="str">
        <f>IFERROR(VLOOKUP(Logs_reseau[[#This Row],[Cell_ID]],'[1]Registre_Maintenance_combine '!A:E,5,FALSE),"Non trouvé")</f>
        <v>Non trouvé</v>
      </c>
      <c r="J1508" t="str">
        <f>IFERROR(VLOOKUP(Logs_reseau[[#This Row],[Cell_ID]],'[1]Registre_Maintenance_combine '!A:F,6,FALSE),"Non trouvé")</f>
        <v>Non trouvé</v>
      </c>
    </row>
    <row r="1509" spans="1:10" x14ac:dyDescent="0.25">
      <c r="A1509" t="str">
        <f>IFERROR(VLOOKUP(Logs_reseau[[#This Row],[Cell_ID]],'[1]Registre_Maintenance_combine '!A:B,2,FALSE),"Non trouvé")</f>
        <v>Non trouvé</v>
      </c>
      <c r="B1509" t="s">
        <v>347</v>
      </c>
      <c r="C1509" s="3">
        <v>45205.236111111109</v>
      </c>
      <c r="D1509" s="11">
        <f>Logs_reseau[[#This Row],[Duree_Panne_Min]]/1440</f>
        <v>4.6527777777777779E-2</v>
      </c>
      <c r="E1509">
        <v>67</v>
      </c>
      <c r="F1509" t="s">
        <v>2</v>
      </c>
      <c r="G1509" t="str">
        <f>IFERROR(VLOOKUP(Logs_reseau[[#This Row],[Cell_ID]],'[1]Registre_Maintenance_combine '!A:C,3,FALSE),"Non trouvé")</f>
        <v>Non trouvé</v>
      </c>
      <c r="H1509" t="str">
        <f>IFERROR(VLOOKUP(Logs_reseau[[#This Row],[Cell_ID]],'[1]Registre_Maintenance_combine '!A:D,4,FALSE),"Non trouvé")</f>
        <v>Non trouvé</v>
      </c>
      <c r="I1509" t="str">
        <f>IFERROR(VLOOKUP(Logs_reseau[[#This Row],[Cell_ID]],'[1]Registre_Maintenance_combine '!A:E,5,FALSE),"Non trouvé")</f>
        <v>Non trouvé</v>
      </c>
      <c r="J1509" t="str">
        <f>IFERROR(VLOOKUP(Logs_reseau[[#This Row],[Cell_ID]],'[1]Registre_Maintenance_combine '!A:F,6,FALSE),"Non trouvé")</f>
        <v>Non trouvé</v>
      </c>
    </row>
    <row r="1510" spans="1:10" x14ac:dyDescent="0.25">
      <c r="A1510" t="str">
        <f>IFERROR(VLOOKUP(Logs_reseau[[#This Row],[Cell_ID]],'[1]Registre_Maintenance_combine '!A:B,2,FALSE),"Non trouvé")</f>
        <v>Kwango</v>
      </c>
      <c r="B1510" t="s">
        <v>589</v>
      </c>
      <c r="C1510" s="3">
        <v>45221.559027777781</v>
      </c>
      <c r="D1510" s="11">
        <f>Logs_reseau[[#This Row],[Duree_Panne_Min]]/1440</f>
        <v>1.5277777777777777E-2</v>
      </c>
      <c r="E1510">
        <v>22</v>
      </c>
      <c r="F1510" t="s">
        <v>1</v>
      </c>
      <c r="G1510">
        <f>IFERROR(VLOOKUP(Logs_reseau[[#This Row],[Cell_ID]],'[1]Registre_Maintenance_combine '!A:C,3,FALSE),"Non trouvé")</f>
        <v>0.65288900000000005</v>
      </c>
      <c r="H1510">
        <f>IFERROR(VLOOKUP(Logs_reseau[[#This Row],[Cell_ID]],'[1]Registre_Maintenance_combine '!A:D,4,FALSE),"Non trouvé")</f>
        <v>24.243953999999999</v>
      </c>
      <c r="I1510" t="str">
        <f>IFERROR(VLOOKUP(Logs_reseau[[#This Row],[Cell_ID]],'[1]Registre_Maintenance_combine '!A:E,5,FALSE),"Non trouvé")</f>
        <v>5G</v>
      </c>
      <c r="J1510" t="str">
        <f>IFERROR(VLOOKUP(Logs_reseau[[#This Row],[Cell_ID]],'[1]Registre_Maintenance_combine '!A:F,6,FALSE),"Non trouvé")</f>
        <v>Ericsson</v>
      </c>
    </row>
    <row r="1511" spans="1:10" x14ac:dyDescent="0.25">
      <c r="A1511" t="str">
        <f>IFERROR(VLOOKUP(Logs_reseau[[#This Row],[Cell_ID]],'[1]Registre_Maintenance_combine '!A:B,2,FALSE),"Non trouvé")</f>
        <v>Bas-Uele</v>
      </c>
      <c r="B1511" t="s">
        <v>353</v>
      </c>
      <c r="C1511" s="3">
        <v>45200.98541666667</v>
      </c>
      <c r="D1511" s="11">
        <f>Logs_reseau[[#This Row],[Duree_Panne_Min]]/1440</f>
        <v>2.013888888888889E-2</v>
      </c>
      <c r="E1511">
        <v>29</v>
      </c>
      <c r="F1511" t="s">
        <v>4</v>
      </c>
      <c r="G1511">
        <f>IFERROR(VLOOKUP(Logs_reseau[[#This Row],[Cell_ID]],'[1]Registre_Maintenance_combine '!A:C,3,FALSE),"Non trouvé")</f>
        <v>1.5278670000000001</v>
      </c>
      <c r="H1511">
        <f>IFERROR(VLOOKUP(Logs_reseau[[#This Row],[Cell_ID]],'[1]Registre_Maintenance_combine '!A:D,4,FALSE),"Non trouvé")</f>
        <v>13.899388999999999</v>
      </c>
      <c r="I1511" t="str">
        <f>IFERROR(VLOOKUP(Logs_reseau[[#This Row],[Cell_ID]],'[1]Registre_Maintenance_combine '!A:E,5,FALSE),"Non trouvé")</f>
        <v>3G</v>
      </c>
      <c r="J1511" t="str">
        <f>IFERROR(VLOOKUP(Logs_reseau[[#This Row],[Cell_ID]],'[1]Registre_Maintenance_combine '!A:F,6,FALSE),"Non trouvé")</f>
        <v>Huawei</v>
      </c>
    </row>
    <row r="1512" spans="1:10" x14ac:dyDescent="0.25">
      <c r="A1512" t="str">
        <f>IFERROR(VLOOKUP(Logs_reseau[[#This Row],[Cell_ID]],'[1]Registre_Maintenance_combine '!A:B,2,FALSE),"Non trouvé")</f>
        <v>Non trouvé</v>
      </c>
      <c r="B1512" t="s">
        <v>44</v>
      </c>
      <c r="C1512" s="3">
        <v>45228.269444444442</v>
      </c>
      <c r="D1512" s="11">
        <f>Logs_reseau[[#This Row],[Duree_Panne_Min]]/1440</f>
        <v>7.5694444444444439E-2</v>
      </c>
      <c r="E1512">
        <v>109</v>
      </c>
      <c r="F1512" t="s">
        <v>2</v>
      </c>
      <c r="G1512" t="str">
        <f>IFERROR(VLOOKUP(Logs_reseau[[#This Row],[Cell_ID]],'[1]Registre_Maintenance_combine '!A:C,3,FALSE),"Non trouvé")</f>
        <v>Non trouvé</v>
      </c>
      <c r="H1512" t="str">
        <f>IFERROR(VLOOKUP(Logs_reseau[[#This Row],[Cell_ID]],'[1]Registre_Maintenance_combine '!A:D,4,FALSE),"Non trouvé")</f>
        <v>Non trouvé</v>
      </c>
      <c r="I1512" t="str">
        <f>IFERROR(VLOOKUP(Logs_reseau[[#This Row],[Cell_ID]],'[1]Registre_Maintenance_combine '!A:E,5,FALSE),"Non trouvé")</f>
        <v>Non trouvé</v>
      </c>
      <c r="J1512" t="str">
        <f>IFERROR(VLOOKUP(Logs_reseau[[#This Row],[Cell_ID]],'[1]Registre_Maintenance_combine '!A:F,6,FALSE),"Non trouvé")</f>
        <v>Non trouvé</v>
      </c>
    </row>
    <row r="1513" spans="1:10" x14ac:dyDescent="0.25">
      <c r="A1513" t="str">
        <f>IFERROR(VLOOKUP(Logs_reseau[[#This Row],[Cell_ID]],'[1]Registre_Maintenance_combine '!A:B,2,FALSE),"Non trouvé")</f>
        <v>Non trouvé</v>
      </c>
      <c r="B1513" t="s">
        <v>355</v>
      </c>
      <c r="C1513" s="3">
        <v>45218.558333333334</v>
      </c>
      <c r="D1513" s="11">
        <f>Logs_reseau[[#This Row],[Duree_Panne_Min]]/1440</f>
        <v>3.7499999999999999E-2</v>
      </c>
      <c r="E1513">
        <v>54</v>
      </c>
      <c r="F1513" t="s">
        <v>4</v>
      </c>
      <c r="G1513" t="str">
        <f>IFERROR(VLOOKUP(Logs_reseau[[#This Row],[Cell_ID]],'[1]Registre_Maintenance_combine '!A:C,3,FALSE),"Non trouvé")</f>
        <v>Non trouvé</v>
      </c>
      <c r="H1513" t="str">
        <f>IFERROR(VLOOKUP(Logs_reseau[[#This Row],[Cell_ID]],'[1]Registre_Maintenance_combine '!A:D,4,FALSE),"Non trouvé")</f>
        <v>Non trouvé</v>
      </c>
      <c r="I1513" t="str">
        <f>IFERROR(VLOOKUP(Logs_reseau[[#This Row],[Cell_ID]],'[1]Registre_Maintenance_combine '!A:E,5,FALSE),"Non trouvé")</f>
        <v>Non trouvé</v>
      </c>
      <c r="J1513" t="str">
        <f>IFERROR(VLOOKUP(Logs_reseau[[#This Row],[Cell_ID]],'[1]Registre_Maintenance_combine '!A:F,6,FALSE),"Non trouvé")</f>
        <v>Non trouvé</v>
      </c>
    </row>
    <row r="1514" spans="1:10" x14ac:dyDescent="0.25">
      <c r="A1514" t="str">
        <f>IFERROR(VLOOKUP(Logs_reseau[[#This Row],[Cell_ID]],'[1]Registre_Maintenance_combine '!A:B,2,FALSE),"Non trouvé")</f>
        <v>Kongo-Central</v>
      </c>
      <c r="B1514" t="s">
        <v>204</v>
      </c>
      <c r="C1514" s="3">
        <v>45200.925694444442</v>
      </c>
      <c r="D1514" s="11">
        <f>Logs_reseau[[#This Row],[Duree_Panne_Min]]/1440</f>
        <v>5.2777777777777778E-2</v>
      </c>
      <c r="E1514">
        <v>76</v>
      </c>
      <c r="F1514" t="s">
        <v>4</v>
      </c>
      <c r="G1514">
        <f>IFERROR(VLOOKUP(Logs_reseau[[#This Row],[Cell_ID]],'[1]Registre_Maintenance_combine '!A:C,3,FALSE),"Non trouvé")</f>
        <v>-2.8211520000000001</v>
      </c>
      <c r="H1514">
        <f>IFERROR(VLOOKUP(Logs_reseau[[#This Row],[Cell_ID]],'[1]Registre_Maintenance_combine '!A:D,4,FALSE),"Non trouvé")</f>
        <v>20.651419000000001</v>
      </c>
      <c r="I1514" t="str">
        <f>IFERROR(VLOOKUP(Logs_reseau[[#This Row],[Cell_ID]],'[1]Registre_Maintenance_combine '!A:E,5,FALSE),"Non trouvé")</f>
        <v>5G</v>
      </c>
      <c r="J1514" t="str">
        <f>IFERROR(VLOOKUP(Logs_reseau[[#This Row],[Cell_ID]],'[1]Registre_Maintenance_combine '!A:F,6,FALSE),"Non trouvé")</f>
        <v>Ericsson</v>
      </c>
    </row>
    <row r="1515" spans="1:10" x14ac:dyDescent="0.25">
      <c r="A1515" t="str">
        <f>IFERROR(VLOOKUP(Logs_reseau[[#This Row],[Cell_ID]],'[1]Registre_Maintenance_combine '!A:B,2,FALSE),"Non trouvé")</f>
        <v>Non trouvé</v>
      </c>
      <c r="B1515" t="s">
        <v>375</v>
      </c>
      <c r="C1515" s="3">
        <v>45206.366666666669</v>
      </c>
      <c r="D1515" s="11">
        <f>Logs_reseau[[#This Row],[Duree_Panne_Min]]/1440</f>
        <v>4.791666666666667E-2</v>
      </c>
      <c r="E1515">
        <v>69</v>
      </c>
      <c r="F1515" t="s">
        <v>2</v>
      </c>
      <c r="G1515" t="str">
        <f>IFERROR(VLOOKUP(Logs_reseau[[#This Row],[Cell_ID]],'[1]Registre_Maintenance_combine '!A:C,3,FALSE),"Non trouvé")</f>
        <v>Non trouvé</v>
      </c>
      <c r="H1515" t="str">
        <f>IFERROR(VLOOKUP(Logs_reseau[[#This Row],[Cell_ID]],'[1]Registre_Maintenance_combine '!A:D,4,FALSE),"Non trouvé")</f>
        <v>Non trouvé</v>
      </c>
      <c r="I1515" t="str">
        <f>IFERROR(VLOOKUP(Logs_reseau[[#This Row],[Cell_ID]],'[1]Registre_Maintenance_combine '!A:E,5,FALSE),"Non trouvé")</f>
        <v>Non trouvé</v>
      </c>
      <c r="J1515" t="str">
        <f>IFERROR(VLOOKUP(Logs_reseau[[#This Row],[Cell_ID]],'[1]Registre_Maintenance_combine '!A:F,6,FALSE),"Non trouvé")</f>
        <v>Non trouvé</v>
      </c>
    </row>
    <row r="1516" spans="1:10" x14ac:dyDescent="0.25">
      <c r="A1516" t="str">
        <f>IFERROR(VLOOKUP(Logs_reseau[[#This Row],[Cell_ID]],'[1]Registre_Maintenance_combine '!A:B,2,FALSE),"Non trouvé")</f>
        <v>Non trouvé</v>
      </c>
      <c r="B1516" t="s">
        <v>590</v>
      </c>
      <c r="C1516" s="3">
        <v>45222.10833333333</v>
      </c>
      <c r="D1516" s="11">
        <f>Logs_reseau[[#This Row],[Duree_Panne_Min]]/1440</f>
        <v>6.1111111111111109E-2</v>
      </c>
      <c r="E1516">
        <v>88</v>
      </c>
      <c r="F1516" t="s">
        <v>4</v>
      </c>
      <c r="G1516" t="str">
        <f>IFERROR(VLOOKUP(Logs_reseau[[#This Row],[Cell_ID]],'[1]Registre_Maintenance_combine '!A:C,3,FALSE),"Non trouvé")</f>
        <v>Non trouvé</v>
      </c>
      <c r="H1516" t="str">
        <f>IFERROR(VLOOKUP(Logs_reseau[[#This Row],[Cell_ID]],'[1]Registre_Maintenance_combine '!A:D,4,FALSE),"Non trouvé")</f>
        <v>Non trouvé</v>
      </c>
      <c r="I1516" t="str">
        <f>IFERROR(VLOOKUP(Logs_reseau[[#This Row],[Cell_ID]],'[1]Registre_Maintenance_combine '!A:E,5,FALSE),"Non trouvé")</f>
        <v>Non trouvé</v>
      </c>
      <c r="J1516" t="str">
        <f>IFERROR(VLOOKUP(Logs_reseau[[#This Row],[Cell_ID]],'[1]Registre_Maintenance_combine '!A:F,6,FALSE),"Non trouvé")</f>
        <v>Non trouvé</v>
      </c>
    </row>
    <row r="1517" spans="1:10" x14ac:dyDescent="0.25">
      <c r="A1517" t="str">
        <f>IFERROR(VLOOKUP(Logs_reseau[[#This Row],[Cell_ID]],'[1]Registre_Maintenance_combine '!A:B,2,FALSE),"Non trouvé")</f>
        <v>Nord-Kivu</v>
      </c>
      <c r="B1517" t="s">
        <v>591</v>
      </c>
      <c r="C1517" s="3">
        <v>45203.71597222222</v>
      </c>
      <c r="D1517" s="11">
        <f>Logs_reseau[[#This Row],[Duree_Panne_Min]]/1440</f>
        <v>4.7222222222222221E-2</v>
      </c>
      <c r="E1517">
        <v>68</v>
      </c>
      <c r="F1517" t="s">
        <v>2</v>
      </c>
      <c r="G1517">
        <f>IFERROR(VLOOKUP(Logs_reseau[[#This Row],[Cell_ID]],'[1]Registre_Maintenance_combine '!A:C,3,FALSE),"Non trouvé")</f>
        <v>-7.9866700000000002</v>
      </c>
      <c r="H1517">
        <f>IFERROR(VLOOKUP(Logs_reseau[[#This Row],[Cell_ID]],'[1]Registre_Maintenance_combine '!A:D,4,FALSE),"Non trouvé")</f>
        <v>17.757847000000002</v>
      </c>
      <c r="I1517" t="str">
        <f>IFERROR(VLOOKUP(Logs_reseau[[#This Row],[Cell_ID]],'[1]Registre_Maintenance_combine '!A:E,5,FALSE),"Non trouvé")</f>
        <v>5G</v>
      </c>
      <c r="J1517" t="str">
        <f>IFERROR(VLOOKUP(Logs_reseau[[#This Row],[Cell_ID]],'[1]Registre_Maintenance_combine '!A:F,6,FALSE),"Non trouvé")</f>
        <v>Huawei</v>
      </c>
    </row>
    <row r="1518" spans="1:10" x14ac:dyDescent="0.25">
      <c r="A1518" t="str">
        <f>IFERROR(VLOOKUP(Logs_reseau[[#This Row],[Cell_ID]],'[1]Registre_Maintenance_combine '!A:B,2,FALSE),"Non trouvé")</f>
        <v>Tshopo</v>
      </c>
      <c r="B1518" t="s">
        <v>334</v>
      </c>
      <c r="C1518" s="3">
        <v>45211.425000000003</v>
      </c>
      <c r="D1518" s="11">
        <f>Logs_reseau[[#This Row],[Duree_Panne_Min]]/1440</f>
        <v>3.9583333333333331E-2</v>
      </c>
      <c r="E1518">
        <v>57</v>
      </c>
      <c r="F1518" t="s">
        <v>2</v>
      </c>
      <c r="G1518">
        <f>IFERROR(VLOOKUP(Logs_reseau[[#This Row],[Cell_ID]],'[1]Registre_Maintenance_combine '!A:C,3,FALSE),"Non trouvé")</f>
        <v>-4.5603610000000003</v>
      </c>
      <c r="H1518">
        <f>IFERROR(VLOOKUP(Logs_reseau[[#This Row],[Cell_ID]],'[1]Registre_Maintenance_combine '!A:D,4,FALSE),"Non trouvé")</f>
        <v>24.113918999999999</v>
      </c>
      <c r="I1518" t="str">
        <f>IFERROR(VLOOKUP(Logs_reseau[[#This Row],[Cell_ID]],'[1]Registre_Maintenance_combine '!A:E,5,FALSE),"Non trouvé")</f>
        <v>5G</v>
      </c>
      <c r="J1518" t="str">
        <f>IFERROR(VLOOKUP(Logs_reseau[[#This Row],[Cell_ID]],'[1]Registre_Maintenance_combine '!A:F,6,FALSE),"Non trouvé")</f>
        <v>ZTE</v>
      </c>
    </row>
    <row r="1519" spans="1:10" x14ac:dyDescent="0.25">
      <c r="A1519" t="str">
        <f>IFERROR(VLOOKUP(Logs_reseau[[#This Row],[Cell_ID]],'[1]Registre_Maintenance_combine '!A:B,2,FALSE),"Non trouvé")</f>
        <v>Non trouvé</v>
      </c>
      <c r="B1519" t="s">
        <v>106</v>
      </c>
      <c r="C1519" s="3">
        <v>45214.136111111111</v>
      </c>
      <c r="D1519" s="11">
        <f>Logs_reseau[[#This Row],[Duree_Panne_Min]]/1440</f>
        <v>6.3888888888888884E-2</v>
      </c>
      <c r="E1519">
        <v>92</v>
      </c>
      <c r="F1519" t="s">
        <v>1</v>
      </c>
      <c r="G1519" t="str">
        <f>IFERROR(VLOOKUP(Logs_reseau[[#This Row],[Cell_ID]],'[1]Registre_Maintenance_combine '!A:C,3,FALSE),"Non trouvé")</f>
        <v>Non trouvé</v>
      </c>
      <c r="H1519" t="str">
        <f>IFERROR(VLOOKUP(Logs_reseau[[#This Row],[Cell_ID]],'[1]Registre_Maintenance_combine '!A:D,4,FALSE),"Non trouvé")</f>
        <v>Non trouvé</v>
      </c>
      <c r="I1519" t="str">
        <f>IFERROR(VLOOKUP(Logs_reseau[[#This Row],[Cell_ID]],'[1]Registre_Maintenance_combine '!A:E,5,FALSE),"Non trouvé")</f>
        <v>Non trouvé</v>
      </c>
      <c r="J1519" t="str">
        <f>IFERROR(VLOOKUP(Logs_reseau[[#This Row],[Cell_ID]],'[1]Registre_Maintenance_combine '!A:F,6,FALSE),"Non trouvé")</f>
        <v>Non trouvé</v>
      </c>
    </row>
    <row r="1520" spans="1:10" x14ac:dyDescent="0.25">
      <c r="A1520" t="str">
        <f>IFERROR(VLOOKUP(Logs_reseau[[#This Row],[Cell_ID]],'[1]Registre_Maintenance_combine '!A:B,2,FALSE),"Non trouvé")</f>
        <v>Haut-Uele</v>
      </c>
      <c r="B1520" t="s">
        <v>592</v>
      </c>
      <c r="C1520" s="3">
        <v>45221.647916666669</v>
      </c>
      <c r="D1520" s="11">
        <f>Logs_reseau[[#This Row],[Duree_Panne_Min]]/1440</f>
        <v>4.6527777777777779E-2</v>
      </c>
      <c r="E1520">
        <v>67</v>
      </c>
      <c r="F1520" t="s">
        <v>1</v>
      </c>
      <c r="G1520">
        <f>IFERROR(VLOOKUP(Logs_reseau[[#This Row],[Cell_ID]],'[1]Registre_Maintenance_combine '!A:C,3,FALSE),"Non trouvé")</f>
        <v>-11.924048000000001</v>
      </c>
      <c r="H1520">
        <f>IFERROR(VLOOKUP(Logs_reseau[[#This Row],[Cell_ID]],'[1]Registre_Maintenance_combine '!A:D,4,FALSE),"Non trouvé")</f>
        <v>24.177174999999998</v>
      </c>
      <c r="I1520" t="str">
        <f>IFERROR(VLOOKUP(Logs_reseau[[#This Row],[Cell_ID]],'[1]Registre_Maintenance_combine '!A:E,5,FALSE),"Non trouvé")</f>
        <v>3G</v>
      </c>
      <c r="J1520" t="str">
        <f>IFERROR(VLOOKUP(Logs_reseau[[#This Row],[Cell_ID]],'[1]Registre_Maintenance_combine '!A:F,6,FALSE),"Non trouvé")</f>
        <v>Nokia</v>
      </c>
    </row>
    <row r="1521" spans="1:10" x14ac:dyDescent="0.25">
      <c r="A1521" t="str">
        <f>IFERROR(VLOOKUP(Logs_reseau[[#This Row],[Cell_ID]],'[1]Registre_Maintenance_combine '!A:B,2,FALSE),"Non trouvé")</f>
        <v>Kwilu</v>
      </c>
      <c r="B1521" t="s">
        <v>245</v>
      </c>
      <c r="C1521" s="3">
        <v>45230.847222222219</v>
      </c>
      <c r="D1521" s="11">
        <f>Logs_reseau[[#This Row],[Duree_Panne_Min]]/1440</f>
        <v>4.027777777777778E-2</v>
      </c>
      <c r="E1521">
        <v>58</v>
      </c>
      <c r="F1521" t="s">
        <v>4</v>
      </c>
      <c r="G1521">
        <f>IFERROR(VLOOKUP(Logs_reseau[[#This Row],[Cell_ID]],'[1]Registre_Maintenance_combine '!A:C,3,FALSE),"Non trouvé")</f>
        <v>-5.9021970000000001</v>
      </c>
      <c r="H1521">
        <f>IFERROR(VLOOKUP(Logs_reseau[[#This Row],[Cell_ID]],'[1]Registre_Maintenance_combine '!A:D,4,FALSE),"Non trouvé")</f>
        <v>20.551169999999999</v>
      </c>
      <c r="I1521" t="str">
        <f>IFERROR(VLOOKUP(Logs_reseau[[#This Row],[Cell_ID]],'[1]Registre_Maintenance_combine '!A:E,5,FALSE),"Non trouvé")</f>
        <v>3G</v>
      </c>
      <c r="J1521" t="str">
        <f>IFERROR(VLOOKUP(Logs_reseau[[#This Row],[Cell_ID]],'[1]Registre_Maintenance_combine '!A:F,6,FALSE),"Non trouvé")</f>
        <v>Huawei</v>
      </c>
    </row>
    <row r="1522" spans="1:10" x14ac:dyDescent="0.25">
      <c r="A1522" t="str">
        <f>IFERROR(VLOOKUP(Logs_reseau[[#This Row],[Cell_ID]],'[1]Registre_Maintenance_combine '!A:B,2,FALSE),"Non trouvé")</f>
        <v>Haut-Uele</v>
      </c>
      <c r="B1522" t="s">
        <v>516</v>
      </c>
      <c r="C1522" s="3">
        <v>45219.527083333334</v>
      </c>
      <c r="D1522" s="11">
        <f>Logs_reseau[[#This Row],[Duree_Panne_Min]]/1440</f>
        <v>6.5972222222222224E-2</v>
      </c>
      <c r="E1522">
        <v>95</v>
      </c>
      <c r="F1522" t="s">
        <v>1</v>
      </c>
      <c r="G1522">
        <f>IFERROR(VLOOKUP(Logs_reseau[[#This Row],[Cell_ID]],'[1]Registre_Maintenance_combine '!A:C,3,FALSE),"Non trouvé")</f>
        <v>-7.1483749999999997</v>
      </c>
      <c r="H1522">
        <f>IFERROR(VLOOKUP(Logs_reseau[[#This Row],[Cell_ID]],'[1]Registre_Maintenance_combine '!A:D,4,FALSE),"Non trouvé")</f>
        <v>26.014271000000001</v>
      </c>
      <c r="I1522" t="str">
        <f>IFERROR(VLOOKUP(Logs_reseau[[#This Row],[Cell_ID]],'[1]Registre_Maintenance_combine '!A:E,5,FALSE),"Non trouvé")</f>
        <v>5G</v>
      </c>
      <c r="J1522" t="str">
        <f>IFERROR(VLOOKUP(Logs_reseau[[#This Row],[Cell_ID]],'[1]Registre_Maintenance_combine '!A:F,6,FALSE),"Non trouvé")</f>
        <v>Huawei</v>
      </c>
    </row>
    <row r="1523" spans="1:10" x14ac:dyDescent="0.25">
      <c r="A1523" t="str">
        <f>IFERROR(VLOOKUP(Logs_reseau[[#This Row],[Cell_ID]],'[1]Registre_Maintenance_combine '!A:B,2,FALSE),"Non trouvé")</f>
        <v>Kwilu</v>
      </c>
      <c r="B1523" t="s">
        <v>290</v>
      </c>
      <c r="C1523" s="3">
        <v>45212.754861111112</v>
      </c>
      <c r="D1523" s="11">
        <f>Logs_reseau[[#This Row],[Duree_Panne_Min]]/1440</f>
        <v>7.7777777777777779E-2</v>
      </c>
      <c r="E1523">
        <v>112</v>
      </c>
      <c r="F1523" t="s">
        <v>4</v>
      </c>
      <c r="G1523">
        <f>IFERROR(VLOOKUP(Logs_reseau[[#This Row],[Cell_ID]],'[1]Registre_Maintenance_combine '!A:C,3,FALSE),"Non trouvé")</f>
        <v>2.4741019999999998</v>
      </c>
      <c r="H1523">
        <f>IFERROR(VLOOKUP(Logs_reseau[[#This Row],[Cell_ID]],'[1]Registre_Maintenance_combine '!A:D,4,FALSE),"Non trouvé")</f>
        <v>29.297391000000001</v>
      </c>
      <c r="I1523" t="str">
        <f>IFERROR(VLOOKUP(Logs_reseau[[#This Row],[Cell_ID]],'[1]Registre_Maintenance_combine '!A:E,5,FALSE),"Non trouvé")</f>
        <v>4G</v>
      </c>
      <c r="J1523" t="str">
        <f>IFERROR(VLOOKUP(Logs_reseau[[#This Row],[Cell_ID]],'[1]Registre_Maintenance_combine '!A:F,6,FALSE),"Non trouvé")</f>
        <v>Ericsson</v>
      </c>
    </row>
    <row r="1524" spans="1:10" x14ac:dyDescent="0.25">
      <c r="A1524" t="str">
        <f>IFERROR(VLOOKUP(Logs_reseau[[#This Row],[Cell_ID]],'[1]Registre_Maintenance_combine '!A:B,2,FALSE),"Non trouvé")</f>
        <v>Non trouvé</v>
      </c>
      <c r="B1524" t="s">
        <v>291</v>
      </c>
      <c r="C1524" s="3">
        <v>45211.495833333334</v>
      </c>
      <c r="D1524" s="11">
        <f>Logs_reseau[[#This Row],[Duree_Panne_Min]]/1440</f>
        <v>4.2361111111111113E-2</v>
      </c>
      <c r="E1524">
        <v>61</v>
      </c>
      <c r="F1524" t="s">
        <v>2</v>
      </c>
      <c r="G1524" t="str">
        <f>IFERROR(VLOOKUP(Logs_reseau[[#This Row],[Cell_ID]],'[1]Registre_Maintenance_combine '!A:C,3,FALSE),"Non trouvé")</f>
        <v>Non trouvé</v>
      </c>
      <c r="H1524" t="str">
        <f>IFERROR(VLOOKUP(Logs_reseau[[#This Row],[Cell_ID]],'[1]Registre_Maintenance_combine '!A:D,4,FALSE),"Non trouvé")</f>
        <v>Non trouvé</v>
      </c>
      <c r="I1524" t="str">
        <f>IFERROR(VLOOKUP(Logs_reseau[[#This Row],[Cell_ID]],'[1]Registre_Maintenance_combine '!A:E,5,FALSE),"Non trouvé")</f>
        <v>Non trouvé</v>
      </c>
      <c r="J1524" t="str">
        <f>IFERROR(VLOOKUP(Logs_reseau[[#This Row],[Cell_ID]],'[1]Registre_Maintenance_combine '!A:F,6,FALSE),"Non trouvé")</f>
        <v>Non trouvé</v>
      </c>
    </row>
    <row r="1525" spans="1:10" x14ac:dyDescent="0.25">
      <c r="A1525" t="str">
        <f>IFERROR(VLOOKUP(Logs_reseau[[#This Row],[Cell_ID]],'[1]Registre_Maintenance_combine '!A:B,2,FALSE),"Non trouvé")</f>
        <v>Non trouvé</v>
      </c>
      <c r="B1525" t="s">
        <v>593</v>
      </c>
      <c r="C1525" s="3">
        <v>45214.799305555556</v>
      </c>
      <c r="D1525" s="11">
        <f>Logs_reseau[[#This Row],[Duree_Panne_Min]]/1440</f>
        <v>4.6527777777777779E-2</v>
      </c>
      <c r="E1525">
        <v>67</v>
      </c>
      <c r="F1525" t="s">
        <v>1</v>
      </c>
      <c r="G1525" t="str">
        <f>IFERROR(VLOOKUP(Logs_reseau[[#This Row],[Cell_ID]],'[1]Registre_Maintenance_combine '!A:C,3,FALSE),"Non trouvé")</f>
        <v>Non trouvé</v>
      </c>
      <c r="H1525" t="str">
        <f>IFERROR(VLOOKUP(Logs_reseau[[#This Row],[Cell_ID]],'[1]Registre_Maintenance_combine '!A:D,4,FALSE),"Non trouvé")</f>
        <v>Non trouvé</v>
      </c>
      <c r="I1525" t="str">
        <f>IFERROR(VLOOKUP(Logs_reseau[[#This Row],[Cell_ID]],'[1]Registre_Maintenance_combine '!A:E,5,FALSE),"Non trouvé")</f>
        <v>Non trouvé</v>
      </c>
      <c r="J1525" t="str">
        <f>IFERROR(VLOOKUP(Logs_reseau[[#This Row],[Cell_ID]],'[1]Registre_Maintenance_combine '!A:F,6,FALSE),"Non trouvé")</f>
        <v>Non trouvé</v>
      </c>
    </row>
    <row r="1526" spans="1:10" x14ac:dyDescent="0.25">
      <c r="A1526" t="str">
        <f>IFERROR(VLOOKUP(Logs_reseau[[#This Row],[Cell_ID]],'[1]Registre_Maintenance_combine '!A:B,2,FALSE),"Non trouvé")</f>
        <v>Non trouvé</v>
      </c>
      <c r="B1526" t="s">
        <v>449</v>
      </c>
      <c r="C1526" s="3">
        <v>45226.90625</v>
      </c>
      <c r="D1526" s="11">
        <f>Logs_reseau[[#This Row],[Duree_Panne_Min]]/1440</f>
        <v>1.8055555555555554E-2</v>
      </c>
      <c r="E1526">
        <v>26</v>
      </c>
      <c r="F1526" t="s">
        <v>2</v>
      </c>
      <c r="G1526" t="str">
        <f>IFERROR(VLOOKUP(Logs_reseau[[#This Row],[Cell_ID]],'[1]Registre_Maintenance_combine '!A:C,3,FALSE),"Non trouvé")</f>
        <v>Non trouvé</v>
      </c>
      <c r="H1526" t="str">
        <f>IFERROR(VLOOKUP(Logs_reseau[[#This Row],[Cell_ID]],'[1]Registre_Maintenance_combine '!A:D,4,FALSE),"Non trouvé")</f>
        <v>Non trouvé</v>
      </c>
      <c r="I1526" t="str">
        <f>IFERROR(VLOOKUP(Logs_reseau[[#This Row],[Cell_ID]],'[1]Registre_Maintenance_combine '!A:E,5,FALSE),"Non trouvé")</f>
        <v>Non trouvé</v>
      </c>
      <c r="J1526" t="str">
        <f>IFERROR(VLOOKUP(Logs_reseau[[#This Row],[Cell_ID]],'[1]Registre_Maintenance_combine '!A:F,6,FALSE),"Non trouvé")</f>
        <v>Non trouvé</v>
      </c>
    </row>
    <row r="1527" spans="1:10" x14ac:dyDescent="0.25">
      <c r="A1527" t="str">
        <f>IFERROR(VLOOKUP(Logs_reseau[[#This Row],[Cell_ID]],'[1]Registre_Maintenance_combine '!A:B,2,FALSE),"Non trouvé")</f>
        <v>Non trouvé</v>
      </c>
      <c r="B1527" t="s">
        <v>35</v>
      </c>
      <c r="C1527" s="3">
        <v>45225.415277777778</v>
      </c>
      <c r="D1527" s="11">
        <f>Logs_reseau[[#This Row],[Duree_Panne_Min]]/1440</f>
        <v>1.0416666666666666E-2</v>
      </c>
      <c r="E1527">
        <v>15</v>
      </c>
      <c r="F1527" t="s">
        <v>1</v>
      </c>
      <c r="G1527" t="str">
        <f>IFERROR(VLOOKUP(Logs_reseau[[#This Row],[Cell_ID]],'[1]Registre_Maintenance_combine '!A:C,3,FALSE),"Non trouvé")</f>
        <v>Non trouvé</v>
      </c>
      <c r="H1527" t="str">
        <f>IFERROR(VLOOKUP(Logs_reseau[[#This Row],[Cell_ID]],'[1]Registre_Maintenance_combine '!A:D,4,FALSE),"Non trouvé")</f>
        <v>Non trouvé</v>
      </c>
      <c r="I1527" t="str">
        <f>IFERROR(VLOOKUP(Logs_reseau[[#This Row],[Cell_ID]],'[1]Registre_Maintenance_combine '!A:E,5,FALSE),"Non trouvé")</f>
        <v>Non trouvé</v>
      </c>
      <c r="J1527" t="str">
        <f>IFERROR(VLOOKUP(Logs_reseau[[#This Row],[Cell_ID]],'[1]Registre_Maintenance_combine '!A:F,6,FALSE),"Non trouvé")</f>
        <v>Non trouvé</v>
      </c>
    </row>
    <row r="1528" spans="1:10" x14ac:dyDescent="0.25">
      <c r="A1528" t="str">
        <f>IFERROR(VLOOKUP(Logs_reseau[[#This Row],[Cell_ID]],'[1]Registre_Maintenance_combine '!A:B,2,FALSE),"Non trouvé")</f>
        <v>Non trouvé</v>
      </c>
      <c r="B1528" t="s">
        <v>288</v>
      </c>
      <c r="C1528" s="3">
        <v>45219.753472222219</v>
      </c>
      <c r="D1528" s="11">
        <f>Logs_reseau[[#This Row],[Duree_Panne_Min]]/1440</f>
        <v>5.347222222222222E-2</v>
      </c>
      <c r="E1528">
        <v>77</v>
      </c>
      <c r="F1528" t="s">
        <v>1</v>
      </c>
      <c r="G1528" t="str">
        <f>IFERROR(VLOOKUP(Logs_reseau[[#This Row],[Cell_ID]],'[1]Registre_Maintenance_combine '!A:C,3,FALSE),"Non trouvé")</f>
        <v>Non trouvé</v>
      </c>
      <c r="H1528" t="str">
        <f>IFERROR(VLOOKUP(Logs_reseau[[#This Row],[Cell_ID]],'[1]Registre_Maintenance_combine '!A:D,4,FALSE),"Non trouvé")</f>
        <v>Non trouvé</v>
      </c>
      <c r="I1528" t="str">
        <f>IFERROR(VLOOKUP(Logs_reseau[[#This Row],[Cell_ID]],'[1]Registre_Maintenance_combine '!A:E,5,FALSE),"Non trouvé")</f>
        <v>Non trouvé</v>
      </c>
      <c r="J1528" t="str">
        <f>IFERROR(VLOOKUP(Logs_reseau[[#This Row],[Cell_ID]],'[1]Registre_Maintenance_combine '!A:F,6,FALSE),"Non trouvé")</f>
        <v>Non trouvé</v>
      </c>
    </row>
    <row r="1529" spans="1:10" x14ac:dyDescent="0.25">
      <c r="A1529" t="str">
        <f>IFERROR(VLOOKUP(Logs_reseau[[#This Row],[Cell_ID]],'[1]Registre_Maintenance_combine '!A:B,2,FALSE),"Non trouvé")</f>
        <v>Kasai-Central</v>
      </c>
      <c r="B1529" t="s">
        <v>205</v>
      </c>
      <c r="C1529" s="3">
        <v>45221.180555555555</v>
      </c>
      <c r="D1529" s="11">
        <f>Logs_reseau[[#This Row],[Duree_Panne_Min]]/1440</f>
        <v>5.5555555555555558E-3</v>
      </c>
      <c r="E1529">
        <v>8</v>
      </c>
      <c r="F1529" t="s">
        <v>1</v>
      </c>
      <c r="G1529">
        <f>IFERROR(VLOOKUP(Logs_reseau[[#This Row],[Cell_ID]],'[1]Registre_Maintenance_combine '!A:C,3,FALSE),"Non trouvé")</f>
        <v>-1.648264</v>
      </c>
      <c r="H1529">
        <f>IFERROR(VLOOKUP(Logs_reseau[[#This Row],[Cell_ID]],'[1]Registre_Maintenance_combine '!A:D,4,FALSE),"Non trouvé")</f>
        <v>28.866143999999998</v>
      </c>
      <c r="I1529" t="str">
        <f>IFERROR(VLOOKUP(Logs_reseau[[#This Row],[Cell_ID]],'[1]Registre_Maintenance_combine '!A:E,5,FALSE),"Non trouvé")</f>
        <v>5G</v>
      </c>
      <c r="J1529" t="str">
        <f>IFERROR(VLOOKUP(Logs_reseau[[#This Row],[Cell_ID]],'[1]Registre_Maintenance_combine '!A:F,6,FALSE),"Non trouvé")</f>
        <v>Ericsson</v>
      </c>
    </row>
    <row r="1530" spans="1:10" x14ac:dyDescent="0.25">
      <c r="A1530" t="str">
        <f>IFERROR(VLOOKUP(Logs_reseau[[#This Row],[Cell_ID]],'[1]Registre_Maintenance_combine '!A:B,2,FALSE),"Non trouvé")</f>
        <v>Tanganyika</v>
      </c>
      <c r="B1530" t="s">
        <v>518</v>
      </c>
      <c r="C1530" s="3">
        <v>45203.304861111108</v>
      </c>
      <c r="D1530" s="11">
        <f>Logs_reseau[[#This Row],[Duree_Panne_Min]]/1440</f>
        <v>7.3611111111111113E-2</v>
      </c>
      <c r="E1530">
        <v>106</v>
      </c>
      <c r="F1530" t="s">
        <v>2</v>
      </c>
      <c r="G1530">
        <f>IFERROR(VLOOKUP(Logs_reseau[[#This Row],[Cell_ID]],'[1]Registre_Maintenance_combine '!A:C,3,FALSE),"Non trouvé")</f>
        <v>-11.793894</v>
      </c>
      <c r="H1530">
        <f>IFERROR(VLOOKUP(Logs_reseau[[#This Row],[Cell_ID]],'[1]Registre_Maintenance_combine '!A:D,4,FALSE),"Non trouvé")</f>
        <v>20.433340999999999</v>
      </c>
      <c r="I1530" t="str">
        <f>IFERROR(VLOOKUP(Logs_reseau[[#This Row],[Cell_ID]],'[1]Registre_Maintenance_combine '!A:E,5,FALSE),"Non trouvé")</f>
        <v>5G</v>
      </c>
      <c r="J1530" t="str">
        <f>IFERROR(VLOOKUP(Logs_reseau[[#This Row],[Cell_ID]],'[1]Registre_Maintenance_combine '!A:F,6,FALSE),"Non trouvé")</f>
        <v>Nokia</v>
      </c>
    </row>
    <row r="1531" spans="1:10" x14ac:dyDescent="0.25">
      <c r="A1531" t="str">
        <f>IFERROR(VLOOKUP(Logs_reseau[[#This Row],[Cell_ID]],'[1]Registre_Maintenance_combine '!A:B,2,FALSE),"Non trouvé")</f>
        <v>Sud-Kivu</v>
      </c>
      <c r="B1531" t="s">
        <v>286</v>
      </c>
      <c r="C1531" s="3">
        <v>45203.224305555559</v>
      </c>
      <c r="D1531" s="11">
        <f>Logs_reseau[[#This Row],[Duree_Panne_Min]]/1440</f>
        <v>7.0833333333333331E-2</v>
      </c>
      <c r="E1531">
        <v>102</v>
      </c>
      <c r="F1531" t="s">
        <v>4</v>
      </c>
      <c r="G1531">
        <f>IFERROR(VLOOKUP(Logs_reseau[[#This Row],[Cell_ID]],'[1]Registre_Maintenance_combine '!A:C,3,FALSE),"Non trouvé")</f>
        <v>-9.4702129999999993</v>
      </c>
      <c r="H1531">
        <f>IFERROR(VLOOKUP(Logs_reseau[[#This Row],[Cell_ID]],'[1]Registre_Maintenance_combine '!A:D,4,FALSE),"Non trouvé")</f>
        <v>12.826158</v>
      </c>
      <c r="I1531" t="str">
        <f>IFERROR(VLOOKUP(Logs_reseau[[#This Row],[Cell_ID]],'[1]Registre_Maintenance_combine '!A:E,5,FALSE),"Non trouvé")</f>
        <v>3G</v>
      </c>
      <c r="J1531" t="str">
        <f>IFERROR(VLOOKUP(Logs_reseau[[#This Row],[Cell_ID]],'[1]Registre_Maintenance_combine '!A:F,6,FALSE),"Non trouvé")</f>
        <v>Ericsson</v>
      </c>
    </row>
    <row r="1532" spans="1:10" x14ac:dyDescent="0.25">
      <c r="A1532" t="str">
        <f>IFERROR(VLOOKUP(Logs_reseau[[#This Row],[Cell_ID]],'[1]Registre_Maintenance_combine '!A:B,2,FALSE),"Non trouvé")</f>
        <v>Mongala</v>
      </c>
      <c r="B1532" t="s">
        <v>443</v>
      </c>
      <c r="C1532" s="3">
        <v>45222.188888888886</v>
      </c>
      <c r="D1532" s="11">
        <f>Logs_reseau[[#This Row],[Duree_Panne_Min]]/1440</f>
        <v>2.2916666666666665E-2</v>
      </c>
      <c r="E1532">
        <v>33</v>
      </c>
      <c r="F1532" t="s">
        <v>1</v>
      </c>
      <c r="G1532">
        <f>IFERROR(VLOOKUP(Logs_reseau[[#This Row],[Cell_ID]],'[1]Registre_Maintenance_combine '!A:C,3,FALSE),"Non trouvé")</f>
        <v>-5.3762689999999997</v>
      </c>
      <c r="H1532">
        <f>IFERROR(VLOOKUP(Logs_reseau[[#This Row],[Cell_ID]],'[1]Registre_Maintenance_combine '!A:D,4,FALSE),"Non trouvé")</f>
        <v>28.189575999999999</v>
      </c>
      <c r="I1532" t="str">
        <f>IFERROR(VLOOKUP(Logs_reseau[[#This Row],[Cell_ID]],'[1]Registre_Maintenance_combine '!A:E,5,FALSE),"Non trouvé")</f>
        <v>5G</v>
      </c>
      <c r="J1532" t="str">
        <f>IFERROR(VLOOKUP(Logs_reseau[[#This Row],[Cell_ID]],'[1]Registre_Maintenance_combine '!A:F,6,FALSE),"Non trouvé")</f>
        <v>Huawei</v>
      </c>
    </row>
    <row r="1533" spans="1:10" x14ac:dyDescent="0.25">
      <c r="A1533" t="str">
        <f>IFERROR(VLOOKUP(Logs_reseau[[#This Row],[Cell_ID]],'[1]Registre_Maintenance_combine '!A:B,2,FALSE),"Non trouvé")</f>
        <v>Kasai-Central</v>
      </c>
      <c r="B1533" t="s">
        <v>91</v>
      </c>
      <c r="C1533" s="3">
        <v>45212.568055555559</v>
      </c>
      <c r="D1533" s="11">
        <f>Logs_reseau[[#This Row],[Duree_Panne_Min]]/1440</f>
        <v>2.9166666666666667E-2</v>
      </c>
      <c r="E1533">
        <v>42</v>
      </c>
      <c r="F1533" t="s">
        <v>2</v>
      </c>
      <c r="G1533">
        <f>IFERROR(VLOOKUP(Logs_reseau[[#This Row],[Cell_ID]],'[1]Registre_Maintenance_combine '!A:C,3,FALSE),"Non trouvé")</f>
        <v>-7.3379339999999997</v>
      </c>
      <c r="H1533">
        <f>IFERROR(VLOOKUP(Logs_reseau[[#This Row],[Cell_ID]],'[1]Registre_Maintenance_combine '!A:D,4,FALSE),"Non trouvé")</f>
        <v>28.404001999999998</v>
      </c>
      <c r="I1533" t="str">
        <f>IFERROR(VLOOKUP(Logs_reseau[[#This Row],[Cell_ID]],'[1]Registre_Maintenance_combine '!A:E,5,FALSE),"Non trouvé")</f>
        <v>3G</v>
      </c>
      <c r="J1533" t="str">
        <f>IFERROR(VLOOKUP(Logs_reseau[[#This Row],[Cell_ID]],'[1]Registre_Maintenance_combine '!A:F,6,FALSE),"Non trouvé")</f>
        <v>Nokia</v>
      </c>
    </row>
    <row r="1534" spans="1:10" x14ac:dyDescent="0.25">
      <c r="A1534" t="str">
        <f>IFERROR(VLOOKUP(Logs_reseau[[#This Row],[Cell_ID]],'[1]Registre_Maintenance_combine '!A:B,2,FALSE),"Non trouvé")</f>
        <v>Kasai-Central</v>
      </c>
      <c r="B1534" t="s">
        <v>594</v>
      </c>
      <c r="C1534" s="3">
        <v>45204.76666666667</v>
      </c>
      <c r="D1534" s="11">
        <f>Logs_reseau[[#This Row],[Duree_Panne_Min]]/1440</f>
        <v>6.2500000000000003E-3</v>
      </c>
      <c r="E1534">
        <v>9</v>
      </c>
      <c r="F1534" t="s">
        <v>4</v>
      </c>
      <c r="G1534">
        <f>IFERROR(VLOOKUP(Logs_reseau[[#This Row],[Cell_ID]],'[1]Registre_Maintenance_combine '!A:C,3,FALSE),"Non trouvé")</f>
        <v>-12.560556999999999</v>
      </c>
      <c r="H1534">
        <f>IFERROR(VLOOKUP(Logs_reseau[[#This Row],[Cell_ID]],'[1]Registre_Maintenance_combine '!A:D,4,FALSE),"Non trouvé")</f>
        <v>13.204014000000001</v>
      </c>
      <c r="I1534" t="str">
        <f>IFERROR(VLOOKUP(Logs_reseau[[#This Row],[Cell_ID]],'[1]Registre_Maintenance_combine '!A:E,5,FALSE),"Non trouvé")</f>
        <v>4G</v>
      </c>
      <c r="J1534" t="str">
        <f>IFERROR(VLOOKUP(Logs_reseau[[#This Row],[Cell_ID]],'[1]Registre_Maintenance_combine '!A:F,6,FALSE),"Non trouvé")</f>
        <v>Ericsson</v>
      </c>
    </row>
    <row r="1535" spans="1:10" x14ac:dyDescent="0.25">
      <c r="A1535" t="str">
        <f>IFERROR(VLOOKUP(Logs_reseau[[#This Row],[Cell_ID]],'[1]Registre_Maintenance_combine '!A:B,2,FALSE),"Non trouvé")</f>
        <v>Non trouvé</v>
      </c>
      <c r="B1535" t="s">
        <v>367</v>
      </c>
      <c r="C1535" s="3">
        <v>45202.868055555555</v>
      </c>
      <c r="D1535" s="11">
        <f>Logs_reseau[[#This Row],[Duree_Panne_Min]]/1440</f>
        <v>6.3194444444444442E-2</v>
      </c>
      <c r="E1535">
        <v>91</v>
      </c>
      <c r="F1535" t="s">
        <v>2</v>
      </c>
      <c r="G1535" t="str">
        <f>IFERROR(VLOOKUP(Logs_reseau[[#This Row],[Cell_ID]],'[1]Registre_Maintenance_combine '!A:C,3,FALSE),"Non trouvé")</f>
        <v>Non trouvé</v>
      </c>
      <c r="H1535" t="str">
        <f>IFERROR(VLOOKUP(Logs_reseau[[#This Row],[Cell_ID]],'[1]Registre_Maintenance_combine '!A:D,4,FALSE),"Non trouvé")</f>
        <v>Non trouvé</v>
      </c>
      <c r="I1535" t="str">
        <f>IFERROR(VLOOKUP(Logs_reseau[[#This Row],[Cell_ID]],'[1]Registre_Maintenance_combine '!A:E,5,FALSE),"Non trouvé")</f>
        <v>Non trouvé</v>
      </c>
      <c r="J1535" t="str">
        <f>IFERROR(VLOOKUP(Logs_reseau[[#This Row],[Cell_ID]],'[1]Registre_Maintenance_combine '!A:F,6,FALSE),"Non trouvé")</f>
        <v>Non trouvé</v>
      </c>
    </row>
    <row r="1536" spans="1:10" x14ac:dyDescent="0.25">
      <c r="A1536" t="str">
        <f>IFERROR(VLOOKUP(Logs_reseau[[#This Row],[Cell_ID]],'[1]Registre_Maintenance_combine '!A:B,2,FALSE),"Non trouvé")</f>
        <v>Non trouvé</v>
      </c>
      <c r="B1536" t="s">
        <v>401</v>
      </c>
      <c r="C1536" s="3">
        <v>45228.100694444445</v>
      </c>
      <c r="D1536" s="11">
        <f>Logs_reseau[[#This Row],[Duree_Panne_Min]]/1440</f>
        <v>1.5972222222222221E-2</v>
      </c>
      <c r="E1536">
        <v>23</v>
      </c>
      <c r="F1536" t="s">
        <v>4</v>
      </c>
      <c r="G1536" t="str">
        <f>IFERROR(VLOOKUP(Logs_reseau[[#This Row],[Cell_ID]],'[1]Registre_Maintenance_combine '!A:C,3,FALSE),"Non trouvé")</f>
        <v>Non trouvé</v>
      </c>
      <c r="H1536" t="str">
        <f>IFERROR(VLOOKUP(Logs_reseau[[#This Row],[Cell_ID]],'[1]Registre_Maintenance_combine '!A:D,4,FALSE),"Non trouvé")</f>
        <v>Non trouvé</v>
      </c>
      <c r="I1536" t="str">
        <f>IFERROR(VLOOKUP(Logs_reseau[[#This Row],[Cell_ID]],'[1]Registre_Maintenance_combine '!A:E,5,FALSE),"Non trouvé")</f>
        <v>Non trouvé</v>
      </c>
      <c r="J1536" t="str">
        <f>IFERROR(VLOOKUP(Logs_reseau[[#This Row],[Cell_ID]],'[1]Registre_Maintenance_combine '!A:F,6,FALSE),"Non trouvé")</f>
        <v>Non trouvé</v>
      </c>
    </row>
    <row r="1537" spans="1:10" x14ac:dyDescent="0.25">
      <c r="A1537" t="str">
        <f>IFERROR(VLOOKUP(Logs_reseau[[#This Row],[Cell_ID]],'[1]Registre_Maintenance_combine '!A:B,2,FALSE),"Non trouvé")</f>
        <v>Bas-Uele</v>
      </c>
      <c r="B1537" t="s">
        <v>455</v>
      </c>
      <c r="C1537" s="3">
        <v>45216.970138888886</v>
      </c>
      <c r="D1537" s="11">
        <f>Logs_reseau[[#This Row],[Duree_Panne_Min]]/1440</f>
        <v>9.0277777777777769E-3</v>
      </c>
      <c r="E1537">
        <v>13</v>
      </c>
      <c r="F1537" t="s">
        <v>4</v>
      </c>
      <c r="G1537">
        <f>IFERROR(VLOOKUP(Logs_reseau[[#This Row],[Cell_ID]],'[1]Registre_Maintenance_combine '!A:C,3,FALSE),"Non trouvé")</f>
        <v>-6.4197189999999997</v>
      </c>
      <c r="H1537">
        <f>IFERROR(VLOOKUP(Logs_reseau[[#This Row],[Cell_ID]],'[1]Registre_Maintenance_combine '!A:D,4,FALSE),"Non trouvé")</f>
        <v>22.287264</v>
      </c>
      <c r="I1537" t="str">
        <f>IFERROR(VLOOKUP(Logs_reseau[[#This Row],[Cell_ID]],'[1]Registre_Maintenance_combine '!A:E,5,FALSE),"Non trouvé")</f>
        <v>3G</v>
      </c>
      <c r="J1537" t="str">
        <f>IFERROR(VLOOKUP(Logs_reseau[[#This Row],[Cell_ID]],'[1]Registre_Maintenance_combine '!A:F,6,FALSE),"Non trouvé")</f>
        <v>Ericsson</v>
      </c>
    </row>
    <row r="1538" spans="1:10" x14ac:dyDescent="0.25">
      <c r="A1538" t="str">
        <f>IFERROR(VLOOKUP(Logs_reseau[[#This Row],[Cell_ID]],'[1]Registre_Maintenance_combine '!A:B,2,FALSE),"Non trouvé")</f>
        <v>Non trouvé</v>
      </c>
      <c r="B1538" t="s">
        <v>220</v>
      </c>
      <c r="C1538" s="3">
        <v>45222.478472222225</v>
      </c>
      <c r="D1538" s="11">
        <f>Logs_reseau[[#This Row],[Duree_Panne_Min]]/1440</f>
        <v>0.05</v>
      </c>
      <c r="E1538">
        <v>72</v>
      </c>
      <c r="F1538" t="s">
        <v>2</v>
      </c>
      <c r="G1538" t="str">
        <f>IFERROR(VLOOKUP(Logs_reseau[[#This Row],[Cell_ID]],'[1]Registre_Maintenance_combine '!A:C,3,FALSE),"Non trouvé")</f>
        <v>Non trouvé</v>
      </c>
      <c r="H1538" t="str">
        <f>IFERROR(VLOOKUP(Logs_reseau[[#This Row],[Cell_ID]],'[1]Registre_Maintenance_combine '!A:D,4,FALSE),"Non trouvé")</f>
        <v>Non trouvé</v>
      </c>
      <c r="I1538" t="str">
        <f>IFERROR(VLOOKUP(Logs_reseau[[#This Row],[Cell_ID]],'[1]Registre_Maintenance_combine '!A:E,5,FALSE),"Non trouvé")</f>
        <v>Non trouvé</v>
      </c>
      <c r="J1538" t="str">
        <f>IFERROR(VLOOKUP(Logs_reseau[[#This Row],[Cell_ID]],'[1]Registre_Maintenance_combine '!A:F,6,FALSE),"Non trouvé")</f>
        <v>Non trouvé</v>
      </c>
    </row>
    <row r="1539" spans="1:10" x14ac:dyDescent="0.25">
      <c r="A1539" t="str">
        <f>IFERROR(VLOOKUP(Logs_reseau[[#This Row],[Cell_ID]],'[1]Registre_Maintenance_combine '!A:B,2,FALSE),"Non trouvé")</f>
        <v>Kinshasa</v>
      </c>
      <c r="B1539" t="s">
        <v>595</v>
      </c>
      <c r="C1539" s="3">
        <v>45230.638888888891</v>
      </c>
      <c r="D1539" s="11">
        <f>Logs_reseau[[#This Row],[Duree_Panne_Min]]/1440</f>
        <v>5.347222222222222E-2</v>
      </c>
      <c r="E1539">
        <v>77</v>
      </c>
      <c r="F1539" t="s">
        <v>2</v>
      </c>
      <c r="G1539">
        <f>IFERROR(VLOOKUP(Logs_reseau[[#This Row],[Cell_ID]],'[1]Registre_Maintenance_combine '!A:C,3,FALSE),"Non trouvé")</f>
        <v>-0.57104900000000003</v>
      </c>
      <c r="H1539">
        <f>IFERROR(VLOOKUP(Logs_reseau[[#This Row],[Cell_ID]],'[1]Registre_Maintenance_combine '!A:D,4,FALSE),"Non trouvé")</f>
        <v>15.317663</v>
      </c>
      <c r="I1539" t="str">
        <f>IFERROR(VLOOKUP(Logs_reseau[[#This Row],[Cell_ID]],'[1]Registre_Maintenance_combine '!A:E,5,FALSE),"Non trouvé")</f>
        <v>5G</v>
      </c>
      <c r="J1539" t="str">
        <f>IFERROR(VLOOKUP(Logs_reseau[[#This Row],[Cell_ID]],'[1]Registre_Maintenance_combine '!A:F,6,FALSE),"Non trouvé")</f>
        <v>Nokia</v>
      </c>
    </row>
    <row r="1540" spans="1:10" x14ac:dyDescent="0.25">
      <c r="A1540" t="str">
        <f>IFERROR(VLOOKUP(Logs_reseau[[#This Row],[Cell_ID]],'[1]Registre_Maintenance_combine '!A:B,2,FALSE),"Non trouvé")</f>
        <v>Kwango</v>
      </c>
      <c r="B1540" t="s">
        <v>259</v>
      </c>
      <c r="C1540" s="3">
        <v>45218.038194444445</v>
      </c>
      <c r="D1540" s="11">
        <f>Logs_reseau[[#This Row],[Duree_Panne_Min]]/1440</f>
        <v>4.1666666666666666E-3</v>
      </c>
      <c r="E1540">
        <v>6</v>
      </c>
      <c r="F1540" t="s">
        <v>1</v>
      </c>
      <c r="G1540">
        <f>IFERROR(VLOOKUP(Logs_reseau[[#This Row],[Cell_ID]],'[1]Registre_Maintenance_combine '!A:C,3,FALSE),"Non trouvé")</f>
        <v>-9.7712979999999998</v>
      </c>
      <c r="H1540">
        <f>IFERROR(VLOOKUP(Logs_reseau[[#This Row],[Cell_ID]],'[1]Registre_Maintenance_combine '!A:D,4,FALSE),"Non trouvé")</f>
        <v>19.827895999999999</v>
      </c>
      <c r="I1540" t="str">
        <f>IFERROR(VLOOKUP(Logs_reseau[[#This Row],[Cell_ID]],'[1]Registre_Maintenance_combine '!A:E,5,FALSE),"Non trouvé")</f>
        <v>3G</v>
      </c>
      <c r="J1540" t="str">
        <f>IFERROR(VLOOKUP(Logs_reseau[[#This Row],[Cell_ID]],'[1]Registre_Maintenance_combine '!A:F,6,FALSE),"Non trouvé")</f>
        <v>ZTE</v>
      </c>
    </row>
    <row r="1541" spans="1:10" x14ac:dyDescent="0.25">
      <c r="A1541" t="str">
        <f>IFERROR(VLOOKUP(Logs_reseau[[#This Row],[Cell_ID]],'[1]Registre_Maintenance_combine '!A:B,2,FALSE),"Non trouvé")</f>
        <v>Non trouvé</v>
      </c>
      <c r="B1541" t="s">
        <v>30</v>
      </c>
      <c r="C1541" s="3">
        <v>45224.961805555555</v>
      </c>
      <c r="D1541" s="11">
        <f>Logs_reseau[[#This Row],[Duree_Panne_Min]]/1440</f>
        <v>5.7638888888888892E-2</v>
      </c>
      <c r="E1541">
        <v>83</v>
      </c>
      <c r="F1541" t="s">
        <v>4</v>
      </c>
      <c r="G1541" t="str">
        <f>IFERROR(VLOOKUP(Logs_reseau[[#This Row],[Cell_ID]],'[1]Registre_Maintenance_combine '!A:C,3,FALSE),"Non trouvé")</f>
        <v>Non trouvé</v>
      </c>
      <c r="H1541" t="str">
        <f>IFERROR(VLOOKUP(Logs_reseau[[#This Row],[Cell_ID]],'[1]Registre_Maintenance_combine '!A:D,4,FALSE),"Non trouvé")</f>
        <v>Non trouvé</v>
      </c>
      <c r="I1541" t="str">
        <f>IFERROR(VLOOKUP(Logs_reseau[[#This Row],[Cell_ID]],'[1]Registre_Maintenance_combine '!A:E,5,FALSE),"Non trouvé")</f>
        <v>Non trouvé</v>
      </c>
      <c r="J1541" t="str">
        <f>IFERROR(VLOOKUP(Logs_reseau[[#This Row],[Cell_ID]],'[1]Registre_Maintenance_combine '!A:F,6,FALSE),"Non trouvé")</f>
        <v>Non trouvé</v>
      </c>
    </row>
    <row r="1542" spans="1:10" x14ac:dyDescent="0.25">
      <c r="A1542" t="str">
        <f>IFERROR(VLOOKUP(Logs_reseau[[#This Row],[Cell_ID]],'[1]Registre_Maintenance_combine '!A:B,2,FALSE),"Non trouvé")</f>
        <v>Lualaba</v>
      </c>
      <c r="B1542" t="s">
        <v>557</v>
      </c>
      <c r="C1542" s="3">
        <v>45223.611111111109</v>
      </c>
      <c r="D1542" s="11">
        <f>Logs_reseau[[#This Row],[Duree_Panne_Min]]/1440</f>
        <v>6.1111111111111109E-2</v>
      </c>
      <c r="E1542">
        <v>88</v>
      </c>
      <c r="F1542" t="s">
        <v>1</v>
      </c>
      <c r="G1542">
        <f>IFERROR(VLOOKUP(Logs_reseau[[#This Row],[Cell_ID]],'[1]Registre_Maintenance_combine '!A:C,3,FALSE),"Non trouvé")</f>
        <v>-8.0301989999999996</v>
      </c>
      <c r="H1542">
        <f>IFERROR(VLOOKUP(Logs_reseau[[#This Row],[Cell_ID]],'[1]Registre_Maintenance_combine '!A:D,4,FALSE),"Non trouvé")</f>
        <v>24.122495000000001</v>
      </c>
      <c r="I1542" t="str">
        <f>IFERROR(VLOOKUP(Logs_reseau[[#This Row],[Cell_ID]],'[1]Registre_Maintenance_combine '!A:E,5,FALSE),"Non trouvé")</f>
        <v>5G</v>
      </c>
      <c r="J1542" t="str">
        <f>IFERROR(VLOOKUP(Logs_reseau[[#This Row],[Cell_ID]],'[1]Registre_Maintenance_combine '!A:F,6,FALSE),"Non trouvé")</f>
        <v>ZTE</v>
      </c>
    </row>
    <row r="1543" spans="1:10" x14ac:dyDescent="0.25">
      <c r="A1543" t="str">
        <f>IFERROR(VLOOKUP(Logs_reseau[[#This Row],[Cell_ID]],'[1]Registre_Maintenance_combine '!A:B,2,FALSE),"Non trouvé")</f>
        <v>Non trouvé</v>
      </c>
      <c r="B1543" t="s">
        <v>596</v>
      </c>
      <c r="C1543" s="3">
        <v>45221.931944444441</v>
      </c>
      <c r="D1543" s="11">
        <f>Logs_reseau[[#This Row],[Duree_Panne_Min]]/1440</f>
        <v>1.8055555555555554E-2</v>
      </c>
      <c r="E1543">
        <v>26</v>
      </c>
      <c r="F1543" t="s">
        <v>1</v>
      </c>
      <c r="G1543" t="str">
        <f>IFERROR(VLOOKUP(Logs_reseau[[#This Row],[Cell_ID]],'[1]Registre_Maintenance_combine '!A:C,3,FALSE),"Non trouvé")</f>
        <v>Non trouvé</v>
      </c>
      <c r="H1543" t="str">
        <f>IFERROR(VLOOKUP(Logs_reseau[[#This Row],[Cell_ID]],'[1]Registre_Maintenance_combine '!A:D,4,FALSE),"Non trouvé")</f>
        <v>Non trouvé</v>
      </c>
      <c r="I1543" t="str">
        <f>IFERROR(VLOOKUP(Logs_reseau[[#This Row],[Cell_ID]],'[1]Registre_Maintenance_combine '!A:E,5,FALSE),"Non trouvé")</f>
        <v>Non trouvé</v>
      </c>
      <c r="J1543" t="str">
        <f>IFERROR(VLOOKUP(Logs_reseau[[#This Row],[Cell_ID]],'[1]Registre_Maintenance_combine '!A:F,6,FALSE),"Non trouvé")</f>
        <v>Non trouvé</v>
      </c>
    </row>
    <row r="1544" spans="1:10" x14ac:dyDescent="0.25">
      <c r="A1544" t="str">
        <f>IFERROR(VLOOKUP(Logs_reseau[[#This Row],[Cell_ID]],'[1]Registre_Maintenance_combine '!A:B,2,FALSE),"Non trouvé")</f>
        <v>Non trouvé</v>
      </c>
      <c r="B1544" t="s">
        <v>597</v>
      </c>
      <c r="C1544" s="3">
        <v>45227.118055555555</v>
      </c>
      <c r="D1544" s="11">
        <f>Logs_reseau[[#This Row],[Duree_Panne_Min]]/1440</f>
        <v>4.2361111111111113E-2</v>
      </c>
      <c r="E1544">
        <v>61</v>
      </c>
      <c r="F1544" t="s">
        <v>2</v>
      </c>
      <c r="G1544" t="str">
        <f>IFERROR(VLOOKUP(Logs_reseau[[#This Row],[Cell_ID]],'[1]Registre_Maintenance_combine '!A:C,3,FALSE),"Non trouvé")</f>
        <v>Non trouvé</v>
      </c>
      <c r="H1544" t="str">
        <f>IFERROR(VLOOKUP(Logs_reseau[[#This Row],[Cell_ID]],'[1]Registre_Maintenance_combine '!A:D,4,FALSE),"Non trouvé")</f>
        <v>Non trouvé</v>
      </c>
      <c r="I1544" t="str">
        <f>IFERROR(VLOOKUP(Logs_reseau[[#This Row],[Cell_ID]],'[1]Registre_Maintenance_combine '!A:E,5,FALSE),"Non trouvé")</f>
        <v>Non trouvé</v>
      </c>
      <c r="J1544" t="str">
        <f>IFERROR(VLOOKUP(Logs_reseau[[#This Row],[Cell_ID]],'[1]Registre_Maintenance_combine '!A:F,6,FALSE),"Non trouvé")</f>
        <v>Non trouvé</v>
      </c>
    </row>
    <row r="1545" spans="1:10" x14ac:dyDescent="0.25">
      <c r="A1545" t="str">
        <f>IFERROR(VLOOKUP(Logs_reseau[[#This Row],[Cell_ID]],'[1]Registre_Maintenance_combine '!A:B,2,FALSE),"Non trouvé")</f>
        <v>Non trouvé</v>
      </c>
      <c r="B1545" t="s">
        <v>203</v>
      </c>
      <c r="C1545" s="3">
        <v>45217.509027777778</v>
      </c>
      <c r="D1545" s="11">
        <f>Logs_reseau[[#This Row],[Duree_Panne_Min]]/1440</f>
        <v>3.4027777777777775E-2</v>
      </c>
      <c r="E1545">
        <v>49</v>
      </c>
      <c r="F1545" t="s">
        <v>1</v>
      </c>
      <c r="G1545" t="str">
        <f>IFERROR(VLOOKUP(Logs_reseau[[#This Row],[Cell_ID]],'[1]Registre_Maintenance_combine '!A:C,3,FALSE),"Non trouvé")</f>
        <v>Non trouvé</v>
      </c>
      <c r="H1545" t="str">
        <f>IFERROR(VLOOKUP(Logs_reseau[[#This Row],[Cell_ID]],'[1]Registre_Maintenance_combine '!A:D,4,FALSE),"Non trouvé")</f>
        <v>Non trouvé</v>
      </c>
      <c r="I1545" t="str">
        <f>IFERROR(VLOOKUP(Logs_reseau[[#This Row],[Cell_ID]],'[1]Registre_Maintenance_combine '!A:E,5,FALSE),"Non trouvé")</f>
        <v>Non trouvé</v>
      </c>
      <c r="J1545" t="str">
        <f>IFERROR(VLOOKUP(Logs_reseau[[#This Row],[Cell_ID]],'[1]Registre_Maintenance_combine '!A:F,6,FALSE),"Non trouvé")</f>
        <v>Non trouvé</v>
      </c>
    </row>
    <row r="1546" spans="1:10" x14ac:dyDescent="0.25">
      <c r="A1546" t="str">
        <f>IFERROR(VLOOKUP(Logs_reseau[[#This Row],[Cell_ID]],'[1]Registre_Maintenance_combine '!A:B,2,FALSE),"Non trouvé")</f>
        <v>Non trouvé</v>
      </c>
      <c r="B1546" t="s">
        <v>598</v>
      </c>
      <c r="C1546" s="3">
        <v>45230.577777777777</v>
      </c>
      <c r="D1546" s="11">
        <f>Logs_reseau[[#This Row],[Duree_Panne_Min]]/1440</f>
        <v>6.7361111111111108E-2</v>
      </c>
      <c r="E1546">
        <v>97</v>
      </c>
      <c r="F1546" t="s">
        <v>1</v>
      </c>
      <c r="G1546" t="str">
        <f>IFERROR(VLOOKUP(Logs_reseau[[#This Row],[Cell_ID]],'[1]Registre_Maintenance_combine '!A:C,3,FALSE),"Non trouvé")</f>
        <v>Non trouvé</v>
      </c>
      <c r="H1546" t="str">
        <f>IFERROR(VLOOKUP(Logs_reseau[[#This Row],[Cell_ID]],'[1]Registre_Maintenance_combine '!A:D,4,FALSE),"Non trouvé")</f>
        <v>Non trouvé</v>
      </c>
      <c r="I1546" t="str">
        <f>IFERROR(VLOOKUP(Logs_reseau[[#This Row],[Cell_ID]],'[1]Registre_Maintenance_combine '!A:E,5,FALSE),"Non trouvé")</f>
        <v>Non trouvé</v>
      </c>
      <c r="J1546" t="str">
        <f>IFERROR(VLOOKUP(Logs_reseau[[#This Row],[Cell_ID]],'[1]Registre_Maintenance_combine '!A:F,6,FALSE),"Non trouvé")</f>
        <v>Non trouvé</v>
      </c>
    </row>
    <row r="1547" spans="1:10" x14ac:dyDescent="0.25">
      <c r="A1547" t="str">
        <f>IFERROR(VLOOKUP(Logs_reseau[[#This Row],[Cell_ID]],'[1]Registre_Maintenance_combine '!A:B,2,FALSE),"Non trouvé")</f>
        <v>Sud-Kivu</v>
      </c>
      <c r="B1547" t="s">
        <v>599</v>
      </c>
      <c r="C1547" s="3">
        <v>45206.636805555558</v>
      </c>
      <c r="D1547" s="11">
        <f>Logs_reseau[[#This Row],[Duree_Panne_Min]]/1440</f>
        <v>2.2222222222222223E-2</v>
      </c>
      <c r="E1547">
        <v>32</v>
      </c>
      <c r="F1547" t="s">
        <v>4</v>
      </c>
      <c r="G1547">
        <f>IFERROR(VLOOKUP(Logs_reseau[[#This Row],[Cell_ID]],'[1]Registre_Maintenance_combine '!A:C,3,FALSE),"Non trouvé")</f>
        <v>-11.514817000000001</v>
      </c>
      <c r="H1547">
        <f>IFERROR(VLOOKUP(Logs_reseau[[#This Row],[Cell_ID]],'[1]Registre_Maintenance_combine '!A:D,4,FALSE),"Non trouvé")</f>
        <v>24.891375</v>
      </c>
      <c r="I1547" t="str">
        <f>IFERROR(VLOOKUP(Logs_reseau[[#This Row],[Cell_ID]],'[1]Registre_Maintenance_combine '!A:E,5,FALSE),"Non trouvé")</f>
        <v>3G</v>
      </c>
      <c r="J1547" t="str">
        <f>IFERROR(VLOOKUP(Logs_reseau[[#This Row],[Cell_ID]],'[1]Registre_Maintenance_combine '!A:F,6,FALSE),"Non trouvé")</f>
        <v>Nokia</v>
      </c>
    </row>
    <row r="1548" spans="1:10" x14ac:dyDescent="0.25">
      <c r="A1548" t="str">
        <f>IFERROR(VLOOKUP(Logs_reseau[[#This Row],[Cell_ID]],'[1]Registre_Maintenance_combine '!A:B,2,FALSE),"Non trouvé")</f>
        <v>Maniema</v>
      </c>
      <c r="B1548" t="s">
        <v>350</v>
      </c>
      <c r="C1548" s="3">
        <v>45210.38958333333</v>
      </c>
      <c r="D1548" s="11">
        <f>Logs_reseau[[#This Row],[Duree_Panne_Min]]/1440</f>
        <v>5.9027777777777776E-2</v>
      </c>
      <c r="E1548">
        <v>85</v>
      </c>
      <c r="F1548" t="s">
        <v>1</v>
      </c>
      <c r="G1548">
        <f>IFERROR(VLOOKUP(Logs_reseau[[#This Row],[Cell_ID]],'[1]Registre_Maintenance_combine '!A:C,3,FALSE),"Non trouvé")</f>
        <v>-4.2645619999999997</v>
      </c>
      <c r="H1548">
        <f>IFERROR(VLOOKUP(Logs_reseau[[#This Row],[Cell_ID]],'[1]Registre_Maintenance_combine '!A:D,4,FALSE),"Non trouvé")</f>
        <v>18.960726000000001</v>
      </c>
      <c r="I1548" t="str">
        <f>IFERROR(VLOOKUP(Logs_reseau[[#This Row],[Cell_ID]],'[1]Registre_Maintenance_combine '!A:E,5,FALSE),"Non trouvé")</f>
        <v>4G</v>
      </c>
      <c r="J1548" t="str">
        <f>IFERROR(VLOOKUP(Logs_reseau[[#This Row],[Cell_ID]],'[1]Registre_Maintenance_combine '!A:F,6,FALSE),"Non trouvé")</f>
        <v>Huawei</v>
      </c>
    </row>
    <row r="1549" spans="1:10" x14ac:dyDescent="0.25">
      <c r="A1549" t="str">
        <f>IFERROR(VLOOKUP(Logs_reseau[[#This Row],[Cell_ID]],'[1]Registre_Maintenance_combine '!A:B,2,FALSE),"Non trouvé")</f>
        <v>Haut-Uele</v>
      </c>
      <c r="B1549" t="s">
        <v>600</v>
      </c>
      <c r="C1549" s="3">
        <v>45217.755555555559</v>
      </c>
      <c r="D1549" s="11">
        <f>Logs_reseau[[#This Row],[Duree_Panne_Min]]/1440</f>
        <v>6.9444444444444448E-2</v>
      </c>
      <c r="E1549">
        <v>100</v>
      </c>
      <c r="F1549" t="s">
        <v>1</v>
      </c>
      <c r="G1549">
        <f>IFERROR(VLOOKUP(Logs_reseau[[#This Row],[Cell_ID]],'[1]Registre_Maintenance_combine '!A:C,3,FALSE),"Non trouvé")</f>
        <v>-3.003879</v>
      </c>
      <c r="H1549">
        <f>IFERROR(VLOOKUP(Logs_reseau[[#This Row],[Cell_ID]],'[1]Registre_Maintenance_combine '!A:D,4,FALSE),"Non trouvé")</f>
        <v>23.633893</v>
      </c>
      <c r="I1549" t="str">
        <f>IFERROR(VLOOKUP(Logs_reseau[[#This Row],[Cell_ID]],'[1]Registre_Maintenance_combine '!A:E,5,FALSE),"Non trouvé")</f>
        <v>5G</v>
      </c>
      <c r="J1549" t="str">
        <f>IFERROR(VLOOKUP(Logs_reseau[[#This Row],[Cell_ID]],'[1]Registre_Maintenance_combine '!A:F,6,FALSE),"Non trouvé")</f>
        <v>Ericsson</v>
      </c>
    </row>
    <row r="1550" spans="1:10" x14ac:dyDescent="0.25">
      <c r="A1550" t="str">
        <f>IFERROR(VLOOKUP(Logs_reseau[[#This Row],[Cell_ID]],'[1]Registre_Maintenance_combine '!A:B,2,FALSE),"Non trouvé")</f>
        <v>Non trouvé</v>
      </c>
      <c r="B1550" t="s">
        <v>601</v>
      </c>
      <c r="C1550" s="3">
        <v>45218.659722222219</v>
      </c>
      <c r="D1550" s="11">
        <f>Logs_reseau[[#This Row],[Duree_Panne_Min]]/1440</f>
        <v>1.6666666666666666E-2</v>
      </c>
      <c r="E1550">
        <v>24</v>
      </c>
      <c r="F1550" t="s">
        <v>1</v>
      </c>
      <c r="G1550" t="str">
        <f>IFERROR(VLOOKUP(Logs_reseau[[#This Row],[Cell_ID]],'[1]Registre_Maintenance_combine '!A:C,3,FALSE),"Non trouvé")</f>
        <v>Non trouvé</v>
      </c>
      <c r="H1550" t="str">
        <f>IFERROR(VLOOKUP(Logs_reseau[[#This Row],[Cell_ID]],'[1]Registre_Maintenance_combine '!A:D,4,FALSE),"Non trouvé")</f>
        <v>Non trouvé</v>
      </c>
      <c r="I1550" t="str">
        <f>IFERROR(VLOOKUP(Logs_reseau[[#This Row],[Cell_ID]],'[1]Registre_Maintenance_combine '!A:E,5,FALSE),"Non trouvé")</f>
        <v>Non trouvé</v>
      </c>
      <c r="J1550" t="str">
        <f>IFERROR(VLOOKUP(Logs_reseau[[#This Row],[Cell_ID]],'[1]Registre_Maintenance_combine '!A:F,6,FALSE),"Non trouvé")</f>
        <v>Non trouvé</v>
      </c>
    </row>
    <row r="1551" spans="1:10" x14ac:dyDescent="0.25">
      <c r="A1551" t="str">
        <f>IFERROR(VLOOKUP(Logs_reseau[[#This Row],[Cell_ID]],'[1]Registre_Maintenance_combine '!A:B,2,FALSE),"Non trouvé")</f>
        <v>Nord-Ubangi</v>
      </c>
      <c r="B1551" t="s">
        <v>193</v>
      </c>
      <c r="C1551" s="3">
        <v>45210.908333333333</v>
      </c>
      <c r="D1551" s="11">
        <f>Logs_reseau[[#This Row],[Duree_Panne_Min]]/1440</f>
        <v>3.9583333333333331E-2</v>
      </c>
      <c r="E1551">
        <v>57</v>
      </c>
      <c r="F1551" t="s">
        <v>4</v>
      </c>
      <c r="G1551">
        <f>IFERROR(VLOOKUP(Logs_reseau[[#This Row],[Cell_ID]],'[1]Registre_Maintenance_combine '!A:C,3,FALSE),"Non trouvé")</f>
        <v>8.5490999999999998E-2</v>
      </c>
      <c r="H1551">
        <f>IFERROR(VLOOKUP(Logs_reseau[[#This Row],[Cell_ID]],'[1]Registre_Maintenance_combine '!A:D,4,FALSE),"Non trouvé")</f>
        <v>26.296129000000001</v>
      </c>
      <c r="I1551" t="str">
        <f>IFERROR(VLOOKUP(Logs_reseau[[#This Row],[Cell_ID]],'[1]Registre_Maintenance_combine '!A:E,5,FALSE),"Non trouvé")</f>
        <v>3G</v>
      </c>
      <c r="J1551" t="str">
        <f>IFERROR(VLOOKUP(Logs_reseau[[#This Row],[Cell_ID]],'[1]Registre_Maintenance_combine '!A:F,6,FALSE),"Non trouvé")</f>
        <v>ZTE</v>
      </c>
    </row>
    <row r="1552" spans="1:10" x14ac:dyDescent="0.25">
      <c r="A1552" t="str">
        <f>IFERROR(VLOOKUP(Logs_reseau[[#This Row],[Cell_ID]],'[1]Registre_Maintenance_combine '!A:B,2,FALSE),"Non trouvé")</f>
        <v>Non trouvé</v>
      </c>
      <c r="B1552" t="s">
        <v>382</v>
      </c>
      <c r="C1552" s="3">
        <v>45201.04583333333</v>
      </c>
      <c r="D1552" s="11">
        <f>Logs_reseau[[#This Row],[Duree_Panne_Min]]/1440</f>
        <v>5.7638888888888892E-2</v>
      </c>
      <c r="E1552">
        <v>83</v>
      </c>
      <c r="F1552" t="s">
        <v>2</v>
      </c>
      <c r="G1552" t="str">
        <f>IFERROR(VLOOKUP(Logs_reseau[[#This Row],[Cell_ID]],'[1]Registre_Maintenance_combine '!A:C,3,FALSE),"Non trouvé")</f>
        <v>Non trouvé</v>
      </c>
      <c r="H1552" t="str">
        <f>IFERROR(VLOOKUP(Logs_reseau[[#This Row],[Cell_ID]],'[1]Registre_Maintenance_combine '!A:D,4,FALSE),"Non trouvé")</f>
        <v>Non trouvé</v>
      </c>
      <c r="I1552" t="str">
        <f>IFERROR(VLOOKUP(Logs_reseau[[#This Row],[Cell_ID]],'[1]Registre_Maintenance_combine '!A:E,5,FALSE),"Non trouvé")</f>
        <v>Non trouvé</v>
      </c>
      <c r="J1552" t="str">
        <f>IFERROR(VLOOKUP(Logs_reseau[[#This Row],[Cell_ID]],'[1]Registre_Maintenance_combine '!A:F,6,FALSE),"Non trouvé")</f>
        <v>Non trouvé</v>
      </c>
    </row>
    <row r="1553" spans="1:10" x14ac:dyDescent="0.25">
      <c r="A1553" t="str">
        <f>IFERROR(VLOOKUP(Logs_reseau[[#This Row],[Cell_ID]],'[1]Registre_Maintenance_combine '!A:B,2,FALSE),"Non trouvé")</f>
        <v>Nord-Ubangi</v>
      </c>
      <c r="B1553" t="s">
        <v>602</v>
      </c>
      <c r="C1553" s="3">
        <v>45220.584027777775</v>
      </c>
      <c r="D1553" s="11">
        <f>Logs_reseau[[#This Row],[Duree_Panne_Min]]/1440</f>
        <v>6.3888888888888884E-2</v>
      </c>
      <c r="E1553">
        <v>92</v>
      </c>
      <c r="F1553" t="s">
        <v>4</v>
      </c>
      <c r="G1553">
        <f>IFERROR(VLOOKUP(Logs_reseau[[#This Row],[Cell_ID]],'[1]Registre_Maintenance_combine '!A:C,3,FALSE),"Non trouvé")</f>
        <v>-11.588665000000001</v>
      </c>
      <c r="H1553">
        <f>IFERROR(VLOOKUP(Logs_reseau[[#This Row],[Cell_ID]],'[1]Registre_Maintenance_combine '!A:D,4,FALSE),"Non trouvé")</f>
        <v>15.241552</v>
      </c>
      <c r="I1553" t="str">
        <f>IFERROR(VLOOKUP(Logs_reseau[[#This Row],[Cell_ID]],'[1]Registre_Maintenance_combine '!A:E,5,FALSE),"Non trouvé")</f>
        <v>4G</v>
      </c>
      <c r="J1553" t="str">
        <f>IFERROR(VLOOKUP(Logs_reseau[[#This Row],[Cell_ID]],'[1]Registre_Maintenance_combine '!A:F,6,FALSE),"Non trouvé")</f>
        <v>Nokia</v>
      </c>
    </row>
    <row r="1554" spans="1:10" x14ac:dyDescent="0.25">
      <c r="A1554" t="str">
        <f>IFERROR(VLOOKUP(Logs_reseau[[#This Row],[Cell_ID]],'[1]Registre_Maintenance_combine '!A:B,2,FALSE),"Non trouvé")</f>
        <v>Non trouvé</v>
      </c>
      <c r="B1554" t="s">
        <v>380</v>
      </c>
      <c r="C1554" s="3">
        <v>45203.227777777778</v>
      </c>
      <c r="D1554" s="11">
        <f>Logs_reseau[[#This Row],[Duree_Panne_Min]]/1440</f>
        <v>4.2361111111111113E-2</v>
      </c>
      <c r="E1554">
        <v>61</v>
      </c>
      <c r="F1554" t="s">
        <v>2</v>
      </c>
      <c r="G1554" t="str">
        <f>IFERROR(VLOOKUP(Logs_reseau[[#This Row],[Cell_ID]],'[1]Registre_Maintenance_combine '!A:C,3,FALSE),"Non trouvé")</f>
        <v>Non trouvé</v>
      </c>
      <c r="H1554" t="str">
        <f>IFERROR(VLOOKUP(Logs_reseau[[#This Row],[Cell_ID]],'[1]Registre_Maintenance_combine '!A:D,4,FALSE),"Non trouvé")</f>
        <v>Non trouvé</v>
      </c>
      <c r="I1554" t="str">
        <f>IFERROR(VLOOKUP(Logs_reseau[[#This Row],[Cell_ID]],'[1]Registre_Maintenance_combine '!A:E,5,FALSE),"Non trouvé")</f>
        <v>Non trouvé</v>
      </c>
      <c r="J1554" t="str">
        <f>IFERROR(VLOOKUP(Logs_reseau[[#This Row],[Cell_ID]],'[1]Registre_Maintenance_combine '!A:F,6,FALSE),"Non trouvé")</f>
        <v>Non trouvé</v>
      </c>
    </row>
    <row r="1555" spans="1:10" x14ac:dyDescent="0.25">
      <c r="A1555" t="str">
        <f>IFERROR(VLOOKUP(Logs_reseau[[#This Row],[Cell_ID]],'[1]Registre_Maintenance_combine '!A:B,2,FALSE),"Non trouvé")</f>
        <v>Nord-Ubangi</v>
      </c>
      <c r="B1555" t="s">
        <v>317</v>
      </c>
      <c r="C1555" s="3">
        <v>45214.018750000003</v>
      </c>
      <c r="D1555" s="11">
        <f>Logs_reseau[[#This Row],[Duree_Panne_Min]]/1440</f>
        <v>7.9861111111111105E-2</v>
      </c>
      <c r="E1555">
        <v>115</v>
      </c>
      <c r="F1555" t="s">
        <v>2</v>
      </c>
      <c r="G1555">
        <f>IFERROR(VLOOKUP(Logs_reseau[[#This Row],[Cell_ID]],'[1]Registre_Maintenance_combine '!A:C,3,FALSE),"Non trouvé")</f>
        <v>-1.342476</v>
      </c>
      <c r="H1555">
        <f>IFERROR(VLOOKUP(Logs_reseau[[#This Row],[Cell_ID]],'[1]Registre_Maintenance_combine '!A:D,4,FALSE),"Non trouvé")</f>
        <v>15.986086</v>
      </c>
      <c r="I1555" t="str">
        <f>IFERROR(VLOOKUP(Logs_reseau[[#This Row],[Cell_ID]],'[1]Registre_Maintenance_combine '!A:E,5,FALSE),"Non trouvé")</f>
        <v>4G</v>
      </c>
      <c r="J1555" t="str">
        <f>IFERROR(VLOOKUP(Logs_reseau[[#This Row],[Cell_ID]],'[1]Registre_Maintenance_combine '!A:F,6,FALSE),"Non trouvé")</f>
        <v>Ericsson</v>
      </c>
    </row>
    <row r="1556" spans="1:10" x14ac:dyDescent="0.25">
      <c r="A1556" t="str">
        <f>IFERROR(VLOOKUP(Logs_reseau[[#This Row],[Cell_ID]],'[1]Registre_Maintenance_combine '!A:B,2,FALSE),"Non trouvé")</f>
        <v>Mai-Ndombe</v>
      </c>
      <c r="B1556" t="s">
        <v>57</v>
      </c>
      <c r="C1556" s="3">
        <v>45206.956944444442</v>
      </c>
      <c r="D1556" s="11">
        <f>Logs_reseau[[#This Row],[Duree_Panne_Min]]/1440</f>
        <v>2.2222222222222223E-2</v>
      </c>
      <c r="E1556">
        <v>32</v>
      </c>
      <c r="F1556" t="s">
        <v>2</v>
      </c>
      <c r="G1556">
        <f>IFERROR(VLOOKUP(Logs_reseau[[#This Row],[Cell_ID]],'[1]Registre_Maintenance_combine '!A:C,3,FALSE),"Non trouvé")</f>
        <v>-9.3652280000000001</v>
      </c>
      <c r="H1556">
        <f>IFERROR(VLOOKUP(Logs_reseau[[#This Row],[Cell_ID]],'[1]Registre_Maintenance_combine '!A:D,4,FALSE),"Non trouvé")</f>
        <v>18.674116000000001</v>
      </c>
      <c r="I1556" t="str">
        <f>IFERROR(VLOOKUP(Logs_reseau[[#This Row],[Cell_ID]],'[1]Registre_Maintenance_combine '!A:E,5,FALSE),"Non trouvé")</f>
        <v>4G</v>
      </c>
      <c r="J1556" t="str">
        <f>IFERROR(VLOOKUP(Logs_reseau[[#This Row],[Cell_ID]],'[1]Registre_Maintenance_combine '!A:F,6,FALSE),"Non trouvé")</f>
        <v>Huawei</v>
      </c>
    </row>
    <row r="1557" spans="1:10" x14ac:dyDescent="0.25">
      <c r="A1557" t="str">
        <f>IFERROR(VLOOKUP(Logs_reseau[[#This Row],[Cell_ID]],'[1]Registre_Maintenance_combine '!A:B,2,FALSE),"Non trouvé")</f>
        <v>Non trouvé</v>
      </c>
      <c r="B1557" t="s">
        <v>603</v>
      </c>
      <c r="C1557" s="3">
        <v>45204.84652777778</v>
      </c>
      <c r="D1557" s="11">
        <f>Logs_reseau[[#This Row],[Duree_Panne_Min]]/1440</f>
        <v>1.1111111111111112E-2</v>
      </c>
      <c r="E1557">
        <v>16</v>
      </c>
      <c r="F1557" t="s">
        <v>4</v>
      </c>
      <c r="G1557" t="str">
        <f>IFERROR(VLOOKUP(Logs_reseau[[#This Row],[Cell_ID]],'[1]Registre_Maintenance_combine '!A:C,3,FALSE),"Non trouvé")</f>
        <v>Non trouvé</v>
      </c>
      <c r="H1557" t="str">
        <f>IFERROR(VLOOKUP(Logs_reseau[[#This Row],[Cell_ID]],'[1]Registre_Maintenance_combine '!A:D,4,FALSE),"Non trouvé")</f>
        <v>Non trouvé</v>
      </c>
      <c r="I1557" t="str">
        <f>IFERROR(VLOOKUP(Logs_reseau[[#This Row],[Cell_ID]],'[1]Registre_Maintenance_combine '!A:E,5,FALSE),"Non trouvé")</f>
        <v>Non trouvé</v>
      </c>
      <c r="J1557" t="str">
        <f>IFERROR(VLOOKUP(Logs_reseau[[#This Row],[Cell_ID]],'[1]Registre_Maintenance_combine '!A:F,6,FALSE),"Non trouvé")</f>
        <v>Non trouvé</v>
      </c>
    </row>
    <row r="1558" spans="1:10" x14ac:dyDescent="0.25">
      <c r="A1558" t="str">
        <f>IFERROR(VLOOKUP(Logs_reseau[[#This Row],[Cell_ID]],'[1]Registre_Maintenance_combine '!A:B,2,FALSE),"Non trouvé")</f>
        <v>Non trouvé</v>
      </c>
      <c r="B1558" t="s">
        <v>604</v>
      </c>
      <c r="C1558" s="3">
        <v>45205.336805555555</v>
      </c>
      <c r="D1558" s="11">
        <f>Logs_reseau[[#This Row],[Duree_Panne_Min]]/1440</f>
        <v>8.2638888888888887E-2</v>
      </c>
      <c r="E1558">
        <v>119</v>
      </c>
      <c r="F1558" t="s">
        <v>4</v>
      </c>
      <c r="G1558" t="str">
        <f>IFERROR(VLOOKUP(Logs_reseau[[#This Row],[Cell_ID]],'[1]Registre_Maintenance_combine '!A:C,3,FALSE),"Non trouvé")</f>
        <v>Non trouvé</v>
      </c>
      <c r="H1558" t="str">
        <f>IFERROR(VLOOKUP(Logs_reseau[[#This Row],[Cell_ID]],'[1]Registre_Maintenance_combine '!A:D,4,FALSE),"Non trouvé")</f>
        <v>Non trouvé</v>
      </c>
      <c r="I1558" t="str">
        <f>IFERROR(VLOOKUP(Logs_reseau[[#This Row],[Cell_ID]],'[1]Registre_Maintenance_combine '!A:E,5,FALSE),"Non trouvé")</f>
        <v>Non trouvé</v>
      </c>
      <c r="J1558" t="str">
        <f>IFERROR(VLOOKUP(Logs_reseau[[#This Row],[Cell_ID]],'[1]Registre_Maintenance_combine '!A:F,6,FALSE),"Non trouvé")</f>
        <v>Non trouvé</v>
      </c>
    </row>
    <row r="1559" spans="1:10" x14ac:dyDescent="0.25">
      <c r="A1559" t="str">
        <f>IFERROR(VLOOKUP(Logs_reseau[[#This Row],[Cell_ID]],'[1]Registre_Maintenance_combine '!A:B,2,FALSE),"Non trouvé")</f>
        <v>Sud-Kivu</v>
      </c>
      <c r="B1559" t="s">
        <v>409</v>
      </c>
      <c r="C1559" s="3">
        <v>45220.469444444447</v>
      </c>
      <c r="D1559" s="11">
        <f>Logs_reseau[[#This Row],[Duree_Panne_Min]]/1440</f>
        <v>1.1805555555555555E-2</v>
      </c>
      <c r="E1559">
        <v>17</v>
      </c>
      <c r="F1559" t="s">
        <v>2</v>
      </c>
      <c r="G1559">
        <f>IFERROR(VLOOKUP(Logs_reseau[[#This Row],[Cell_ID]],'[1]Registre_Maintenance_combine '!A:C,3,FALSE),"Non trouvé")</f>
        <v>-1.5419050000000001</v>
      </c>
      <c r="H1559">
        <f>IFERROR(VLOOKUP(Logs_reseau[[#This Row],[Cell_ID]],'[1]Registre_Maintenance_combine '!A:D,4,FALSE),"Non trouvé")</f>
        <v>14.730632999999999</v>
      </c>
      <c r="I1559" t="str">
        <f>IFERROR(VLOOKUP(Logs_reseau[[#This Row],[Cell_ID]],'[1]Registre_Maintenance_combine '!A:E,5,FALSE),"Non trouvé")</f>
        <v>3G</v>
      </c>
      <c r="J1559" t="str">
        <f>IFERROR(VLOOKUP(Logs_reseau[[#This Row],[Cell_ID]],'[1]Registre_Maintenance_combine '!A:F,6,FALSE),"Non trouvé")</f>
        <v>ZTE</v>
      </c>
    </row>
    <row r="1560" spans="1:10" x14ac:dyDescent="0.25">
      <c r="A1560" t="str">
        <f>IFERROR(VLOOKUP(Logs_reseau[[#This Row],[Cell_ID]],'[1]Registre_Maintenance_combine '!A:B,2,FALSE),"Non trouvé")</f>
        <v>Non trouvé</v>
      </c>
      <c r="B1560" t="s">
        <v>605</v>
      </c>
      <c r="C1560" s="3">
        <v>45202.487500000003</v>
      </c>
      <c r="D1560" s="11">
        <f>Logs_reseau[[#This Row],[Duree_Panne_Min]]/1440</f>
        <v>1.5277777777777777E-2</v>
      </c>
      <c r="E1560">
        <v>22</v>
      </c>
      <c r="F1560" t="s">
        <v>4</v>
      </c>
      <c r="G1560" t="str">
        <f>IFERROR(VLOOKUP(Logs_reseau[[#This Row],[Cell_ID]],'[1]Registre_Maintenance_combine '!A:C,3,FALSE),"Non trouvé")</f>
        <v>Non trouvé</v>
      </c>
      <c r="H1560" t="str">
        <f>IFERROR(VLOOKUP(Logs_reseau[[#This Row],[Cell_ID]],'[1]Registre_Maintenance_combine '!A:D,4,FALSE),"Non trouvé")</f>
        <v>Non trouvé</v>
      </c>
      <c r="I1560" t="str">
        <f>IFERROR(VLOOKUP(Logs_reseau[[#This Row],[Cell_ID]],'[1]Registre_Maintenance_combine '!A:E,5,FALSE),"Non trouvé")</f>
        <v>Non trouvé</v>
      </c>
      <c r="J1560" t="str">
        <f>IFERROR(VLOOKUP(Logs_reseau[[#This Row],[Cell_ID]],'[1]Registre_Maintenance_combine '!A:F,6,FALSE),"Non trouvé")</f>
        <v>Non trouvé</v>
      </c>
    </row>
    <row r="1561" spans="1:10" x14ac:dyDescent="0.25">
      <c r="A1561" t="str">
        <f>IFERROR(VLOOKUP(Logs_reseau[[#This Row],[Cell_ID]],'[1]Registre_Maintenance_combine '!A:B,2,FALSE),"Non trouvé")</f>
        <v>Non trouvé</v>
      </c>
      <c r="B1561" t="s">
        <v>232</v>
      </c>
      <c r="C1561" s="3">
        <v>45228.840277777781</v>
      </c>
      <c r="D1561" s="11">
        <f>Logs_reseau[[#This Row],[Duree_Panne_Min]]/1440</f>
        <v>7.013888888888889E-2</v>
      </c>
      <c r="E1561">
        <v>101</v>
      </c>
      <c r="F1561" t="s">
        <v>1</v>
      </c>
      <c r="G1561" t="str">
        <f>IFERROR(VLOOKUP(Logs_reseau[[#This Row],[Cell_ID]],'[1]Registre_Maintenance_combine '!A:C,3,FALSE),"Non trouvé")</f>
        <v>Non trouvé</v>
      </c>
      <c r="H1561" t="str">
        <f>IFERROR(VLOOKUP(Logs_reseau[[#This Row],[Cell_ID]],'[1]Registre_Maintenance_combine '!A:D,4,FALSE),"Non trouvé")</f>
        <v>Non trouvé</v>
      </c>
      <c r="I1561" t="str">
        <f>IFERROR(VLOOKUP(Logs_reseau[[#This Row],[Cell_ID]],'[1]Registre_Maintenance_combine '!A:E,5,FALSE),"Non trouvé")</f>
        <v>Non trouvé</v>
      </c>
      <c r="J1561" t="str">
        <f>IFERROR(VLOOKUP(Logs_reseau[[#This Row],[Cell_ID]],'[1]Registre_Maintenance_combine '!A:F,6,FALSE),"Non trouvé")</f>
        <v>Non trouvé</v>
      </c>
    </row>
    <row r="1562" spans="1:10" x14ac:dyDescent="0.25">
      <c r="A1562" t="str">
        <f>IFERROR(VLOOKUP(Logs_reseau[[#This Row],[Cell_ID]],'[1]Registre_Maintenance_combine '!A:B,2,FALSE),"Non trouvé")</f>
        <v>Bas-Uele</v>
      </c>
      <c r="B1562" t="s">
        <v>606</v>
      </c>
      <c r="C1562" s="3">
        <v>45201.527777777781</v>
      </c>
      <c r="D1562" s="11">
        <f>Logs_reseau[[#This Row],[Duree_Panne_Min]]/1440</f>
        <v>1.3888888888888888E-2</v>
      </c>
      <c r="E1562">
        <v>20</v>
      </c>
      <c r="F1562" t="s">
        <v>2</v>
      </c>
      <c r="G1562">
        <f>IFERROR(VLOOKUP(Logs_reseau[[#This Row],[Cell_ID]],'[1]Registre_Maintenance_combine '!A:C,3,FALSE),"Non trouvé")</f>
        <v>0.45116099999999998</v>
      </c>
      <c r="H1562">
        <f>IFERROR(VLOOKUP(Logs_reseau[[#This Row],[Cell_ID]],'[1]Registre_Maintenance_combine '!A:D,4,FALSE),"Non trouvé")</f>
        <v>17.265761000000001</v>
      </c>
      <c r="I1562" t="str">
        <f>IFERROR(VLOOKUP(Logs_reseau[[#This Row],[Cell_ID]],'[1]Registre_Maintenance_combine '!A:E,5,FALSE),"Non trouvé")</f>
        <v>4G</v>
      </c>
      <c r="J1562" t="str">
        <f>IFERROR(VLOOKUP(Logs_reseau[[#This Row],[Cell_ID]],'[1]Registre_Maintenance_combine '!A:F,6,FALSE),"Non trouvé")</f>
        <v>Huawei</v>
      </c>
    </row>
    <row r="1563" spans="1:10" x14ac:dyDescent="0.25">
      <c r="A1563" t="str">
        <f>IFERROR(VLOOKUP(Logs_reseau[[#This Row],[Cell_ID]],'[1]Registre_Maintenance_combine '!A:B,2,FALSE),"Non trouvé")</f>
        <v>Non trouvé</v>
      </c>
      <c r="B1563" t="s">
        <v>607</v>
      </c>
      <c r="C1563" s="3">
        <v>45209.988888888889</v>
      </c>
      <c r="D1563" s="11">
        <f>Logs_reseau[[#This Row],[Duree_Panne_Min]]/1440</f>
        <v>5.5555555555555552E-2</v>
      </c>
      <c r="E1563">
        <v>80</v>
      </c>
      <c r="F1563" t="s">
        <v>2</v>
      </c>
      <c r="G1563" t="str">
        <f>IFERROR(VLOOKUP(Logs_reseau[[#This Row],[Cell_ID]],'[1]Registre_Maintenance_combine '!A:C,3,FALSE),"Non trouvé")</f>
        <v>Non trouvé</v>
      </c>
      <c r="H1563" t="str">
        <f>IFERROR(VLOOKUP(Logs_reseau[[#This Row],[Cell_ID]],'[1]Registre_Maintenance_combine '!A:D,4,FALSE),"Non trouvé")</f>
        <v>Non trouvé</v>
      </c>
      <c r="I1563" t="str">
        <f>IFERROR(VLOOKUP(Logs_reseau[[#This Row],[Cell_ID]],'[1]Registre_Maintenance_combine '!A:E,5,FALSE),"Non trouvé")</f>
        <v>Non trouvé</v>
      </c>
      <c r="J1563" t="str">
        <f>IFERROR(VLOOKUP(Logs_reseau[[#This Row],[Cell_ID]],'[1]Registre_Maintenance_combine '!A:F,6,FALSE),"Non trouvé")</f>
        <v>Non trouvé</v>
      </c>
    </row>
    <row r="1564" spans="1:10" x14ac:dyDescent="0.25">
      <c r="A1564" t="str">
        <f>IFERROR(VLOOKUP(Logs_reseau[[#This Row],[Cell_ID]],'[1]Registre_Maintenance_combine '!A:B,2,FALSE),"Non trouvé")</f>
        <v>Non trouvé</v>
      </c>
      <c r="B1564" t="s">
        <v>117</v>
      </c>
      <c r="C1564" s="3">
        <v>45224.310416666667</v>
      </c>
      <c r="D1564" s="11">
        <f>Logs_reseau[[#This Row],[Duree_Panne_Min]]/1440</f>
        <v>6.805555555555555E-2</v>
      </c>
      <c r="E1564">
        <v>98</v>
      </c>
      <c r="F1564" t="s">
        <v>2</v>
      </c>
      <c r="G1564" t="str">
        <f>IFERROR(VLOOKUP(Logs_reseau[[#This Row],[Cell_ID]],'[1]Registre_Maintenance_combine '!A:C,3,FALSE),"Non trouvé")</f>
        <v>Non trouvé</v>
      </c>
      <c r="H1564" t="str">
        <f>IFERROR(VLOOKUP(Logs_reseau[[#This Row],[Cell_ID]],'[1]Registre_Maintenance_combine '!A:D,4,FALSE),"Non trouvé")</f>
        <v>Non trouvé</v>
      </c>
      <c r="I1564" t="str">
        <f>IFERROR(VLOOKUP(Logs_reseau[[#This Row],[Cell_ID]],'[1]Registre_Maintenance_combine '!A:E,5,FALSE),"Non trouvé")</f>
        <v>Non trouvé</v>
      </c>
      <c r="J1564" t="str">
        <f>IFERROR(VLOOKUP(Logs_reseau[[#This Row],[Cell_ID]],'[1]Registre_Maintenance_combine '!A:F,6,FALSE),"Non trouvé")</f>
        <v>Non trouvé</v>
      </c>
    </row>
    <row r="1565" spans="1:10" x14ac:dyDescent="0.25">
      <c r="A1565" t="str">
        <f>IFERROR(VLOOKUP(Logs_reseau[[#This Row],[Cell_ID]],'[1]Registre_Maintenance_combine '!A:B,2,FALSE),"Non trouvé")</f>
        <v>Non trouvé</v>
      </c>
      <c r="B1565" t="s">
        <v>233</v>
      </c>
      <c r="C1565" s="3">
        <v>45220.114583333336</v>
      </c>
      <c r="D1565" s="11">
        <f>Logs_reseau[[#This Row],[Duree_Panne_Min]]/1440</f>
        <v>3.7499999999999999E-2</v>
      </c>
      <c r="E1565">
        <v>54</v>
      </c>
      <c r="F1565" t="s">
        <v>2</v>
      </c>
      <c r="G1565" t="str">
        <f>IFERROR(VLOOKUP(Logs_reseau[[#This Row],[Cell_ID]],'[1]Registre_Maintenance_combine '!A:C,3,FALSE),"Non trouvé")</f>
        <v>Non trouvé</v>
      </c>
      <c r="H1565" t="str">
        <f>IFERROR(VLOOKUP(Logs_reseau[[#This Row],[Cell_ID]],'[1]Registre_Maintenance_combine '!A:D,4,FALSE),"Non trouvé")</f>
        <v>Non trouvé</v>
      </c>
      <c r="I1565" t="str">
        <f>IFERROR(VLOOKUP(Logs_reseau[[#This Row],[Cell_ID]],'[1]Registre_Maintenance_combine '!A:E,5,FALSE),"Non trouvé")</f>
        <v>Non trouvé</v>
      </c>
      <c r="J1565" t="str">
        <f>IFERROR(VLOOKUP(Logs_reseau[[#This Row],[Cell_ID]],'[1]Registre_Maintenance_combine '!A:F,6,FALSE),"Non trouvé")</f>
        <v>Non trouvé</v>
      </c>
    </row>
    <row r="1566" spans="1:10" x14ac:dyDescent="0.25">
      <c r="A1566" t="str">
        <f>IFERROR(VLOOKUP(Logs_reseau[[#This Row],[Cell_ID]],'[1]Registre_Maintenance_combine '!A:B,2,FALSE),"Non trouvé")</f>
        <v>Non trouvé</v>
      </c>
      <c r="B1566" t="s">
        <v>575</v>
      </c>
      <c r="C1566" s="3">
        <v>45203.009027777778</v>
      </c>
      <c r="D1566" s="11">
        <f>Logs_reseau[[#This Row],[Duree_Panne_Min]]/1440</f>
        <v>3.4027777777777775E-2</v>
      </c>
      <c r="E1566">
        <v>49</v>
      </c>
      <c r="F1566" t="s">
        <v>1</v>
      </c>
      <c r="G1566" t="str">
        <f>IFERROR(VLOOKUP(Logs_reseau[[#This Row],[Cell_ID]],'[1]Registre_Maintenance_combine '!A:C,3,FALSE),"Non trouvé")</f>
        <v>Non trouvé</v>
      </c>
      <c r="H1566" t="str">
        <f>IFERROR(VLOOKUP(Logs_reseau[[#This Row],[Cell_ID]],'[1]Registre_Maintenance_combine '!A:D,4,FALSE),"Non trouvé")</f>
        <v>Non trouvé</v>
      </c>
      <c r="I1566" t="str">
        <f>IFERROR(VLOOKUP(Logs_reseau[[#This Row],[Cell_ID]],'[1]Registre_Maintenance_combine '!A:E,5,FALSE),"Non trouvé")</f>
        <v>Non trouvé</v>
      </c>
      <c r="J1566" t="str">
        <f>IFERROR(VLOOKUP(Logs_reseau[[#This Row],[Cell_ID]],'[1]Registre_Maintenance_combine '!A:F,6,FALSE),"Non trouvé")</f>
        <v>Non trouvé</v>
      </c>
    </row>
    <row r="1567" spans="1:10" x14ac:dyDescent="0.25">
      <c r="A1567" t="str">
        <f>IFERROR(VLOOKUP(Logs_reseau[[#This Row],[Cell_ID]],'[1]Registre_Maintenance_combine '!A:B,2,FALSE),"Non trouvé")</f>
        <v>Non trouvé</v>
      </c>
      <c r="B1567" t="s">
        <v>501</v>
      </c>
      <c r="C1567" s="3">
        <v>45215.088888888888</v>
      </c>
      <c r="D1567" s="11">
        <f>Logs_reseau[[#This Row],[Duree_Panne_Min]]/1440</f>
        <v>4.0972222222222222E-2</v>
      </c>
      <c r="E1567">
        <v>59</v>
      </c>
      <c r="F1567" t="s">
        <v>4</v>
      </c>
      <c r="G1567" t="str">
        <f>IFERROR(VLOOKUP(Logs_reseau[[#This Row],[Cell_ID]],'[1]Registre_Maintenance_combine '!A:C,3,FALSE),"Non trouvé")</f>
        <v>Non trouvé</v>
      </c>
      <c r="H1567" t="str">
        <f>IFERROR(VLOOKUP(Logs_reseau[[#This Row],[Cell_ID]],'[1]Registre_Maintenance_combine '!A:D,4,FALSE),"Non trouvé")</f>
        <v>Non trouvé</v>
      </c>
      <c r="I1567" t="str">
        <f>IFERROR(VLOOKUP(Logs_reseau[[#This Row],[Cell_ID]],'[1]Registre_Maintenance_combine '!A:E,5,FALSE),"Non trouvé")</f>
        <v>Non trouvé</v>
      </c>
      <c r="J1567" t="str">
        <f>IFERROR(VLOOKUP(Logs_reseau[[#This Row],[Cell_ID]],'[1]Registre_Maintenance_combine '!A:F,6,FALSE),"Non trouvé")</f>
        <v>Non trouvé</v>
      </c>
    </row>
    <row r="1568" spans="1:10" x14ac:dyDescent="0.25">
      <c r="A1568" t="str">
        <f>IFERROR(VLOOKUP(Logs_reseau[[#This Row],[Cell_ID]],'[1]Registre_Maintenance_combine '!A:B,2,FALSE),"Non trouvé")</f>
        <v>Non trouvé</v>
      </c>
      <c r="B1568" t="s">
        <v>608</v>
      </c>
      <c r="C1568" s="3">
        <v>45218.314583333333</v>
      </c>
      <c r="D1568" s="11">
        <f>Logs_reseau[[#This Row],[Duree_Panne_Min]]/1440</f>
        <v>3.125E-2</v>
      </c>
      <c r="E1568">
        <v>45</v>
      </c>
      <c r="F1568" t="s">
        <v>1</v>
      </c>
      <c r="G1568" t="str">
        <f>IFERROR(VLOOKUP(Logs_reseau[[#This Row],[Cell_ID]],'[1]Registre_Maintenance_combine '!A:C,3,FALSE),"Non trouvé")</f>
        <v>Non trouvé</v>
      </c>
      <c r="H1568" t="str">
        <f>IFERROR(VLOOKUP(Logs_reseau[[#This Row],[Cell_ID]],'[1]Registre_Maintenance_combine '!A:D,4,FALSE),"Non trouvé")</f>
        <v>Non trouvé</v>
      </c>
      <c r="I1568" t="str">
        <f>IFERROR(VLOOKUP(Logs_reseau[[#This Row],[Cell_ID]],'[1]Registre_Maintenance_combine '!A:E,5,FALSE),"Non trouvé")</f>
        <v>Non trouvé</v>
      </c>
      <c r="J1568" t="str">
        <f>IFERROR(VLOOKUP(Logs_reseau[[#This Row],[Cell_ID]],'[1]Registre_Maintenance_combine '!A:F,6,FALSE),"Non trouvé")</f>
        <v>Non trouvé</v>
      </c>
    </row>
    <row r="1569" spans="1:10" x14ac:dyDescent="0.25">
      <c r="A1569" t="str">
        <f>IFERROR(VLOOKUP(Logs_reseau[[#This Row],[Cell_ID]],'[1]Registre_Maintenance_combine '!A:B,2,FALSE),"Non trouvé")</f>
        <v>Non trouvé</v>
      </c>
      <c r="B1569" t="s">
        <v>74</v>
      </c>
      <c r="C1569" s="3">
        <v>45221.583333333336</v>
      </c>
      <c r="D1569" s="11">
        <f>Logs_reseau[[#This Row],[Duree_Panne_Min]]/1440</f>
        <v>7.3611111111111113E-2</v>
      </c>
      <c r="E1569">
        <v>106</v>
      </c>
      <c r="F1569" t="s">
        <v>4</v>
      </c>
      <c r="G1569" t="str">
        <f>IFERROR(VLOOKUP(Logs_reseau[[#This Row],[Cell_ID]],'[1]Registre_Maintenance_combine '!A:C,3,FALSE),"Non trouvé")</f>
        <v>Non trouvé</v>
      </c>
      <c r="H1569" t="str">
        <f>IFERROR(VLOOKUP(Logs_reseau[[#This Row],[Cell_ID]],'[1]Registre_Maintenance_combine '!A:D,4,FALSE),"Non trouvé")</f>
        <v>Non trouvé</v>
      </c>
      <c r="I1569" t="str">
        <f>IFERROR(VLOOKUP(Logs_reseau[[#This Row],[Cell_ID]],'[1]Registre_Maintenance_combine '!A:E,5,FALSE),"Non trouvé")</f>
        <v>Non trouvé</v>
      </c>
      <c r="J1569" t="str">
        <f>IFERROR(VLOOKUP(Logs_reseau[[#This Row],[Cell_ID]],'[1]Registre_Maintenance_combine '!A:F,6,FALSE),"Non trouvé")</f>
        <v>Non trouvé</v>
      </c>
    </row>
    <row r="1570" spans="1:10" x14ac:dyDescent="0.25">
      <c r="A1570" t="str">
        <f>IFERROR(VLOOKUP(Logs_reseau[[#This Row],[Cell_ID]],'[1]Registre_Maintenance_combine '!A:B,2,FALSE),"Non trouvé")</f>
        <v>Non trouvé</v>
      </c>
      <c r="B1570" t="s">
        <v>441</v>
      </c>
      <c r="C1570" s="3">
        <v>45200.931250000001</v>
      </c>
      <c r="D1570" s="11">
        <f>Logs_reseau[[#This Row],[Duree_Panne_Min]]/1440</f>
        <v>1.5277777777777777E-2</v>
      </c>
      <c r="E1570">
        <v>22</v>
      </c>
      <c r="F1570" t="s">
        <v>1</v>
      </c>
      <c r="G1570" t="str">
        <f>IFERROR(VLOOKUP(Logs_reseau[[#This Row],[Cell_ID]],'[1]Registre_Maintenance_combine '!A:C,3,FALSE),"Non trouvé")</f>
        <v>Non trouvé</v>
      </c>
      <c r="H1570" t="str">
        <f>IFERROR(VLOOKUP(Logs_reseau[[#This Row],[Cell_ID]],'[1]Registre_Maintenance_combine '!A:D,4,FALSE),"Non trouvé")</f>
        <v>Non trouvé</v>
      </c>
      <c r="I1570" t="str">
        <f>IFERROR(VLOOKUP(Logs_reseau[[#This Row],[Cell_ID]],'[1]Registre_Maintenance_combine '!A:E,5,FALSE),"Non trouvé")</f>
        <v>Non trouvé</v>
      </c>
      <c r="J1570" t="str">
        <f>IFERROR(VLOOKUP(Logs_reseau[[#This Row],[Cell_ID]],'[1]Registre_Maintenance_combine '!A:F,6,FALSE),"Non trouvé")</f>
        <v>Non trouvé</v>
      </c>
    </row>
    <row r="1571" spans="1:10" x14ac:dyDescent="0.25">
      <c r="A1571" t="str">
        <f>IFERROR(VLOOKUP(Logs_reseau[[#This Row],[Cell_ID]],'[1]Registre_Maintenance_combine '!A:B,2,FALSE),"Non trouvé")</f>
        <v>Non trouvé</v>
      </c>
      <c r="B1571" t="s">
        <v>609</v>
      </c>
      <c r="C1571" s="3">
        <v>45226.163194444445</v>
      </c>
      <c r="D1571" s="11">
        <f>Logs_reseau[[#This Row],[Duree_Panne_Min]]/1440</f>
        <v>2.5000000000000001E-2</v>
      </c>
      <c r="E1571">
        <v>36</v>
      </c>
      <c r="F1571" t="s">
        <v>2</v>
      </c>
      <c r="G1571" t="str">
        <f>IFERROR(VLOOKUP(Logs_reseau[[#This Row],[Cell_ID]],'[1]Registre_Maintenance_combine '!A:C,3,FALSE),"Non trouvé")</f>
        <v>Non trouvé</v>
      </c>
      <c r="H1571" t="str">
        <f>IFERROR(VLOOKUP(Logs_reseau[[#This Row],[Cell_ID]],'[1]Registre_Maintenance_combine '!A:D,4,FALSE),"Non trouvé")</f>
        <v>Non trouvé</v>
      </c>
      <c r="I1571" t="str">
        <f>IFERROR(VLOOKUP(Logs_reseau[[#This Row],[Cell_ID]],'[1]Registre_Maintenance_combine '!A:E,5,FALSE),"Non trouvé")</f>
        <v>Non trouvé</v>
      </c>
      <c r="J1571" t="str">
        <f>IFERROR(VLOOKUP(Logs_reseau[[#This Row],[Cell_ID]],'[1]Registre_Maintenance_combine '!A:F,6,FALSE),"Non trouvé")</f>
        <v>Non trouvé</v>
      </c>
    </row>
    <row r="1572" spans="1:10" x14ac:dyDescent="0.25">
      <c r="A1572" t="str">
        <f>IFERROR(VLOOKUP(Logs_reseau[[#This Row],[Cell_ID]],'[1]Registre_Maintenance_combine '!A:B,2,FALSE),"Non trouvé")</f>
        <v>Non trouvé</v>
      </c>
      <c r="B1572" t="s">
        <v>15</v>
      </c>
      <c r="C1572" s="3">
        <v>45213.922222222223</v>
      </c>
      <c r="D1572" s="11">
        <f>Logs_reseau[[#This Row],[Duree_Panne_Min]]/1440</f>
        <v>2.7777777777777776E-2</v>
      </c>
      <c r="E1572">
        <v>40</v>
      </c>
      <c r="F1572" t="s">
        <v>1</v>
      </c>
      <c r="G1572" t="str">
        <f>IFERROR(VLOOKUP(Logs_reseau[[#This Row],[Cell_ID]],'[1]Registre_Maintenance_combine '!A:C,3,FALSE),"Non trouvé")</f>
        <v>Non trouvé</v>
      </c>
      <c r="H1572" t="str">
        <f>IFERROR(VLOOKUP(Logs_reseau[[#This Row],[Cell_ID]],'[1]Registre_Maintenance_combine '!A:D,4,FALSE),"Non trouvé")</f>
        <v>Non trouvé</v>
      </c>
      <c r="I1572" t="str">
        <f>IFERROR(VLOOKUP(Logs_reseau[[#This Row],[Cell_ID]],'[1]Registre_Maintenance_combine '!A:E,5,FALSE),"Non trouvé")</f>
        <v>Non trouvé</v>
      </c>
      <c r="J1572" t="str">
        <f>IFERROR(VLOOKUP(Logs_reseau[[#This Row],[Cell_ID]],'[1]Registre_Maintenance_combine '!A:F,6,FALSE),"Non trouvé")</f>
        <v>Non trouvé</v>
      </c>
    </row>
    <row r="1573" spans="1:10" x14ac:dyDescent="0.25">
      <c r="A1573" t="str">
        <f>IFERROR(VLOOKUP(Logs_reseau[[#This Row],[Cell_ID]],'[1]Registre_Maintenance_combine '!A:B,2,FALSE),"Non trouvé")</f>
        <v>Mongala</v>
      </c>
      <c r="B1573" t="s">
        <v>610</v>
      </c>
      <c r="C1573" s="3">
        <v>45215.093055555553</v>
      </c>
      <c r="D1573" s="11">
        <f>Logs_reseau[[#This Row],[Duree_Panne_Min]]/1440</f>
        <v>6.0416666666666667E-2</v>
      </c>
      <c r="E1573">
        <v>87</v>
      </c>
      <c r="F1573" t="s">
        <v>1</v>
      </c>
      <c r="G1573">
        <f>IFERROR(VLOOKUP(Logs_reseau[[#This Row],[Cell_ID]],'[1]Registre_Maintenance_combine '!A:C,3,FALSE),"Non trouvé")</f>
        <v>-7.6951369999999999</v>
      </c>
      <c r="H1573">
        <f>IFERROR(VLOOKUP(Logs_reseau[[#This Row],[Cell_ID]],'[1]Registre_Maintenance_combine '!A:D,4,FALSE),"Non trouvé")</f>
        <v>13.346605</v>
      </c>
      <c r="I1573" t="str">
        <f>IFERROR(VLOOKUP(Logs_reseau[[#This Row],[Cell_ID]],'[1]Registre_Maintenance_combine '!A:E,5,FALSE),"Non trouvé")</f>
        <v>4G</v>
      </c>
      <c r="J1573" t="str">
        <f>IFERROR(VLOOKUP(Logs_reseau[[#This Row],[Cell_ID]],'[1]Registre_Maintenance_combine '!A:F,6,FALSE),"Non trouvé")</f>
        <v>Ericsson</v>
      </c>
    </row>
    <row r="1574" spans="1:10" x14ac:dyDescent="0.25">
      <c r="A1574" t="str">
        <f>IFERROR(VLOOKUP(Logs_reseau[[#This Row],[Cell_ID]],'[1]Registre_Maintenance_combine '!A:B,2,FALSE),"Non trouvé")</f>
        <v>Haut-Lomami</v>
      </c>
      <c r="B1574" t="s">
        <v>452</v>
      </c>
      <c r="C1574" s="3">
        <v>45212.115277777775</v>
      </c>
      <c r="D1574" s="11">
        <f>Logs_reseau[[#This Row],[Duree_Panne_Min]]/1440</f>
        <v>1.0416666666666666E-2</v>
      </c>
      <c r="E1574">
        <v>15</v>
      </c>
      <c r="F1574" t="s">
        <v>2</v>
      </c>
      <c r="G1574">
        <f>IFERROR(VLOOKUP(Logs_reseau[[#This Row],[Cell_ID]],'[1]Registre_Maintenance_combine '!A:C,3,FALSE),"Non trouvé")</f>
        <v>-7.1785899999999998</v>
      </c>
      <c r="H1574">
        <f>IFERROR(VLOOKUP(Logs_reseau[[#This Row],[Cell_ID]],'[1]Registre_Maintenance_combine '!A:D,4,FALSE),"Non trouvé")</f>
        <v>24.4404</v>
      </c>
      <c r="I1574" t="str">
        <f>IFERROR(VLOOKUP(Logs_reseau[[#This Row],[Cell_ID]],'[1]Registre_Maintenance_combine '!A:E,5,FALSE),"Non trouvé")</f>
        <v>4G</v>
      </c>
      <c r="J1574" t="str">
        <f>IFERROR(VLOOKUP(Logs_reseau[[#This Row],[Cell_ID]],'[1]Registre_Maintenance_combine '!A:F,6,FALSE),"Non trouvé")</f>
        <v>Nokia</v>
      </c>
    </row>
    <row r="1575" spans="1:10" x14ac:dyDescent="0.25">
      <c r="A1575" t="str">
        <f>IFERROR(VLOOKUP(Logs_reseau[[#This Row],[Cell_ID]],'[1]Registre_Maintenance_combine '!A:B,2,FALSE),"Non trouvé")</f>
        <v>Non trouvé</v>
      </c>
      <c r="B1575" t="s">
        <v>270</v>
      </c>
      <c r="C1575" s="3">
        <v>45225.129166666666</v>
      </c>
      <c r="D1575" s="11">
        <f>Logs_reseau[[#This Row],[Duree_Panne_Min]]/1440</f>
        <v>2.5000000000000001E-2</v>
      </c>
      <c r="E1575">
        <v>36</v>
      </c>
      <c r="F1575" t="s">
        <v>4</v>
      </c>
      <c r="G1575" t="str">
        <f>IFERROR(VLOOKUP(Logs_reseau[[#This Row],[Cell_ID]],'[1]Registre_Maintenance_combine '!A:C,3,FALSE),"Non trouvé")</f>
        <v>Non trouvé</v>
      </c>
      <c r="H1575" t="str">
        <f>IFERROR(VLOOKUP(Logs_reseau[[#This Row],[Cell_ID]],'[1]Registre_Maintenance_combine '!A:D,4,FALSE),"Non trouvé")</f>
        <v>Non trouvé</v>
      </c>
      <c r="I1575" t="str">
        <f>IFERROR(VLOOKUP(Logs_reseau[[#This Row],[Cell_ID]],'[1]Registre_Maintenance_combine '!A:E,5,FALSE),"Non trouvé")</f>
        <v>Non trouvé</v>
      </c>
      <c r="J1575" t="str">
        <f>IFERROR(VLOOKUP(Logs_reseau[[#This Row],[Cell_ID]],'[1]Registre_Maintenance_combine '!A:F,6,FALSE),"Non trouvé")</f>
        <v>Non trouvé</v>
      </c>
    </row>
    <row r="1576" spans="1:10" x14ac:dyDescent="0.25">
      <c r="A1576" t="str">
        <f>IFERROR(VLOOKUP(Logs_reseau[[#This Row],[Cell_ID]],'[1]Registre_Maintenance_combine '!A:B,2,FALSE),"Non trouvé")</f>
        <v>Sud-Kivu</v>
      </c>
      <c r="B1576" t="s">
        <v>137</v>
      </c>
      <c r="C1576" s="3">
        <v>45210.49722222222</v>
      </c>
      <c r="D1576" s="11">
        <f>Logs_reseau[[#This Row],[Duree_Panne_Min]]/1440</f>
        <v>5.2083333333333336E-2</v>
      </c>
      <c r="E1576">
        <v>75</v>
      </c>
      <c r="F1576" t="s">
        <v>4</v>
      </c>
      <c r="G1576">
        <f>IFERROR(VLOOKUP(Logs_reseau[[#This Row],[Cell_ID]],'[1]Registre_Maintenance_combine '!A:C,3,FALSE),"Non trouvé")</f>
        <v>-9.3900009999999998</v>
      </c>
      <c r="H1576">
        <f>IFERROR(VLOOKUP(Logs_reseau[[#This Row],[Cell_ID]],'[1]Registre_Maintenance_combine '!A:D,4,FALSE),"Non trouvé")</f>
        <v>30.001517</v>
      </c>
      <c r="I1576" t="str">
        <f>IFERROR(VLOOKUP(Logs_reseau[[#This Row],[Cell_ID]],'[1]Registre_Maintenance_combine '!A:E,5,FALSE),"Non trouvé")</f>
        <v>3G</v>
      </c>
      <c r="J1576" t="str">
        <f>IFERROR(VLOOKUP(Logs_reseau[[#This Row],[Cell_ID]],'[1]Registre_Maintenance_combine '!A:F,6,FALSE),"Non trouvé")</f>
        <v>Nokia</v>
      </c>
    </row>
    <row r="1577" spans="1:10" x14ac:dyDescent="0.25">
      <c r="A1577" t="str">
        <f>IFERROR(VLOOKUP(Logs_reseau[[#This Row],[Cell_ID]],'[1]Registre_Maintenance_combine '!A:B,2,FALSE),"Non trouvé")</f>
        <v>Non trouvé</v>
      </c>
      <c r="B1577" t="s">
        <v>611</v>
      </c>
      <c r="C1577" s="3">
        <v>45209.183333333334</v>
      </c>
      <c r="D1577" s="11">
        <f>Logs_reseau[[#This Row],[Duree_Panne_Min]]/1440</f>
        <v>5.6250000000000001E-2</v>
      </c>
      <c r="E1577">
        <v>81</v>
      </c>
      <c r="F1577" t="s">
        <v>2</v>
      </c>
      <c r="G1577" t="str">
        <f>IFERROR(VLOOKUP(Logs_reseau[[#This Row],[Cell_ID]],'[1]Registre_Maintenance_combine '!A:C,3,FALSE),"Non trouvé")</f>
        <v>Non trouvé</v>
      </c>
      <c r="H1577" t="str">
        <f>IFERROR(VLOOKUP(Logs_reseau[[#This Row],[Cell_ID]],'[1]Registre_Maintenance_combine '!A:D,4,FALSE),"Non trouvé")</f>
        <v>Non trouvé</v>
      </c>
      <c r="I1577" t="str">
        <f>IFERROR(VLOOKUP(Logs_reseau[[#This Row],[Cell_ID]],'[1]Registre_Maintenance_combine '!A:E,5,FALSE),"Non trouvé")</f>
        <v>Non trouvé</v>
      </c>
      <c r="J1577" t="str">
        <f>IFERROR(VLOOKUP(Logs_reseau[[#This Row],[Cell_ID]],'[1]Registre_Maintenance_combine '!A:F,6,FALSE),"Non trouvé")</f>
        <v>Non trouvé</v>
      </c>
    </row>
    <row r="1578" spans="1:10" x14ac:dyDescent="0.25">
      <c r="A1578" t="str">
        <f>IFERROR(VLOOKUP(Logs_reseau[[#This Row],[Cell_ID]],'[1]Registre_Maintenance_combine '!A:B,2,FALSE),"Non trouvé")</f>
        <v>Bas-Uele</v>
      </c>
      <c r="B1578" t="s">
        <v>612</v>
      </c>
      <c r="C1578" s="3">
        <v>45224.195138888892</v>
      </c>
      <c r="D1578" s="11">
        <f>Logs_reseau[[#This Row],[Duree_Panne_Min]]/1440</f>
        <v>5.6250000000000001E-2</v>
      </c>
      <c r="E1578">
        <v>81</v>
      </c>
      <c r="F1578" t="s">
        <v>2</v>
      </c>
      <c r="G1578">
        <f>IFERROR(VLOOKUP(Logs_reseau[[#This Row],[Cell_ID]],'[1]Registre_Maintenance_combine '!A:C,3,FALSE),"Non trouvé")</f>
        <v>-1.500685</v>
      </c>
      <c r="H1578">
        <f>IFERROR(VLOOKUP(Logs_reseau[[#This Row],[Cell_ID]],'[1]Registre_Maintenance_combine '!A:D,4,FALSE),"Non trouvé")</f>
        <v>26.563376000000002</v>
      </c>
      <c r="I1578" t="str">
        <f>IFERROR(VLOOKUP(Logs_reseau[[#This Row],[Cell_ID]],'[1]Registre_Maintenance_combine '!A:E,5,FALSE),"Non trouvé")</f>
        <v>5G</v>
      </c>
      <c r="J1578" t="str">
        <f>IFERROR(VLOOKUP(Logs_reseau[[#This Row],[Cell_ID]],'[1]Registre_Maintenance_combine '!A:F,6,FALSE),"Non trouvé")</f>
        <v>Nokia</v>
      </c>
    </row>
    <row r="1579" spans="1:10" x14ac:dyDescent="0.25">
      <c r="A1579" t="str">
        <f>IFERROR(VLOOKUP(Logs_reseau[[#This Row],[Cell_ID]],'[1]Registre_Maintenance_combine '!A:B,2,FALSE),"Non trouvé")</f>
        <v>Haut-Katanga</v>
      </c>
      <c r="B1579" t="s">
        <v>538</v>
      </c>
      <c r="C1579" s="3">
        <v>45223.293749999997</v>
      </c>
      <c r="D1579" s="11">
        <f>Logs_reseau[[#This Row],[Duree_Panne_Min]]/1440</f>
        <v>2.9166666666666667E-2</v>
      </c>
      <c r="E1579">
        <v>42</v>
      </c>
      <c r="F1579" t="s">
        <v>4</v>
      </c>
      <c r="G1579">
        <f>IFERROR(VLOOKUP(Logs_reseau[[#This Row],[Cell_ID]],'[1]Registre_Maintenance_combine '!A:C,3,FALSE),"Non trouvé")</f>
        <v>-4.4958720000000003</v>
      </c>
      <c r="H1579">
        <f>IFERROR(VLOOKUP(Logs_reseau[[#This Row],[Cell_ID]],'[1]Registre_Maintenance_combine '!A:D,4,FALSE),"Non trouvé")</f>
        <v>18.514112000000001</v>
      </c>
      <c r="I1579" t="str">
        <f>IFERROR(VLOOKUP(Logs_reseau[[#This Row],[Cell_ID]],'[1]Registre_Maintenance_combine '!A:E,5,FALSE),"Non trouvé")</f>
        <v>4G</v>
      </c>
      <c r="J1579" t="str">
        <f>IFERROR(VLOOKUP(Logs_reseau[[#This Row],[Cell_ID]],'[1]Registre_Maintenance_combine '!A:F,6,FALSE),"Non trouvé")</f>
        <v>Nokia</v>
      </c>
    </row>
    <row r="1580" spans="1:10" x14ac:dyDescent="0.25">
      <c r="A1580" t="str">
        <f>IFERROR(VLOOKUP(Logs_reseau[[#This Row],[Cell_ID]],'[1]Registre_Maintenance_combine '!A:B,2,FALSE),"Non trouvé")</f>
        <v>Non trouvé</v>
      </c>
      <c r="B1580" t="s">
        <v>613</v>
      </c>
      <c r="C1580" s="3">
        <v>45207.124305555553</v>
      </c>
      <c r="D1580" s="11">
        <f>Logs_reseau[[#This Row],[Duree_Panne_Min]]/1440</f>
        <v>5.347222222222222E-2</v>
      </c>
      <c r="E1580">
        <v>77</v>
      </c>
      <c r="F1580" t="s">
        <v>4</v>
      </c>
      <c r="G1580" t="str">
        <f>IFERROR(VLOOKUP(Logs_reseau[[#This Row],[Cell_ID]],'[1]Registre_Maintenance_combine '!A:C,3,FALSE),"Non trouvé")</f>
        <v>Non trouvé</v>
      </c>
      <c r="H1580" t="str">
        <f>IFERROR(VLOOKUP(Logs_reseau[[#This Row],[Cell_ID]],'[1]Registre_Maintenance_combine '!A:D,4,FALSE),"Non trouvé")</f>
        <v>Non trouvé</v>
      </c>
      <c r="I1580" t="str">
        <f>IFERROR(VLOOKUP(Logs_reseau[[#This Row],[Cell_ID]],'[1]Registre_Maintenance_combine '!A:E,5,FALSE),"Non trouvé")</f>
        <v>Non trouvé</v>
      </c>
      <c r="J1580" t="str">
        <f>IFERROR(VLOOKUP(Logs_reseau[[#This Row],[Cell_ID]],'[1]Registre_Maintenance_combine '!A:F,6,FALSE),"Non trouvé")</f>
        <v>Non trouvé</v>
      </c>
    </row>
    <row r="1581" spans="1:10" x14ac:dyDescent="0.25">
      <c r="A1581" t="str">
        <f>IFERROR(VLOOKUP(Logs_reseau[[#This Row],[Cell_ID]],'[1]Registre_Maintenance_combine '!A:B,2,FALSE),"Non trouvé")</f>
        <v>Kwilu</v>
      </c>
      <c r="B1581" t="s">
        <v>536</v>
      </c>
      <c r="C1581" s="3">
        <v>45213.145138888889</v>
      </c>
      <c r="D1581" s="11">
        <f>Logs_reseau[[#This Row],[Duree_Panne_Min]]/1440</f>
        <v>7.2916666666666671E-2</v>
      </c>
      <c r="E1581">
        <v>105</v>
      </c>
      <c r="F1581" t="s">
        <v>2</v>
      </c>
      <c r="G1581">
        <f>IFERROR(VLOOKUP(Logs_reseau[[#This Row],[Cell_ID]],'[1]Registre_Maintenance_combine '!A:C,3,FALSE),"Non trouvé")</f>
        <v>-10.939712999999999</v>
      </c>
      <c r="H1581">
        <f>IFERROR(VLOOKUP(Logs_reseau[[#This Row],[Cell_ID]],'[1]Registre_Maintenance_combine '!A:D,4,FALSE),"Non trouvé")</f>
        <v>18.276230999999999</v>
      </c>
      <c r="I1581" t="str">
        <f>IFERROR(VLOOKUP(Logs_reseau[[#This Row],[Cell_ID]],'[1]Registre_Maintenance_combine '!A:E,5,FALSE),"Non trouvé")</f>
        <v>4G</v>
      </c>
      <c r="J1581" t="str">
        <f>IFERROR(VLOOKUP(Logs_reseau[[#This Row],[Cell_ID]],'[1]Registre_Maintenance_combine '!A:F,6,FALSE),"Non trouvé")</f>
        <v>ZTE</v>
      </c>
    </row>
    <row r="1582" spans="1:10" x14ac:dyDescent="0.25">
      <c r="A1582" t="str">
        <f>IFERROR(VLOOKUP(Logs_reseau[[#This Row],[Cell_ID]],'[1]Registre_Maintenance_combine '!A:B,2,FALSE),"Non trouvé")</f>
        <v>Non trouvé</v>
      </c>
      <c r="B1582" t="s">
        <v>614</v>
      </c>
      <c r="C1582" s="3">
        <v>45219.793749999997</v>
      </c>
      <c r="D1582" s="11">
        <f>Logs_reseau[[#This Row],[Duree_Panne_Min]]/1440</f>
        <v>2.9861111111111113E-2</v>
      </c>
      <c r="E1582">
        <v>43</v>
      </c>
      <c r="F1582" t="s">
        <v>2</v>
      </c>
      <c r="G1582" t="str">
        <f>IFERROR(VLOOKUP(Logs_reseau[[#This Row],[Cell_ID]],'[1]Registre_Maintenance_combine '!A:C,3,FALSE),"Non trouvé")</f>
        <v>Non trouvé</v>
      </c>
      <c r="H1582" t="str">
        <f>IFERROR(VLOOKUP(Logs_reseau[[#This Row],[Cell_ID]],'[1]Registre_Maintenance_combine '!A:D,4,FALSE),"Non trouvé")</f>
        <v>Non trouvé</v>
      </c>
      <c r="I1582" t="str">
        <f>IFERROR(VLOOKUP(Logs_reseau[[#This Row],[Cell_ID]],'[1]Registre_Maintenance_combine '!A:E,5,FALSE),"Non trouvé")</f>
        <v>Non trouvé</v>
      </c>
      <c r="J1582" t="str">
        <f>IFERROR(VLOOKUP(Logs_reseau[[#This Row],[Cell_ID]],'[1]Registre_Maintenance_combine '!A:F,6,FALSE),"Non trouvé")</f>
        <v>Non trouvé</v>
      </c>
    </row>
    <row r="1583" spans="1:10" x14ac:dyDescent="0.25">
      <c r="A1583" t="str">
        <f>IFERROR(VLOOKUP(Logs_reseau[[#This Row],[Cell_ID]],'[1]Registre_Maintenance_combine '!A:B,2,FALSE),"Non trouvé")</f>
        <v>Kasai</v>
      </c>
      <c r="B1583" t="s">
        <v>615</v>
      </c>
      <c r="C1583" s="3">
        <v>45209.907638888886</v>
      </c>
      <c r="D1583" s="11">
        <f>Logs_reseau[[#This Row],[Duree_Panne_Min]]/1440</f>
        <v>6.8750000000000006E-2</v>
      </c>
      <c r="E1583">
        <v>99</v>
      </c>
      <c r="F1583" t="s">
        <v>4</v>
      </c>
      <c r="G1583">
        <f>IFERROR(VLOOKUP(Logs_reseau[[#This Row],[Cell_ID]],'[1]Registre_Maintenance_combine '!A:C,3,FALSE),"Non trouvé")</f>
        <v>-7.6757720000000003</v>
      </c>
      <c r="H1583">
        <f>IFERROR(VLOOKUP(Logs_reseau[[#This Row],[Cell_ID]],'[1]Registre_Maintenance_combine '!A:D,4,FALSE),"Non trouvé")</f>
        <v>30.222971000000001</v>
      </c>
      <c r="I1583" t="str">
        <f>IFERROR(VLOOKUP(Logs_reseau[[#This Row],[Cell_ID]],'[1]Registre_Maintenance_combine '!A:E,5,FALSE),"Non trouvé")</f>
        <v>5G</v>
      </c>
      <c r="J1583" t="str">
        <f>IFERROR(VLOOKUP(Logs_reseau[[#This Row],[Cell_ID]],'[1]Registre_Maintenance_combine '!A:F,6,FALSE),"Non trouvé")</f>
        <v>Ericsson</v>
      </c>
    </row>
    <row r="1584" spans="1:10" x14ac:dyDescent="0.25">
      <c r="A1584" t="str">
        <f>IFERROR(VLOOKUP(Logs_reseau[[#This Row],[Cell_ID]],'[1]Registre_Maintenance_combine '!A:B,2,FALSE),"Non trouvé")</f>
        <v>Non trouvé</v>
      </c>
      <c r="B1584" t="s">
        <v>63</v>
      </c>
      <c r="C1584" s="3">
        <v>45221.96597222222</v>
      </c>
      <c r="D1584" s="11">
        <f>Logs_reseau[[#This Row],[Duree_Panne_Min]]/1440</f>
        <v>5.8333333333333334E-2</v>
      </c>
      <c r="E1584">
        <v>84</v>
      </c>
      <c r="F1584" t="s">
        <v>4</v>
      </c>
      <c r="G1584" t="str">
        <f>IFERROR(VLOOKUP(Logs_reseau[[#This Row],[Cell_ID]],'[1]Registre_Maintenance_combine '!A:C,3,FALSE),"Non trouvé")</f>
        <v>Non trouvé</v>
      </c>
      <c r="H1584" t="str">
        <f>IFERROR(VLOOKUP(Logs_reseau[[#This Row],[Cell_ID]],'[1]Registre_Maintenance_combine '!A:D,4,FALSE),"Non trouvé")</f>
        <v>Non trouvé</v>
      </c>
      <c r="I1584" t="str">
        <f>IFERROR(VLOOKUP(Logs_reseau[[#This Row],[Cell_ID]],'[1]Registre_Maintenance_combine '!A:E,5,FALSE),"Non trouvé")</f>
        <v>Non trouvé</v>
      </c>
      <c r="J1584" t="str">
        <f>IFERROR(VLOOKUP(Logs_reseau[[#This Row],[Cell_ID]],'[1]Registre_Maintenance_combine '!A:F,6,FALSE),"Non trouvé")</f>
        <v>Non trouvé</v>
      </c>
    </row>
    <row r="1585" spans="1:10" x14ac:dyDescent="0.25">
      <c r="A1585" t="str">
        <f>IFERROR(VLOOKUP(Logs_reseau[[#This Row],[Cell_ID]],'[1]Registre_Maintenance_combine '!A:B,2,FALSE),"Non trouvé")</f>
        <v>Non trouvé</v>
      </c>
      <c r="B1585" t="s">
        <v>206</v>
      </c>
      <c r="C1585" s="3">
        <v>45203.03125</v>
      </c>
      <c r="D1585" s="11">
        <f>Logs_reseau[[#This Row],[Duree_Panne_Min]]/1440</f>
        <v>2.5000000000000001E-2</v>
      </c>
      <c r="E1585">
        <v>36</v>
      </c>
      <c r="F1585" t="s">
        <v>4</v>
      </c>
      <c r="G1585" t="str">
        <f>IFERROR(VLOOKUP(Logs_reseau[[#This Row],[Cell_ID]],'[1]Registre_Maintenance_combine '!A:C,3,FALSE),"Non trouvé")</f>
        <v>Non trouvé</v>
      </c>
      <c r="H1585" t="str">
        <f>IFERROR(VLOOKUP(Logs_reseau[[#This Row],[Cell_ID]],'[1]Registre_Maintenance_combine '!A:D,4,FALSE),"Non trouvé")</f>
        <v>Non trouvé</v>
      </c>
      <c r="I1585" t="str">
        <f>IFERROR(VLOOKUP(Logs_reseau[[#This Row],[Cell_ID]],'[1]Registre_Maintenance_combine '!A:E,5,FALSE),"Non trouvé")</f>
        <v>Non trouvé</v>
      </c>
      <c r="J1585" t="str">
        <f>IFERROR(VLOOKUP(Logs_reseau[[#This Row],[Cell_ID]],'[1]Registre_Maintenance_combine '!A:F,6,FALSE),"Non trouvé")</f>
        <v>Non trouvé</v>
      </c>
    </row>
    <row r="1586" spans="1:10" x14ac:dyDescent="0.25">
      <c r="A1586" t="str">
        <f>IFERROR(VLOOKUP(Logs_reseau[[#This Row],[Cell_ID]],'[1]Registre_Maintenance_combine '!A:B,2,FALSE),"Non trouvé")</f>
        <v>Non trouvé</v>
      </c>
      <c r="B1586" t="s">
        <v>147</v>
      </c>
      <c r="C1586" s="3">
        <v>45204.916666666664</v>
      </c>
      <c r="D1586" s="11">
        <f>Logs_reseau[[#This Row],[Duree_Panne_Min]]/1440</f>
        <v>4.4444444444444446E-2</v>
      </c>
      <c r="E1586">
        <v>64</v>
      </c>
      <c r="F1586" t="s">
        <v>4</v>
      </c>
      <c r="G1586" t="str">
        <f>IFERROR(VLOOKUP(Logs_reseau[[#This Row],[Cell_ID]],'[1]Registre_Maintenance_combine '!A:C,3,FALSE),"Non trouvé")</f>
        <v>Non trouvé</v>
      </c>
      <c r="H1586" t="str">
        <f>IFERROR(VLOOKUP(Logs_reseau[[#This Row],[Cell_ID]],'[1]Registre_Maintenance_combine '!A:D,4,FALSE),"Non trouvé")</f>
        <v>Non trouvé</v>
      </c>
      <c r="I1586" t="str">
        <f>IFERROR(VLOOKUP(Logs_reseau[[#This Row],[Cell_ID]],'[1]Registre_Maintenance_combine '!A:E,5,FALSE),"Non trouvé")</f>
        <v>Non trouvé</v>
      </c>
      <c r="J1586" t="str">
        <f>IFERROR(VLOOKUP(Logs_reseau[[#This Row],[Cell_ID]],'[1]Registre_Maintenance_combine '!A:F,6,FALSE),"Non trouvé")</f>
        <v>Non trouvé</v>
      </c>
    </row>
    <row r="1587" spans="1:10" x14ac:dyDescent="0.25">
      <c r="A1587" t="str">
        <f>IFERROR(VLOOKUP(Logs_reseau[[#This Row],[Cell_ID]],'[1]Registre_Maintenance_combine '!A:B,2,FALSE),"Non trouvé")</f>
        <v>Non trouvé</v>
      </c>
      <c r="B1587" t="s">
        <v>318</v>
      </c>
      <c r="C1587" s="3">
        <v>45205.640277777777</v>
      </c>
      <c r="D1587" s="11">
        <f>Logs_reseau[[#This Row],[Duree_Panne_Min]]/1440</f>
        <v>3.6111111111111108E-2</v>
      </c>
      <c r="E1587">
        <v>52</v>
      </c>
      <c r="F1587" t="s">
        <v>1</v>
      </c>
      <c r="G1587" t="str">
        <f>IFERROR(VLOOKUP(Logs_reseau[[#This Row],[Cell_ID]],'[1]Registre_Maintenance_combine '!A:C,3,FALSE),"Non trouvé")</f>
        <v>Non trouvé</v>
      </c>
      <c r="H1587" t="str">
        <f>IFERROR(VLOOKUP(Logs_reseau[[#This Row],[Cell_ID]],'[1]Registre_Maintenance_combine '!A:D,4,FALSE),"Non trouvé")</f>
        <v>Non trouvé</v>
      </c>
      <c r="I1587" t="str">
        <f>IFERROR(VLOOKUP(Logs_reseau[[#This Row],[Cell_ID]],'[1]Registre_Maintenance_combine '!A:E,5,FALSE),"Non trouvé")</f>
        <v>Non trouvé</v>
      </c>
      <c r="J1587" t="str">
        <f>IFERROR(VLOOKUP(Logs_reseau[[#This Row],[Cell_ID]],'[1]Registre_Maintenance_combine '!A:F,6,FALSE),"Non trouvé")</f>
        <v>Non trouvé</v>
      </c>
    </row>
    <row r="1588" spans="1:10" x14ac:dyDescent="0.25">
      <c r="A1588" t="str">
        <f>IFERROR(VLOOKUP(Logs_reseau[[#This Row],[Cell_ID]],'[1]Registre_Maintenance_combine '!A:B,2,FALSE),"Non trouvé")</f>
        <v>Tshuapa</v>
      </c>
      <c r="B1588" t="s">
        <v>303</v>
      </c>
      <c r="C1588" s="3">
        <v>45216.701388888891</v>
      </c>
      <c r="D1588" s="11">
        <f>Logs_reseau[[#This Row],[Duree_Panne_Min]]/1440</f>
        <v>5.5555555555555552E-2</v>
      </c>
      <c r="E1588">
        <v>80</v>
      </c>
      <c r="F1588" t="s">
        <v>1</v>
      </c>
      <c r="G1588">
        <f>IFERROR(VLOOKUP(Logs_reseau[[#This Row],[Cell_ID]],'[1]Registre_Maintenance_combine '!A:C,3,FALSE),"Non trouvé")</f>
        <v>-11.622688999999999</v>
      </c>
      <c r="H1588">
        <f>IFERROR(VLOOKUP(Logs_reseau[[#This Row],[Cell_ID]],'[1]Registre_Maintenance_combine '!A:D,4,FALSE),"Non trouvé")</f>
        <v>18.483874</v>
      </c>
      <c r="I1588" t="str">
        <f>IFERROR(VLOOKUP(Logs_reseau[[#This Row],[Cell_ID]],'[1]Registre_Maintenance_combine '!A:E,5,FALSE),"Non trouvé")</f>
        <v>5G</v>
      </c>
      <c r="J1588" t="str">
        <f>IFERROR(VLOOKUP(Logs_reseau[[#This Row],[Cell_ID]],'[1]Registre_Maintenance_combine '!A:F,6,FALSE),"Non trouvé")</f>
        <v>ZTE</v>
      </c>
    </row>
    <row r="1589" spans="1:10" x14ac:dyDescent="0.25">
      <c r="A1589" t="str">
        <f>IFERROR(VLOOKUP(Logs_reseau[[#This Row],[Cell_ID]],'[1]Registre_Maintenance_combine '!A:B,2,FALSE),"Non trouvé")</f>
        <v>Tshopo</v>
      </c>
      <c r="B1589" t="s">
        <v>97</v>
      </c>
      <c r="C1589" s="3">
        <v>45226.969444444447</v>
      </c>
      <c r="D1589" s="11">
        <f>Logs_reseau[[#This Row],[Duree_Panne_Min]]/1440</f>
        <v>4.7222222222222221E-2</v>
      </c>
      <c r="E1589">
        <v>68</v>
      </c>
      <c r="F1589" t="s">
        <v>1</v>
      </c>
      <c r="G1589">
        <f>IFERROR(VLOOKUP(Logs_reseau[[#This Row],[Cell_ID]],'[1]Registre_Maintenance_combine '!A:C,3,FALSE),"Non trouvé")</f>
        <v>3.0603760000000002</v>
      </c>
      <c r="H1589">
        <f>IFERROR(VLOOKUP(Logs_reseau[[#This Row],[Cell_ID]],'[1]Registre_Maintenance_combine '!A:D,4,FALSE),"Non trouvé")</f>
        <v>19.708034000000001</v>
      </c>
      <c r="I1589" t="str">
        <f>IFERROR(VLOOKUP(Logs_reseau[[#This Row],[Cell_ID]],'[1]Registre_Maintenance_combine '!A:E,5,FALSE),"Non trouvé")</f>
        <v>3G</v>
      </c>
      <c r="J1589" t="str">
        <f>IFERROR(VLOOKUP(Logs_reseau[[#This Row],[Cell_ID]],'[1]Registre_Maintenance_combine '!A:F,6,FALSE),"Non trouvé")</f>
        <v>ZTE</v>
      </c>
    </row>
    <row r="1590" spans="1:10" x14ac:dyDescent="0.25">
      <c r="A1590" t="str">
        <f>IFERROR(VLOOKUP(Logs_reseau[[#This Row],[Cell_ID]],'[1]Registre_Maintenance_combine '!A:B,2,FALSE),"Non trouvé")</f>
        <v>Nord-Kivu</v>
      </c>
      <c r="B1590" t="s">
        <v>46</v>
      </c>
      <c r="C1590" s="3">
        <v>45205.463888888888</v>
      </c>
      <c r="D1590" s="11">
        <f>Logs_reseau[[#This Row],[Duree_Panne_Min]]/1440</f>
        <v>7.1527777777777773E-2</v>
      </c>
      <c r="E1590">
        <v>103</v>
      </c>
      <c r="F1590" t="s">
        <v>1</v>
      </c>
      <c r="G1590">
        <f>IFERROR(VLOOKUP(Logs_reseau[[#This Row],[Cell_ID]],'[1]Registre_Maintenance_combine '!A:C,3,FALSE),"Non trouvé")</f>
        <v>-0.17258100000000001</v>
      </c>
      <c r="H1590">
        <f>IFERROR(VLOOKUP(Logs_reseau[[#This Row],[Cell_ID]],'[1]Registre_Maintenance_combine '!A:D,4,FALSE),"Non trouvé")</f>
        <v>23.775555000000001</v>
      </c>
      <c r="I1590" t="str">
        <f>IFERROR(VLOOKUP(Logs_reseau[[#This Row],[Cell_ID]],'[1]Registre_Maintenance_combine '!A:E,5,FALSE),"Non trouvé")</f>
        <v>5G</v>
      </c>
      <c r="J1590" t="str">
        <f>IFERROR(VLOOKUP(Logs_reseau[[#This Row],[Cell_ID]],'[1]Registre_Maintenance_combine '!A:F,6,FALSE),"Non trouvé")</f>
        <v>Nokia</v>
      </c>
    </row>
    <row r="1591" spans="1:10" x14ac:dyDescent="0.25">
      <c r="A1591" t="str">
        <f>IFERROR(VLOOKUP(Logs_reseau[[#This Row],[Cell_ID]],'[1]Registre_Maintenance_combine '!A:B,2,FALSE),"Non trouvé")</f>
        <v>Non trouvé</v>
      </c>
      <c r="B1591" t="s">
        <v>616</v>
      </c>
      <c r="C1591" s="3">
        <v>45223.365277777775</v>
      </c>
      <c r="D1591" s="11">
        <f>Logs_reseau[[#This Row],[Duree_Panne_Min]]/1440</f>
        <v>7.2222222222222215E-2</v>
      </c>
      <c r="E1591">
        <v>104</v>
      </c>
      <c r="F1591" t="s">
        <v>2</v>
      </c>
      <c r="G1591" t="str">
        <f>IFERROR(VLOOKUP(Logs_reseau[[#This Row],[Cell_ID]],'[1]Registre_Maintenance_combine '!A:C,3,FALSE),"Non trouvé")</f>
        <v>Non trouvé</v>
      </c>
      <c r="H1591" t="str">
        <f>IFERROR(VLOOKUP(Logs_reseau[[#This Row],[Cell_ID]],'[1]Registre_Maintenance_combine '!A:D,4,FALSE),"Non trouvé")</f>
        <v>Non trouvé</v>
      </c>
      <c r="I1591" t="str">
        <f>IFERROR(VLOOKUP(Logs_reseau[[#This Row],[Cell_ID]],'[1]Registre_Maintenance_combine '!A:E,5,FALSE),"Non trouvé")</f>
        <v>Non trouvé</v>
      </c>
      <c r="J1591" t="str">
        <f>IFERROR(VLOOKUP(Logs_reseau[[#This Row],[Cell_ID]],'[1]Registre_Maintenance_combine '!A:F,6,FALSE),"Non trouvé")</f>
        <v>Non trouvé</v>
      </c>
    </row>
    <row r="1592" spans="1:10" x14ac:dyDescent="0.25">
      <c r="A1592" t="str">
        <f>IFERROR(VLOOKUP(Logs_reseau[[#This Row],[Cell_ID]],'[1]Registre_Maintenance_combine '!A:B,2,FALSE),"Non trouvé")</f>
        <v>Kwilu</v>
      </c>
      <c r="B1592" t="s">
        <v>513</v>
      </c>
      <c r="C1592" s="3">
        <v>45228.15902777778</v>
      </c>
      <c r="D1592" s="11">
        <f>Logs_reseau[[#This Row],[Duree_Panne_Min]]/1440</f>
        <v>2.0833333333333332E-2</v>
      </c>
      <c r="E1592">
        <v>30</v>
      </c>
      <c r="F1592" t="s">
        <v>1</v>
      </c>
      <c r="G1592">
        <f>IFERROR(VLOOKUP(Logs_reseau[[#This Row],[Cell_ID]],'[1]Registre_Maintenance_combine '!A:C,3,FALSE),"Non trouvé")</f>
        <v>0.62055499999999997</v>
      </c>
      <c r="H1592">
        <f>IFERROR(VLOOKUP(Logs_reseau[[#This Row],[Cell_ID]],'[1]Registre_Maintenance_combine '!A:D,4,FALSE),"Non trouvé")</f>
        <v>21.222035000000002</v>
      </c>
      <c r="I1592" t="str">
        <f>IFERROR(VLOOKUP(Logs_reseau[[#This Row],[Cell_ID]],'[1]Registre_Maintenance_combine '!A:E,5,FALSE),"Non trouvé")</f>
        <v>5G</v>
      </c>
      <c r="J1592" t="str">
        <f>IFERROR(VLOOKUP(Logs_reseau[[#This Row],[Cell_ID]],'[1]Registre_Maintenance_combine '!A:F,6,FALSE),"Non trouvé")</f>
        <v>Nokia</v>
      </c>
    </row>
    <row r="1593" spans="1:10" x14ac:dyDescent="0.25">
      <c r="A1593" t="str">
        <f>IFERROR(VLOOKUP(Logs_reseau[[#This Row],[Cell_ID]],'[1]Registre_Maintenance_combine '!A:B,2,FALSE),"Non trouvé")</f>
        <v>Non trouvé</v>
      </c>
      <c r="B1593" t="s">
        <v>284</v>
      </c>
      <c r="C1593" s="3">
        <v>45228.01458333333</v>
      </c>
      <c r="D1593" s="11">
        <f>Logs_reseau[[#This Row],[Duree_Panne_Min]]/1440</f>
        <v>6.805555555555555E-2</v>
      </c>
      <c r="E1593">
        <v>98</v>
      </c>
      <c r="F1593" t="s">
        <v>1</v>
      </c>
      <c r="G1593" t="str">
        <f>IFERROR(VLOOKUP(Logs_reseau[[#This Row],[Cell_ID]],'[1]Registre_Maintenance_combine '!A:C,3,FALSE),"Non trouvé")</f>
        <v>Non trouvé</v>
      </c>
      <c r="H1593" t="str">
        <f>IFERROR(VLOOKUP(Logs_reseau[[#This Row],[Cell_ID]],'[1]Registre_Maintenance_combine '!A:D,4,FALSE),"Non trouvé")</f>
        <v>Non trouvé</v>
      </c>
      <c r="I1593" t="str">
        <f>IFERROR(VLOOKUP(Logs_reseau[[#This Row],[Cell_ID]],'[1]Registre_Maintenance_combine '!A:E,5,FALSE),"Non trouvé")</f>
        <v>Non trouvé</v>
      </c>
      <c r="J1593" t="str">
        <f>IFERROR(VLOOKUP(Logs_reseau[[#This Row],[Cell_ID]],'[1]Registre_Maintenance_combine '!A:F,6,FALSE),"Non trouvé")</f>
        <v>Non trouvé</v>
      </c>
    </row>
    <row r="1594" spans="1:10" x14ac:dyDescent="0.25">
      <c r="A1594" t="str">
        <f>IFERROR(VLOOKUP(Logs_reseau[[#This Row],[Cell_ID]],'[1]Registre_Maintenance_combine '!A:B,2,FALSE),"Non trouvé")</f>
        <v>Non trouvé</v>
      </c>
      <c r="B1594" t="s">
        <v>617</v>
      </c>
      <c r="C1594" s="3">
        <v>45225.553472222222</v>
      </c>
      <c r="D1594" s="11">
        <f>Logs_reseau[[#This Row],[Duree_Panne_Min]]/1440</f>
        <v>8.3333333333333329E-2</v>
      </c>
      <c r="E1594">
        <v>120</v>
      </c>
      <c r="F1594" t="s">
        <v>1</v>
      </c>
      <c r="G1594" t="str">
        <f>IFERROR(VLOOKUP(Logs_reseau[[#This Row],[Cell_ID]],'[1]Registre_Maintenance_combine '!A:C,3,FALSE),"Non trouvé")</f>
        <v>Non trouvé</v>
      </c>
      <c r="H1594" t="str">
        <f>IFERROR(VLOOKUP(Logs_reseau[[#This Row],[Cell_ID]],'[1]Registre_Maintenance_combine '!A:D,4,FALSE),"Non trouvé")</f>
        <v>Non trouvé</v>
      </c>
      <c r="I1594" t="str">
        <f>IFERROR(VLOOKUP(Logs_reseau[[#This Row],[Cell_ID]],'[1]Registre_Maintenance_combine '!A:E,5,FALSE),"Non trouvé")</f>
        <v>Non trouvé</v>
      </c>
      <c r="J1594" t="str">
        <f>IFERROR(VLOOKUP(Logs_reseau[[#This Row],[Cell_ID]],'[1]Registre_Maintenance_combine '!A:F,6,FALSE),"Non trouvé")</f>
        <v>Non trouvé</v>
      </c>
    </row>
    <row r="1595" spans="1:10" x14ac:dyDescent="0.25">
      <c r="A1595" t="str">
        <f>IFERROR(VLOOKUP(Logs_reseau[[#This Row],[Cell_ID]],'[1]Registre_Maintenance_combine '!A:B,2,FALSE),"Non trouvé")</f>
        <v>Lomami</v>
      </c>
      <c r="B1595" t="s">
        <v>618</v>
      </c>
      <c r="C1595" s="3">
        <v>45216.094444444447</v>
      </c>
      <c r="D1595" s="11">
        <f>Logs_reseau[[#This Row],[Duree_Panne_Min]]/1440</f>
        <v>5.1388888888888887E-2</v>
      </c>
      <c r="E1595">
        <v>74</v>
      </c>
      <c r="F1595" t="s">
        <v>1</v>
      </c>
      <c r="G1595">
        <f>IFERROR(VLOOKUP(Logs_reseau[[#This Row],[Cell_ID]],'[1]Registre_Maintenance_combine '!A:C,3,FALSE),"Non trouvé")</f>
        <v>4.8265669999999998</v>
      </c>
      <c r="H1595">
        <f>IFERROR(VLOOKUP(Logs_reseau[[#This Row],[Cell_ID]],'[1]Registre_Maintenance_combine '!A:D,4,FALSE),"Non trouvé")</f>
        <v>28.535277000000001</v>
      </c>
      <c r="I1595" t="str">
        <f>IFERROR(VLOOKUP(Logs_reseau[[#This Row],[Cell_ID]],'[1]Registre_Maintenance_combine '!A:E,5,FALSE),"Non trouvé")</f>
        <v>3G</v>
      </c>
      <c r="J1595" t="str">
        <f>IFERROR(VLOOKUP(Logs_reseau[[#This Row],[Cell_ID]],'[1]Registre_Maintenance_combine '!A:F,6,FALSE),"Non trouvé")</f>
        <v>Huawei</v>
      </c>
    </row>
    <row r="1596" spans="1:10" x14ac:dyDescent="0.25">
      <c r="A1596" t="str">
        <f>IFERROR(VLOOKUP(Logs_reseau[[#This Row],[Cell_ID]],'[1]Registre_Maintenance_combine '!A:B,2,FALSE),"Non trouvé")</f>
        <v>Haut-Lomami</v>
      </c>
      <c r="B1596" t="s">
        <v>619</v>
      </c>
      <c r="C1596" s="3">
        <v>45222.777777777781</v>
      </c>
      <c r="D1596" s="11">
        <f>Logs_reseau[[#This Row],[Duree_Panne_Min]]/1440</f>
        <v>7.0833333333333331E-2</v>
      </c>
      <c r="E1596">
        <v>102</v>
      </c>
      <c r="F1596" t="s">
        <v>4</v>
      </c>
      <c r="G1596">
        <f>IFERROR(VLOOKUP(Logs_reseau[[#This Row],[Cell_ID]],'[1]Registre_Maintenance_combine '!A:C,3,FALSE),"Non trouvé")</f>
        <v>-1.3938550000000001</v>
      </c>
      <c r="H1596">
        <f>IFERROR(VLOOKUP(Logs_reseau[[#This Row],[Cell_ID]],'[1]Registre_Maintenance_combine '!A:D,4,FALSE),"Non trouvé")</f>
        <v>15.097554000000001</v>
      </c>
      <c r="I1596" t="str">
        <f>IFERROR(VLOOKUP(Logs_reseau[[#This Row],[Cell_ID]],'[1]Registre_Maintenance_combine '!A:E,5,FALSE),"Non trouvé")</f>
        <v>4G</v>
      </c>
      <c r="J1596" t="str">
        <f>IFERROR(VLOOKUP(Logs_reseau[[#This Row],[Cell_ID]],'[1]Registre_Maintenance_combine '!A:F,6,FALSE),"Non trouvé")</f>
        <v>Huawei</v>
      </c>
    </row>
    <row r="1597" spans="1:10" x14ac:dyDescent="0.25">
      <c r="A1597" t="str">
        <f>IFERROR(VLOOKUP(Logs_reseau[[#This Row],[Cell_ID]],'[1]Registre_Maintenance_combine '!A:B,2,FALSE),"Non trouvé")</f>
        <v>Kongo-Central</v>
      </c>
      <c r="B1597" t="s">
        <v>620</v>
      </c>
      <c r="C1597" s="3">
        <v>45202.645138888889</v>
      </c>
      <c r="D1597" s="11">
        <f>Logs_reseau[[#This Row],[Duree_Panne_Min]]/1440</f>
        <v>7.3611111111111113E-2</v>
      </c>
      <c r="E1597">
        <v>106</v>
      </c>
      <c r="F1597" t="s">
        <v>4</v>
      </c>
      <c r="G1597">
        <f>IFERROR(VLOOKUP(Logs_reseau[[#This Row],[Cell_ID]],'[1]Registre_Maintenance_combine '!A:C,3,FALSE),"Non trouvé")</f>
        <v>1.981107</v>
      </c>
      <c r="H1597">
        <f>IFERROR(VLOOKUP(Logs_reseau[[#This Row],[Cell_ID]],'[1]Registre_Maintenance_combine '!A:D,4,FALSE),"Non trouvé")</f>
        <v>23.932569000000001</v>
      </c>
      <c r="I1597" t="str">
        <f>IFERROR(VLOOKUP(Logs_reseau[[#This Row],[Cell_ID]],'[1]Registre_Maintenance_combine '!A:E,5,FALSE),"Non trouvé")</f>
        <v>3G</v>
      </c>
      <c r="J1597" t="str">
        <f>IFERROR(VLOOKUP(Logs_reseau[[#This Row],[Cell_ID]],'[1]Registre_Maintenance_combine '!A:F,6,FALSE),"Non trouvé")</f>
        <v>Nokia</v>
      </c>
    </row>
    <row r="1598" spans="1:10" x14ac:dyDescent="0.25">
      <c r="A1598" t="str">
        <f>IFERROR(VLOOKUP(Logs_reseau[[#This Row],[Cell_ID]],'[1]Registre_Maintenance_combine '!A:B,2,FALSE),"Non trouvé")</f>
        <v>Nord-Kivu</v>
      </c>
      <c r="B1598" t="s">
        <v>621</v>
      </c>
      <c r="C1598" s="3">
        <v>45216.460416666669</v>
      </c>
      <c r="D1598" s="11">
        <f>Logs_reseau[[#This Row],[Duree_Panne_Min]]/1440</f>
        <v>2.5000000000000001E-2</v>
      </c>
      <c r="E1598">
        <v>36</v>
      </c>
      <c r="F1598" t="s">
        <v>4</v>
      </c>
      <c r="G1598">
        <f>IFERROR(VLOOKUP(Logs_reseau[[#This Row],[Cell_ID]],'[1]Registre_Maintenance_combine '!A:C,3,FALSE),"Non trouvé")</f>
        <v>-11.231472</v>
      </c>
      <c r="H1598">
        <f>IFERROR(VLOOKUP(Logs_reseau[[#This Row],[Cell_ID]],'[1]Registre_Maintenance_combine '!A:D,4,FALSE),"Non trouvé")</f>
        <v>25.388874000000001</v>
      </c>
      <c r="I1598" t="str">
        <f>IFERROR(VLOOKUP(Logs_reseau[[#This Row],[Cell_ID]],'[1]Registre_Maintenance_combine '!A:E,5,FALSE),"Non trouvé")</f>
        <v>4G</v>
      </c>
      <c r="J1598" t="str">
        <f>IFERROR(VLOOKUP(Logs_reseau[[#This Row],[Cell_ID]],'[1]Registre_Maintenance_combine '!A:F,6,FALSE),"Non trouvé")</f>
        <v>Huawei</v>
      </c>
    </row>
    <row r="1599" spans="1:10" x14ac:dyDescent="0.25">
      <c r="A1599" t="str">
        <f>IFERROR(VLOOKUP(Logs_reseau[[#This Row],[Cell_ID]],'[1]Registre_Maintenance_combine '!A:B,2,FALSE),"Non trouvé")</f>
        <v>Non trouvé</v>
      </c>
      <c r="B1599" t="s">
        <v>622</v>
      </c>
      <c r="C1599" s="3">
        <v>45215.756944444445</v>
      </c>
      <c r="D1599" s="11">
        <f>Logs_reseau[[#This Row],[Duree_Panne_Min]]/1440</f>
        <v>1.6666666666666666E-2</v>
      </c>
      <c r="E1599">
        <v>24</v>
      </c>
      <c r="F1599" t="s">
        <v>4</v>
      </c>
      <c r="G1599" t="str">
        <f>IFERROR(VLOOKUP(Logs_reseau[[#This Row],[Cell_ID]],'[1]Registre_Maintenance_combine '!A:C,3,FALSE),"Non trouvé")</f>
        <v>Non trouvé</v>
      </c>
      <c r="H1599" t="str">
        <f>IFERROR(VLOOKUP(Logs_reseau[[#This Row],[Cell_ID]],'[1]Registre_Maintenance_combine '!A:D,4,FALSE),"Non trouvé")</f>
        <v>Non trouvé</v>
      </c>
      <c r="I1599" t="str">
        <f>IFERROR(VLOOKUP(Logs_reseau[[#This Row],[Cell_ID]],'[1]Registre_Maintenance_combine '!A:E,5,FALSE),"Non trouvé")</f>
        <v>Non trouvé</v>
      </c>
      <c r="J1599" t="str">
        <f>IFERROR(VLOOKUP(Logs_reseau[[#This Row],[Cell_ID]],'[1]Registre_Maintenance_combine '!A:F,6,FALSE),"Non trouvé")</f>
        <v>Non trouvé</v>
      </c>
    </row>
    <row r="1600" spans="1:10" x14ac:dyDescent="0.25">
      <c r="A1600" t="str">
        <f>IFERROR(VLOOKUP(Logs_reseau[[#This Row],[Cell_ID]],'[1]Registre_Maintenance_combine '!A:B,2,FALSE),"Non trouvé")</f>
        <v>Nord-Kivu</v>
      </c>
      <c r="B1600" t="s">
        <v>623</v>
      </c>
      <c r="C1600" s="3">
        <v>45211.219444444447</v>
      </c>
      <c r="D1600" s="11">
        <f>Logs_reseau[[#This Row],[Duree_Panne_Min]]/1440</f>
        <v>3.472222222222222E-3</v>
      </c>
      <c r="E1600">
        <v>5</v>
      </c>
      <c r="F1600" t="s">
        <v>1</v>
      </c>
      <c r="G1600">
        <f>IFERROR(VLOOKUP(Logs_reseau[[#This Row],[Cell_ID]],'[1]Registre_Maintenance_combine '!A:C,3,FALSE),"Non trouvé")</f>
        <v>-8.9586360000000003</v>
      </c>
      <c r="H1600">
        <f>IFERROR(VLOOKUP(Logs_reseau[[#This Row],[Cell_ID]],'[1]Registre_Maintenance_combine '!A:D,4,FALSE),"Non trouvé")</f>
        <v>17.157720000000001</v>
      </c>
      <c r="I1600" t="str">
        <f>IFERROR(VLOOKUP(Logs_reseau[[#This Row],[Cell_ID]],'[1]Registre_Maintenance_combine '!A:E,5,FALSE),"Non trouvé")</f>
        <v>3G</v>
      </c>
      <c r="J1600" t="str">
        <f>IFERROR(VLOOKUP(Logs_reseau[[#This Row],[Cell_ID]],'[1]Registre_Maintenance_combine '!A:F,6,FALSE),"Non trouvé")</f>
        <v>Nokia</v>
      </c>
    </row>
    <row r="1601" spans="1:10" x14ac:dyDescent="0.25">
      <c r="A1601" t="str">
        <f>IFERROR(VLOOKUP(Logs_reseau[[#This Row],[Cell_ID]],'[1]Registre_Maintenance_combine '!A:B,2,FALSE),"Non trouvé")</f>
        <v>Non trouvé</v>
      </c>
      <c r="B1601" t="s">
        <v>624</v>
      </c>
      <c r="C1601" s="3">
        <v>45224.164583333331</v>
      </c>
      <c r="D1601" s="11">
        <f>Logs_reseau[[#This Row],[Duree_Panne_Min]]/1440</f>
        <v>3.9583333333333331E-2</v>
      </c>
      <c r="E1601">
        <v>57</v>
      </c>
      <c r="F1601" t="s">
        <v>2</v>
      </c>
      <c r="G1601" t="str">
        <f>IFERROR(VLOOKUP(Logs_reseau[[#This Row],[Cell_ID]],'[1]Registre_Maintenance_combine '!A:C,3,FALSE),"Non trouvé")</f>
        <v>Non trouvé</v>
      </c>
      <c r="H1601" t="str">
        <f>IFERROR(VLOOKUP(Logs_reseau[[#This Row],[Cell_ID]],'[1]Registre_Maintenance_combine '!A:D,4,FALSE),"Non trouvé")</f>
        <v>Non trouvé</v>
      </c>
      <c r="I1601" t="str">
        <f>IFERROR(VLOOKUP(Logs_reseau[[#This Row],[Cell_ID]],'[1]Registre_Maintenance_combine '!A:E,5,FALSE),"Non trouvé")</f>
        <v>Non trouvé</v>
      </c>
      <c r="J1601" t="str">
        <f>IFERROR(VLOOKUP(Logs_reseau[[#This Row],[Cell_ID]],'[1]Registre_Maintenance_combine '!A:F,6,FALSE),"Non trouvé")</f>
        <v>Non trouvé</v>
      </c>
    </row>
    <row r="1602" spans="1:10" x14ac:dyDescent="0.25">
      <c r="A1602" t="str">
        <f>IFERROR(VLOOKUP(Logs_reseau[[#This Row],[Cell_ID]],'[1]Registre_Maintenance_combine '!A:B,2,FALSE),"Non trouvé")</f>
        <v>Non trouvé</v>
      </c>
      <c r="B1602" t="s">
        <v>382</v>
      </c>
      <c r="C1602" s="3">
        <v>45218.906944444447</v>
      </c>
      <c r="D1602" s="11">
        <f>Logs_reseau[[#This Row],[Duree_Panne_Min]]/1440</f>
        <v>5.5555555555555558E-3</v>
      </c>
      <c r="E1602">
        <v>8</v>
      </c>
      <c r="F1602" t="s">
        <v>4</v>
      </c>
      <c r="G1602" t="str">
        <f>IFERROR(VLOOKUP(Logs_reseau[[#This Row],[Cell_ID]],'[1]Registre_Maintenance_combine '!A:C,3,FALSE),"Non trouvé")</f>
        <v>Non trouvé</v>
      </c>
      <c r="H1602" t="str">
        <f>IFERROR(VLOOKUP(Logs_reseau[[#This Row],[Cell_ID]],'[1]Registre_Maintenance_combine '!A:D,4,FALSE),"Non trouvé")</f>
        <v>Non trouvé</v>
      </c>
      <c r="I1602" t="str">
        <f>IFERROR(VLOOKUP(Logs_reseau[[#This Row],[Cell_ID]],'[1]Registre_Maintenance_combine '!A:E,5,FALSE),"Non trouvé")</f>
        <v>Non trouvé</v>
      </c>
      <c r="J1602" t="str">
        <f>IFERROR(VLOOKUP(Logs_reseau[[#This Row],[Cell_ID]],'[1]Registre_Maintenance_combine '!A:F,6,FALSE),"Non trouvé")</f>
        <v>Non trouvé</v>
      </c>
    </row>
    <row r="1603" spans="1:10" x14ac:dyDescent="0.25">
      <c r="A1603" t="str">
        <f>IFERROR(VLOOKUP(Logs_reseau[[#This Row],[Cell_ID]],'[1]Registre_Maintenance_combine '!A:B,2,FALSE),"Non trouvé")</f>
        <v>Non trouvé</v>
      </c>
      <c r="B1603" t="s">
        <v>88</v>
      </c>
      <c r="C1603" s="3">
        <v>45203.324305555558</v>
      </c>
      <c r="D1603" s="11">
        <f>Logs_reseau[[#This Row],[Duree_Panne_Min]]/1440</f>
        <v>2.361111111111111E-2</v>
      </c>
      <c r="E1603">
        <v>34</v>
      </c>
      <c r="F1603" t="s">
        <v>1</v>
      </c>
      <c r="G1603" t="str">
        <f>IFERROR(VLOOKUP(Logs_reseau[[#This Row],[Cell_ID]],'[1]Registre_Maintenance_combine '!A:C,3,FALSE),"Non trouvé")</f>
        <v>Non trouvé</v>
      </c>
      <c r="H1603" t="str">
        <f>IFERROR(VLOOKUP(Logs_reseau[[#This Row],[Cell_ID]],'[1]Registre_Maintenance_combine '!A:D,4,FALSE),"Non trouvé")</f>
        <v>Non trouvé</v>
      </c>
      <c r="I1603" t="str">
        <f>IFERROR(VLOOKUP(Logs_reseau[[#This Row],[Cell_ID]],'[1]Registre_Maintenance_combine '!A:E,5,FALSE),"Non trouvé")</f>
        <v>Non trouvé</v>
      </c>
      <c r="J1603" t="str">
        <f>IFERROR(VLOOKUP(Logs_reseau[[#This Row],[Cell_ID]],'[1]Registre_Maintenance_combine '!A:F,6,FALSE),"Non trouvé")</f>
        <v>Non trouvé</v>
      </c>
    </row>
    <row r="1604" spans="1:10" x14ac:dyDescent="0.25">
      <c r="A1604" t="str">
        <f>IFERROR(VLOOKUP(Logs_reseau[[#This Row],[Cell_ID]],'[1]Registre_Maintenance_combine '!A:B,2,FALSE),"Non trouvé")</f>
        <v>Non trouvé</v>
      </c>
      <c r="B1604" t="s">
        <v>625</v>
      </c>
      <c r="C1604" s="3">
        <v>45216.001388888886</v>
      </c>
      <c r="D1604" s="11">
        <f>Logs_reseau[[#This Row],[Duree_Panne_Min]]/1440</f>
        <v>5.1388888888888887E-2</v>
      </c>
      <c r="E1604">
        <v>74</v>
      </c>
      <c r="F1604" t="s">
        <v>4</v>
      </c>
      <c r="G1604" t="str">
        <f>IFERROR(VLOOKUP(Logs_reseau[[#This Row],[Cell_ID]],'[1]Registre_Maintenance_combine '!A:C,3,FALSE),"Non trouvé")</f>
        <v>Non trouvé</v>
      </c>
      <c r="H1604" t="str">
        <f>IFERROR(VLOOKUP(Logs_reseau[[#This Row],[Cell_ID]],'[1]Registre_Maintenance_combine '!A:D,4,FALSE),"Non trouvé")</f>
        <v>Non trouvé</v>
      </c>
      <c r="I1604" t="str">
        <f>IFERROR(VLOOKUP(Logs_reseau[[#This Row],[Cell_ID]],'[1]Registre_Maintenance_combine '!A:E,5,FALSE),"Non trouvé")</f>
        <v>Non trouvé</v>
      </c>
      <c r="J1604" t="str">
        <f>IFERROR(VLOOKUP(Logs_reseau[[#This Row],[Cell_ID]],'[1]Registre_Maintenance_combine '!A:F,6,FALSE),"Non trouvé")</f>
        <v>Non trouvé</v>
      </c>
    </row>
    <row r="1605" spans="1:10" x14ac:dyDescent="0.25">
      <c r="A1605" t="str">
        <f>IFERROR(VLOOKUP(Logs_reseau[[#This Row],[Cell_ID]],'[1]Registre_Maintenance_combine '!A:B,2,FALSE),"Non trouvé")</f>
        <v>Non trouvé</v>
      </c>
      <c r="B1605" t="s">
        <v>99</v>
      </c>
      <c r="C1605" s="3">
        <v>45227.010416666664</v>
      </c>
      <c r="D1605" s="11">
        <f>Logs_reseau[[#This Row],[Duree_Panne_Min]]/1440</f>
        <v>3.4027777777777775E-2</v>
      </c>
      <c r="E1605">
        <v>49</v>
      </c>
      <c r="F1605" t="s">
        <v>4</v>
      </c>
      <c r="G1605" t="str">
        <f>IFERROR(VLOOKUP(Logs_reseau[[#This Row],[Cell_ID]],'[1]Registre_Maintenance_combine '!A:C,3,FALSE),"Non trouvé")</f>
        <v>Non trouvé</v>
      </c>
      <c r="H1605" t="str">
        <f>IFERROR(VLOOKUP(Logs_reseau[[#This Row],[Cell_ID]],'[1]Registre_Maintenance_combine '!A:D,4,FALSE),"Non trouvé")</f>
        <v>Non trouvé</v>
      </c>
      <c r="I1605" t="str">
        <f>IFERROR(VLOOKUP(Logs_reseau[[#This Row],[Cell_ID]],'[1]Registre_Maintenance_combine '!A:E,5,FALSE),"Non trouvé")</f>
        <v>Non trouvé</v>
      </c>
      <c r="J1605" t="str">
        <f>IFERROR(VLOOKUP(Logs_reseau[[#This Row],[Cell_ID]],'[1]Registre_Maintenance_combine '!A:F,6,FALSE),"Non trouvé")</f>
        <v>Non trouvé</v>
      </c>
    </row>
    <row r="1606" spans="1:10" x14ac:dyDescent="0.25">
      <c r="A1606" t="str">
        <f>IFERROR(VLOOKUP(Logs_reseau[[#This Row],[Cell_ID]],'[1]Registre_Maintenance_combine '!A:B,2,FALSE),"Non trouvé")</f>
        <v>Non trouvé</v>
      </c>
      <c r="B1606" t="s">
        <v>239</v>
      </c>
      <c r="C1606" s="3">
        <v>45201.640972222223</v>
      </c>
      <c r="D1606" s="11">
        <f>Logs_reseau[[#This Row],[Duree_Panne_Min]]/1440</f>
        <v>5.9722222222222225E-2</v>
      </c>
      <c r="E1606">
        <v>86</v>
      </c>
      <c r="F1606" t="s">
        <v>4</v>
      </c>
      <c r="G1606" t="str">
        <f>IFERROR(VLOOKUP(Logs_reseau[[#This Row],[Cell_ID]],'[1]Registre_Maintenance_combine '!A:C,3,FALSE),"Non trouvé")</f>
        <v>Non trouvé</v>
      </c>
      <c r="H1606" t="str">
        <f>IFERROR(VLOOKUP(Logs_reseau[[#This Row],[Cell_ID]],'[1]Registre_Maintenance_combine '!A:D,4,FALSE),"Non trouvé")</f>
        <v>Non trouvé</v>
      </c>
      <c r="I1606" t="str">
        <f>IFERROR(VLOOKUP(Logs_reseau[[#This Row],[Cell_ID]],'[1]Registre_Maintenance_combine '!A:E,5,FALSE),"Non trouvé")</f>
        <v>Non trouvé</v>
      </c>
      <c r="J1606" t="str">
        <f>IFERROR(VLOOKUP(Logs_reseau[[#This Row],[Cell_ID]],'[1]Registre_Maintenance_combine '!A:F,6,FALSE),"Non trouvé")</f>
        <v>Non trouvé</v>
      </c>
    </row>
    <row r="1607" spans="1:10" x14ac:dyDescent="0.25">
      <c r="A1607" t="str">
        <f>IFERROR(VLOOKUP(Logs_reseau[[#This Row],[Cell_ID]],'[1]Registre_Maintenance_combine '!A:B,2,FALSE),"Non trouvé")</f>
        <v>Non trouvé</v>
      </c>
      <c r="B1607" t="s">
        <v>138</v>
      </c>
      <c r="C1607" s="3">
        <v>45212.174305555556</v>
      </c>
      <c r="D1607" s="11">
        <f>Logs_reseau[[#This Row],[Duree_Panne_Min]]/1440</f>
        <v>7.7777777777777779E-2</v>
      </c>
      <c r="E1607">
        <v>112</v>
      </c>
      <c r="F1607" t="s">
        <v>4</v>
      </c>
      <c r="G1607" t="str">
        <f>IFERROR(VLOOKUP(Logs_reseau[[#This Row],[Cell_ID]],'[1]Registre_Maintenance_combine '!A:C,3,FALSE),"Non trouvé")</f>
        <v>Non trouvé</v>
      </c>
      <c r="H1607" t="str">
        <f>IFERROR(VLOOKUP(Logs_reseau[[#This Row],[Cell_ID]],'[1]Registre_Maintenance_combine '!A:D,4,FALSE),"Non trouvé")</f>
        <v>Non trouvé</v>
      </c>
      <c r="I1607" t="str">
        <f>IFERROR(VLOOKUP(Logs_reseau[[#This Row],[Cell_ID]],'[1]Registre_Maintenance_combine '!A:E,5,FALSE),"Non trouvé")</f>
        <v>Non trouvé</v>
      </c>
      <c r="J1607" t="str">
        <f>IFERROR(VLOOKUP(Logs_reseau[[#This Row],[Cell_ID]],'[1]Registre_Maintenance_combine '!A:F,6,FALSE),"Non trouvé")</f>
        <v>Non trouvé</v>
      </c>
    </row>
    <row r="1608" spans="1:10" x14ac:dyDescent="0.25">
      <c r="A1608" t="str">
        <f>IFERROR(VLOOKUP(Logs_reseau[[#This Row],[Cell_ID]],'[1]Registre_Maintenance_combine '!A:B,2,FALSE),"Non trouvé")</f>
        <v>Nord-Kivu</v>
      </c>
      <c r="B1608" t="s">
        <v>249</v>
      </c>
      <c r="C1608" s="3">
        <v>45229.065972222219</v>
      </c>
      <c r="D1608" s="11">
        <f>Logs_reseau[[#This Row],[Duree_Panne_Min]]/1440</f>
        <v>6.458333333333334E-2</v>
      </c>
      <c r="E1608">
        <v>93</v>
      </c>
      <c r="F1608" t="s">
        <v>1</v>
      </c>
      <c r="G1608">
        <f>IFERROR(VLOOKUP(Logs_reseau[[#This Row],[Cell_ID]],'[1]Registre_Maintenance_combine '!A:C,3,FALSE),"Non trouvé")</f>
        <v>0.82868600000000003</v>
      </c>
      <c r="H1608">
        <f>IFERROR(VLOOKUP(Logs_reseau[[#This Row],[Cell_ID]],'[1]Registre_Maintenance_combine '!A:D,4,FALSE),"Non trouvé")</f>
        <v>26.958843999999999</v>
      </c>
      <c r="I1608" t="str">
        <f>IFERROR(VLOOKUP(Logs_reseau[[#This Row],[Cell_ID]],'[1]Registre_Maintenance_combine '!A:E,5,FALSE),"Non trouvé")</f>
        <v>5G</v>
      </c>
      <c r="J1608" t="str">
        <f>IFERROR(VLOOKUP(Logs_reseau[[#This Row],[Cell_ID]],'[1]Registre_Maintenance_combine '!A:F,6,FALSE),"Non trouvé")</f>
        <v>ZTE</v>
      </c>
    </row>
    <row r="1609" spans="1:10" x14ac:dyDescent="0.25">
      <c r="A1609" t="str">
        <f>IFERROR(VLOOKUP(Logs_reseau[[#This Row],[Cell_ID]],'[1]Registre_Maintenance_combine '!A:B,2,FALSE),"Non trouvé")</f>
        <v>Non trouvé</v>
      </c>
      <c r="B1609" t="s">
        <v>626</v>
      </c>
      <c r="C1609" s="3">
        <v>45225.949305555558</v>
      </c>
      <c r="D1609" s="11">
        <f>Logs_reseau[[#This Row],[Duree_Panne_Min]]/1440</f>
        <v>8.1250000000000003E-2</v>
      </c>
      <c r="E1609">
        <v>117</v>
      </c>
      <c r="F1609" t="s">
        <v>1</v>
      </c>
      <c r="G1609" t="str">
        <f>IFERROR(VLOOKUP(Logs_reseau[[#This Row],[Cell_ID]],'[1]Registre_Maintenance_combine '!A:C,3,FALSE),"Non trouvé")</f>
        <v>Non trouvé</v>
      </c>
      <c r="H1609" t="str">
        <f>IFERROR(VLOOKUP(Logs_reseau[[#This Row],[Cell_ID]],'[1]Registre_Maintenance_combine '!A:D,4,FALSE),"Non trouvé")</f>
        <v>Non trouvé</v>
      </c>
      <c r="I1609" t="str">
        <f>IFERROR(VLOOKUP(Logs_reseau[[#This Row],[Cell_ID]],'[1]Registre_Maintenance_combine '!A:E,5,FALSE),"Non trouvé")</f>
        <v>Non trouvé</v>
      </c>
      <c r="J1609" t="str">
        <f>IFERROR(VLOOKUP(Logs_reseau[[#This Row],[Cell_ID]],'[1]Registre_Maintenance_combine '!A:F,6,FALSE),"Non trouvé")</f>
        <v>Non trouvé</v>
      </c>
    </row>
    <row r="1610" spans="1:10" x14ac:dyDescent="0.25">
      <c r="A1610" t="str">
        <f>IFERROR(VLOOKUP(Logs_reseau[[#This Row],[Cell_ID]],'[1]Registre_Maintenance_combine '!A:B,2,FALSE),"Non trouvé")</f>
        <v>Non trouvé</v>
      </c>
      <c r="B1610" t="s">
        <v>627</v>
      </c>
      <c r="C1610" s="3">
        <v>45220.551388888889</v>
      </c>
      <c r="D1610" s="11">
        <f>Logs_reseau[[#This Row],[Duree_Panne_Min]]/1440</f>
        <v>4.1666666666666666E-3</v>
      </c>
      <c r="E1610">
        <v>6</v>
      </c>
      <c r="F1610" t="s">
        <v>1</v>
      </c>
      <c r="G1610" t="str">
        <f>IFERROR(VLOOKUP(Logs_reseau[[#This Row],[Cell_ID]],'[1]Registre_Maintenance_combine '!A:C,3,FALSE),"Non trouvé")</f>
        <v>Non trouvé</v>
      </c>
      <c r="H1610" t="str">
        <f>IFERROR(VLOOKUP(Logs_reseau[[#This Row],[Cell_ID]],'[1]Registre_Maintenance_combine '!A:D,4,FALSE),"Non trouvé")</f>
        <v>Non trouvé</v>
      </c>
      <c r="I1610" t="str">
        <f>IFERROR(VLOOKUP(Logs_reseau[[#This Row],[Cell_ID]],'[1]Registre_Maintenance_combine '!A:E,5,FALSE),"Non trouvé")</f>
        <v>Non trouvé</v>
      </c>
      <c r="J1610" t="str">
        <f>IFERROR(VLOOKUP(Logs_reseau[[#This Row],[Cell_ID]],'[1]Registre_Maintenance_combine '!A:F,6,FALSE),"Non trouvé")</f>
        <v>Non trouvé</v>
      </c>
    </row>
    <row r="1611" spans="1:10" x14ac:dyDescent="0.25">
      <c r="A1611" t="str">
        <f>IFERROR(VLOOKUP(Logs_reseau[[#This Row],[Cell_ID]],'[1]Registre_Maintenance_combine '!A:B,2,FALSE),"Non trouvé")</f>
        <v>Non trouvé</v>
      </c>
      <c r="B1611" t="s">
        <v>78</v>
      </c>
      <c r="C1611" s="3">
        <v>45210.30972222222</v>
      </c>
      <c r="D1611" s="11">
        <f>Logs_reseau[[#This Row],[Duree_Panne_Min]]/1440</f>
        <v>3.2638888888888891E-2</v>
      </c>
      <c r="E1611">
        <v>47</v>
      </c>
      <c r="F1611" t="s">
        <v>2</v>
      </c>
      <c r="G1611" t="str">
        <f>IFERROR(VLOOKUP(Logs_reseau[[#This Row],[Cell_ID]],'[1]Registre_Maintenance_combine '!A:C,3,FALSE),"Non trouvé")</f>
        <v>Non trouvé</v>
      </c>
      <c r="H1611" t="str">
        <f>IFERROR(VLOOKUP(Logs_reseau[[#This Row],[Cell_ID]],'[1]Registre_Maintenance_combine '!A:D,4,FALSE),"Non trouvé")</f>
        <v>Non trouvé</v>
      </c>
      <c r="I1611" t="str">
        <f>IFERROR(VLOOKUP(Logs_reseau[[#This Row],[Cell_ID]],'[1]Registre_Maintenance_combine '!A:E,5,FALSE),"Non trouvé")</f>
        <v>Non trouvé</v>
      </c>
      <c r="J1611" t="str">
        <f>IFERROR(VLOOKUP(Logs_reseau[[#This Row],[Cell_ID]],'[1]Registre_Maintenance_combine '!A:F,6,FALSE),"Non trouvé")</f>
        <v>Non trouvé</v>
      </c>
    </row>
    <row r="1612" spans="1:10" x14ac:dyDescent="0.25">
      <c r="A1612" t="str">
        <f>IFERROR(VLOOKUP(Logs_reseau[[#This Row],[Cell_ID]],'[1]Registre_Maintenance_combine '!A:B,2,FALSE),"Non trouvé")</f>
        <v>Nord-Ubangi</v>
      </c>
      <c r="B1612" t="s">
        <v>564</v>
      </c>
      <c r="C1612" s="3">
        <v>45229.972222222219</v>
      </c>
      <c r="D1612" s="11">
        <f>Logs_reseau[[#This Row],[Duree_Panne_Min]]/1440</f>
        <v>3.472222222222222E-3</v>
      </c>
      <c r="E1612">
        <v>5</v>
      </c>
      <c r="F1612" t="s">
        <v>4</v>
      </c>
      <c r="G1612">
        <f>IFERROR(VLOOKUP(Logs_reseau[[#This Row],[Cell_ID]],'[1]Registre_Maintenance_combine '!A:C,3,FALSE),"Non trouvé")</f>
        <v>-8.4985189999999999</v>
      </c>
      <c r="H1612">
        <f>IFERROR(VLOOKUP(Logs_reseau[[#This Row],[Cell_ID]],'[1]Registre_Maintenance_combine '!A:D,4,FALSE),"Non trouvé")</f>
        <v>12.929456999999999</v>
      </c>
      <c r="I1612" t="str">
        <f>IFERROR(VLOOKUP(Logs_reseau[[#This Row],[Cell_ID]],'[1]Registre_Maintenance_combine '!A:E,5,FALSE),"Non trouvé")</f>
        <v>4G</v>
      </c>
      <c r="J1612" t="str">
        <f>IFERROR(VLOOKUP(Logs_reseau[[#This Row],[Cell_ID]],'[1]Registre_Maintenance_combine '!A:F,6,FALSE),"Non trouvé")</f>
        <v>Ericsson</v>
      </c>
    </row>
    <row r="1613" spans="1:10" x14ac:dyDescent="0.25">
      <c r="A1613" t="str">
        <f>IFERROR(VLOOKUP(Logs_reseau[[#This Row],[Cell_ID]],'[1]Registre_Maintenance_combine '!A:B,2,FALSE),"Non trouvé")</f>
        <v>Sud-Kivu</v>
      </c>
      <c r="B1613" t="s">
        <v>628</v>
      </c>
      <c r="C1613" s="3">
        <v>45208.10833333333</v>
      </c>
      <c r="D1613" s="11">
        <f>Logs_reseau[[#This Row],[Duree_Panne_Min]]/1440</f>
        <v>7.0833333333333331E-2</v>
      </c>
      <c r="E1613">
        <v>102</v>
      </c>
      <c r="F1613" t="s">
        <v>2</v>
      </c>
      <c r="G1613">
        <f>IFERROR(VLOOKUP(Logs_reseau[[#This Row],[Cell_ID]],'[1]Registre_Maintenance_combine '!A:C,3,FALSE),"Non trouvé")</f>
        <v>-1.4700059999999999</v>
      </c>
      <c r="H1613">
        <f>IFERROR(VLOOKUP(Logs_reseau[[#This Row],[Cell_ID]],'[1]Registre_Maintenance_combine '!A:D,4,FALSE),"Non trouvé")</f>
        <v>18.680958</v>
      </c>
      <c r="I1613" t="str">
        <f>IFERROR(VLOOKUP(Logs_reseau[[#This Row],[Cell_ID]],'[1]Registre_Maintenance_combine '!A:E,5,FALSE),"Non trouvé")</f>
        <v>3G</v>
      </c>
      <c r="J1613" t="str">
        <f>IFERROR(VLOOKUP(Logs_reseau[[#This Row],[Cell_ID]],'[1]Registre_Maintenance_combine '!A:F,6,FALSE),"Non trouvé")</f>
        <v>Huawei</v>
      </c>
    </row>
    <row r="1614" spans="1:10" x14ac:dyDescent="0.25">
      <c r="A1614" t="str">
        <f>IFERROR(VLOOKUP(Logs_reseau[[#This Row],[Cell_ID]],'[1]Registre_Maintenance_combine '!A:B,2,FALSE),"Non trouvé")</f>
        <v>Non trouvé</v>
      </c>
      <c r="B1614" t="s">
        <v>65</v>
      </c>
      <c r="C1614" s="3">
        <v>45211.147222222222</v>
      </c>
      <c r="D1614" s="11">
        <f>Logs_reseau[[#This Row],[Duree_Panne_Min]]/1440</f>
        <v>6.1805555555555558E-2</v>
      </c>
      <c r="E1614">
        <v>89</v>
      </c>
      <c r="F1614" t="s">
        <v>2</v>
      </c>
      <c r="G1614" t="str">
        <f>IFERROR(VLOOKUP(Logs_reseau[[#This Row],[Cell_ID]],'[1]Registre_Maintenance_combine '!A:C,3,FALSE),"Non trouvé")</f>
        <v>Non trouvé</v>
      </c>
      <c r="H1614" t="str">
        <f>IFERROR(VLOOKUP(Logs_reseau[[#This Row],[Cell_ID]],'[1]Registre_Maintenance_combine '!A:D,4,FALSE),"Non trouvé")</f>
        <v>Non trouvé</v>
      </c>
      <c r="I1614" t="str">
        <f>IFERROR(VLOOKUP(Logs_reseau[[#This Row],[Cell_ID]],'[1]Registre_Maintenance_combine '!A:E,5,FALSE),"Non trouvé")</f>
        <v>Non trouvé</v>
      </c>
      <c r="J1614" t="str">
        <f>IFERROR(VLOOKUP(Logs_reseau[[#This Row],[Cell_ID]],'[1]Registre_Maintenance_combine '!A:F,6,FALSE),"Non trouvé")</f>
        <v>Non trouvé</v>
      </c>
    </row>
    <row r="1615" spans="1:10" x14ac:dyDescent="0.25">
      <c r="A1615" t="str">
        <f>IFERROR(VLOOKUP(Logs_reseau[[#This Row],[Cell_ID]],'[1]Registre_Maintenance_combine '!A:B,2,FALSE),"Non trouvé")</f>
        <v>Lualaba</v>
      </c>
      <c r="B1615" t="s">
        <v>462</v>
      </c>
      <c r="C1615" s="3">
        <v>45221.049305555556</v>
      </c>
      <c r="D1615" s="11">
        <f>Logs_reseau[[#This Row],[Duree_Panne_Min]]/1440</f>
        <v>3.6805555555555557E-2</v>
      </c>
      <c r="E1615">
        <v>53</v>
      </c>
      <c r="F1615" t="s">
        <v>2</v>
      </c>
      <c r="G1615">
        <f>IFERROR(VLOOKUP(Logs_reseau[[#This Row],[Cell_ID]],'[1]Registre_Maintenance_combine '!A:C,3,FALSE),"Non trouvé")</f>
        <v>1.286548</v>
      </c>
      <c r="H1615">
        <f>IFERROR(VLOOKUP(Logs_reseau[[#This Row],[Cell_ID]],'[1]Registre_Maintenance_combine '!A:D,4,FALSE),"Non trouvé")</f>
        <v>29.823702999999998</v>
      </c>
      <c r="I1615" t="str">
        <f>IFERROR(VLOOKUP(Logs_reseau[[#This Row],[Cell_ID]],'[1]Registre_Maintenance_combine '!A:E,5,FALSE),"Non trouvé")</f>
        <v>4G</v>
      </c>
      <c r="J1615" t="str">
        <f>IFERROR(VLOOKUP(Logs_reseau[[#This Row],[Cell_ID]],'[1]Registre_Maintenance_combine '!A:F,6,FALSE),"Non trouvé")</f>
        <v>ZTE</v>
      </c>
    </row>
    <row r="1616" spans="1:10" x14ac:dyDescent="0.25">
      <c r="A1616" t="str">
        <f>IFERROR(VLOOKUP(Logs_reseau[[#This Row],[Cell_ID]],'[1]Registre_Maintenance_combine '!A:B,2,FALSE),"Non trouvé")</f>
        <v>Kongo-Central</v>
      </c>
      <c r="B1616" t="s">
        <v>629</v>
      </c>
      <c r="C1616" s="3">
        <v>45207.668055555558</v>
      </c>
      <c r="D1616" s="11">
        <f>Logs_reseau[[#This Row],[Duree_Panne_Min]]/1440</f>
        <v>7.8472222222222221E-2</v>
      </c>
      <c r="E1616">
        <v>113</v>
      </c>
      <c r="F1616" t="s">
        <v>1</v>
      </c>
      <c r="G1616">
        <f>IFERROR(VLOOKUP(Logs_reseau[[#This Row],[Cell_ID]],'[1]Registre_Maintenance_combine '!A:C,3,FALSE),"Non trouvé")</f>
        <v>-7.1587569999999996</v>
      </c>
      <c r="H1616">
        <f>IFERROR(VLOOKUP(Logs_reseau[[#This Row],[Cell_ID]],'[1]Registre_Maintenance_combine '!A:D,4,FALSE),"Non trouvé")</f>
        <v>18.975141000000001</v>
      </c>
      <c r="I1616" t="str">
        <f>IFERROR(VLOOKUP(Logs_reseau[[#This Row],[Cell_ID]],'[1]Registre_Maintenance_combine '!A:E,5,FALSE),"Non trouvé")</f>
        <v>5G</v>
      </c>
      <c r="J1616" t="str">
        <f>IFERROR(VLOOKUP(Logs_reseau[[#This Row],[Cell_ID]],'[1]Registre_Maintenance_combine '!A:F,6,FALSE),"Non trouvé")</f>
        <v>Ericsson</v>
      </c>
    </row>
    <row r="1617" spans="1:10" x14ac:dyDescent="0.25">
      <c r="A1617" t="str">
        <f>IFERROR(VLOOKUP(Logs_reseau[[#This Row],[Cell_ID]],'[1]Registre_Maintenance_combine '!A:B,2,FALSE),"Non trouvé")</f>
        <v>Equateur</v>
      </c>
      <c r="B1617" t="s">
        <v>505</v>
      </c>
      <c r="C1617" s="3">
        <v>45230.50277777778</v>
      </c>
      <c r="D1617" s="11">
        <f>Logs_reseau[[#This Row],[Duree_Panne_Min]]/1440</f>
        <v>6.8750000000000006E-2</v>
      </c>
      <c r="E1617">
        <v>99</v>
      </c>
      <c r="F1617" t="s">
        <v>1</v>
      </c>
      <c r="G1617">
        <f>IFERROR(VLOOKUP(Logs_reseau[[#This Row],[Cell_ID]],'[1]Registre_Maintenance_combine '!A:C,3,FALSE),"Non trouvé")</f>
        <v>-5.7200150000000001</v>
      </c>
      <c r="H1617">
        <f>IFERROR(VLOOKUP(Logs_reseau[[#This Row],[Cell_ID]],'[1]Registre_Maintenance_combine '!A:D,4,FALSE),"Non trouvé")</f>
        <v>25.022109</v>
      </c>
      <c r="I1617" t="str">
        <f>IFERROR(VLOOKUP(Logs_reseau[[#This Row],[Cell_ID]],'[1]Registre_Maintenance_combine '!A:E,5,FALSE),"Non trouvé")</f>
        <v>5G</v>
      </c>
      <c r="J1617" t="str">
        <f>IFERROR(VLOOKUP(Logs_reseau[[#This Row],[Cell_ID]],'[1]Registre_Maintenance_combine '!A:F,6,FALSE),"Non trouvé")</f>
        <v>ZTE</v>
      </c>
    </row>
    <row r="1618" spans="1:10" x14ac:dyDescent="0.25">
      <c r="A1618" t="str">
        <f>IFERROR(VLOOKUP(Logs_reseau[[#This Row],[Cell_ID]],'[1]Registre_Maintenance_combine '!A:B,2,FALSE),"Non trouvé")</f>
        <v>Kwango</v>
      </c>
      <c r="B1618" t="s">
        <v>135</v>
      </c>
      <c r="C1618" s="3">
        <v>45228.621527777781</v>
      </c>
      <c r="D1618" s="11">
        <f>Logs_reseau[[#This Row],[Duree_Panne_Min]]/1440</f>
        <v>6.805555555555555E-2</v>
      </c>
      <c r="E1618">
        <v>98</v>
      </c>
      <c r="F1618" t="s">
        <v>4</v>
      </c>
      <c r="G1618">
        <f>IFERROR(VLOOKUP(Logs_reseau[[#This Row],[Cell_ID]],'[1]Registre_Maintenance_combine '!A:C,3,FALSE),"Non trouvé")</f>
        <v>-10.963041</v>
      </c>
      <c r="H1618">
        <f>IFERROR(VLOOKUP(Logs_reseau[[#This Row],[Cell_ID]],'[1]Registre_Maintenance_combine '!A:D,4,FALSE),"Non trouvé")</f>
        <v>12.269857</v>
      </c>
      <c r="I1618" t="str">
        <f>IFERROR(VLOOKUP(Logs_reseau[[#This Row],[Cell_ID]],'[1]Registre_Maintenance_combine '!A:E,5,FALSE),"Non trouvé")</f>
        <v>4G</v>
      </c>
      <c r="J1618" t="str">
        <f>IFERROR(VLOOKUP(Logs_reseau[[#This Row],[Cell_ID]],'[1]Registre_Maintenance_combine '!A:F,6,FALSE),"Non trouvé")</f>
        <v>Huawei</v>
      </c>
    </row>
    <row r="1619" spans="1:10" x14ac:dyDescent="0.25">
      <c r="A1619" t="str">
        <f>IFERROR(VLOOKUP(Logs_reseau[[#This Row],[Cell_ID]],'[1]Registre_Maintenance_combine '!A:B,2,FALSE),"Non trouvé")</f>
        <v>Non trouvé</v>
      </c>
      <c r="B1619" t="s">
        <v>630</v>
      </c>
      <c r="C1619" s="3">
        <v>45209.388888888891</v>
      </c>
      <c r="D1619" s="11">
        <f>Logs_reseau[[#This Row],[Duree_Panne_Min]]/1440</f>
        <v>3.0555555555555555E-2</v>
      </c>
      <c r="E1619">
        <v>44</v>
      </c>
      <c r="F1619" t="s">
        <v>1</v>
      </c>
      <c r="G1619" t="str">
        <f>IFERROR(VLOOKUP(Logs_reseau[[#This Row],[Cell_ID]],'[1]Registre_Maintenance_combine '!A:C,3,FALSE),"Non trouvé")</f>
        <v>Non trouvé</v>
      </c>
      <c r="H1619" t="str">
        <f>IFERROR(VLOOKUP(Logs_reseau[[#This Row],[Cell_ID]],'[1]Registre_Maintenance_combine '!A:D,4,FALSE),"Non trouvé")</f>
        <v>Non trouvé</v>
      </c>
      <c r="I1619" t="str">
        <f>IFERROR(VLOOKUP(Logs_reseau[[#This Row],[Cell_ID]],'[1]Registre_Maintenance_combine '!A:E,5,FALSE),"Non trouvé")</f>
        <v>Non trouvé</v>
      </c>
      <c r="J1619" t="str">
        <f>IFERROR(VLOOKUP(Logs_reseau[[#This Row],[Cell_ID]],'[1]Registre_Maintenance_combine '!A:F,6,FALSE),"Non trouvé")</f>
        <v>Non trouvé</v>
      </c>
    </row>
    <row r="1620" spans="1:10" x14ac:dyDescent="0.25">
      <c r="A1620" t="str">
        <f>IFERROR(VLOOKUP(Logs_reseau[[#This Row],[Cell_ID]],'[1]Registre_Maintenance_combine '!A:B,2,FALSE),"Non trouvé")</f>
        <v>Non trouvé</v>
      </c>
      <c r="B1620" t="s">
        <v>571</v>
      </c>
      <c r="C1620" s="3">
        <v>45202.728472222225</v>
      </c>
      <c r="D1620" s="11">
        <f>Logs_reseau[[#This Row],[Duree_Panne_Min]]/1440</f>
        <v>1.2500000000000001E-2</v>
      </c>
      <c r="E1620">
        <v>18</v>
      </c>
      <c r="F1620" t="s">
        <v>1</v>
      </c>
      <c r="G1620" t="str">
        <f>IFERROR(VLOOKUP(Logs_reseau[[#This Row],[Cell_ID]],'[1]Registre_Maintenance_combine '!A:C,3,FALSE),"Non trouvé")</f>
        <v>Non trouvé</v>
      </c>
      <c r="H1620" t="str">
        <f>IFERROR(VLOOKUP(Logs_reseau[[#This Row],[Cell_ID]],'[1]Registre_Maintenance_combine '!A:D,4,FALSE),"Non trouvé")</f>
        <v>Non trouvé</v>
      </c>
      <c r="I1620" t="str">
        <f>IFERROR(VLOOKUP(Logs_reseau[[#This Row],[Cell_ID]],'[1]Registre_Maintenance_combine '!A:E,5,FALSE),"Non trouvé")</f>
        <v>Non trouvé</v>
      </c>
      <c r="J1620" t="str">
        <f>IFERROR(VLOOKUP(Logs_reseau[[#This Row],[Cell_ID]],'[1]Registre_Maintenance_combine '!A:F,6,FALSE),"Non trouvé")</f>
        <v>Non trouvé</v>
      </c>
    </row>
    <row r="1621" spans="1:10" x14ac:dyDescent="0.25">
      <c r="A1621" t="str">
        <f>IFERROR(VLOOKUP(Logs_reseau[[#This Row],[Cell_ID]],'[1]Registre_Maintenance_combine '!A:B,2,FALSE),"Non trouvé")</f>
        <v>Lomami</v>
      </c>
      <c r="B1621" t="s">
        <v>631</v>
      </c>
      <c r="C1621" s="3">
        <v>45200.466666666667</v>
      </c>
      <c r="D1621" s="11">
        <f>Logs_reseau[[#This Row],[Duree_Panne_Min]]/1440</f>
        <v>2.1527777777777778E-2</v>
      </c>
      <c r="E1621">
        <v>31</v>
      </c>
      <c r="F1621" t="s">
        <v>2</v>
      </c>
      <c r="G1621">
        <f>IFERROR(VLOOKUP(Logs_reseau[[#This Row],[Cell_ID]],'[1]Registre_Maintenance_combine '!A:C,3,FALSE),"Non trouvé")</f>
        <v>-9.5619429999999994</v>
      </c>
      <c r="H1621">
        <f>IFERROR(VLOOKUP(Logs_reseau[[#This Row],[Cell_ID]],'[1]Registre_Maintenance_combine '!A:D,4,FALSE),"Non trouvé")</f>
        <v>21.445726000000001</v>
      </c>
      <c r="I1621" t="str">
        <f>IFERROR(VLOOKUP(Logs_reseau[[#This Row],[Cell_ID]],'[1]Registre_Maintenance_combine '!A:E,5,FALSE),"Non trouvé")</f>
        <v>4G</v>
      </c>
      <c r="J1621" t="str">
        <f>IFERROR(VLOOKUP(Logs_reseau[[#This Row],[Cell_ID]],'[1]Registre_Maintenance_combine '!A:F,6,FALSE),"Non trouvé")</f>
        <v>Nokia</v>
      </c>
    </row>
    <row r="1622" spans="1:10" x14ac:dyDescent="0.25">
      <c r="A1622" t="str">
        <f>IFERROR(VLOOKUP(Logs_reseau[[#This Row],[Cell_ID]],'[1]Registre_Maintenance_combine '!A:B,2,FALSE),"Non trouvé")</f>
        <v>Nord-Ubangi</v>
      </c>
      <c r="B1622" t="s">
        <v>564</v>
      </c>
      <c r="C1622" s="3">
        <v>45226.209027777775</v>
      </c>
      <c r="D1622" s="11">
        <f>Logs_reseau[[#This Row],[Duree_Panne_Min]]/1440</f>
        <v>5.6250000000000001E-2</v>
      </c>
      <c r="E1622">
        <v>81</v>
      </c>
      <c r="F1622" t="s">
        <v>4</v>
      </c>
      <c r="G1622">
        <f>IFERROR(VLOOKUP(Logs_reseau[[#This Row],[Cell_ID]],'[1]Registre_Maintenance_combine '!A:C,3,FALSE),"Non trouvé")</f>
        <v>-8.4985189999999999</v>
      </c>
      <c r="H1622">
        <f>IFERROR(VLOOKUP(Logs_reseau[[#This Row],[Cell_ID]],'[1]Registre_Maintenance_combine '!A:D,4,FALSE),"Non trouvé")</f>
        <v>12.929456999999999</v>
      </c>
      <c r="I1622" t="str">
        <f>IFERROR(VLOOKUP(Logs_reseau[[#This Row],[Cell_ID]],'[1]Registre_Maintenance_combine '!A:E,5,FALSE),"Non trouvé")</f>
        <v>4G</v>
      </c>
      <c r="J1622" t="str">
        <f>IFERROR(VLOOKUP(Logs_reseau[[#This Row],[Cell_ID]],'[1]Registre_Maintenance_combine '!A:F,6,FALSE),"Non trouvé")</f>
        <v>Ericsson</v>
      </c>
    </row>
    <row r="1623" spans="1:10" x14ac:dyDescent="0.25">
      <c r="A1623" t="str">
        <f>IFERROR(VLOOKUP(Logs_reseau[[#This Row],[Cell_ID]],'[1]Registre_Maintenance_combine '!A:B,2,FALSE),"Non trouvé")</f>
        <v>Non trouvé</v>
      </c>
      <c r="B1623" t="s">
        <v>632</v>
      </c>
      <c r="C1623" s="3">
        <v>45230.537499999999</v>
      </c>
      <c r="D1623" s="11">
        <f>Logs_reseau[[#This Row],[Duree_Panne_Min]]/1440</f>
        <v>2.2916666666666665E-2</v>
      </c>
      <c r="E1623">
        <v>33</v>
      </c>
      <c r="F1623" t="s">
        <v>2</v>
      </c>
      <c r="G1623" t="str">
        <f>IFERROR(VLOOKUP(Logs_reseau[[#This Row],[Cell_ID]],'[1]Registre_Maintenance_combine '!A:C,3,FALSE),"Non trouvé")</f>
        <v>Non trouvé</v>
      </c>
      <c r="H1623" t="str">
        <f>IFERROR(VLOOKUP(Logs_reseau[[#This Row],[Cell_ID]],'[1]Registre_Maintenance_combine '!A:D,4,FALSE),"Non trouvé")</f>
        <v>Non trouvé</v>
      </c>
      <c r="I1623" t="str">
        <f>IFERROR(VLOOKUP(Logs_reseau[[#This Row],[Cell_ID]],'[1]Registre_Maintenance_combine '!A:E,5,FALSE),"Non trouvé")</f>
        <v>Non trouvé</v>
      </c>
      <c r="J1623" t="str">
        <f>IFERROR(VLOOKUP(Logs_reseau[[#This Row],[Cell_ID]],'[1]Registre_Maintenance_combine '!A:F,6,FALSE),"Non trouvé")</f>
        <v>Non trouvé</v>
      </c>
    </row>
    <row r="1624" spans="1:10" x14ac:dyDescent="0.25">
      <c r="A1624" t="str">
        <f>IFERROR(VLOOKUP(Logs_reseau[[#This Row],[Cell_ID]],'[1]Registre_Maintenance_combine '!A:B,2,FALSE),"Non trouvé")</f>
        <v>Nord-Kivu</v>
      </c>
      <c r="B1624" t="s">
        <v>396</v>
      </c>
      <c r="C1624" s="3">
        <v>45214.740972222222</v>
      </c>
      <c r="D1624" s="11">
        <f>Logs_reseau[[#This Row],[Duree_Panne_Min]]/1440</f>
        <v>5.5555555555555558E-3</v>
      </c>
      <c r="E1624">
        <v>8</v>
      </c>
      <c r="F1624" t="s">
        <v>1</v>
      </c>
      <c r="G1624">
        <f>IFERROR(VLOOKUP(Logs_reseau[[#This Row],[Cell_ID]],'[1]Registre_Maintenance_combine '!A:C,3,FALSE),"Non trouvé")</f>
        <v>-10.846306999999999</v>
      </c>
      <c r="H1624">
        <f>IFERROR(VLOOKUP(Logs_reseau[[#This Row],[Cell_ID]],'[1]Registre_Maintenance_combine '!A:D,4,FALSE),"Non trouvé")</f>
        <v>19.201827999999999</v>
      </c>
      <c r="I1624" t="str">
        <f>IFERROR(VLOOKUP(Logs_reseau[[#This Row],[Cell_ID]],'[1]Registre_Maintenance_combine '!A:E,5,FALSE),"Non trouvé")</f>
        <v>4G</v>
      </c>
      <c r="J1624" t="str">
        <f>IFERROR(VLOOKUP(Logs_reseau[[#This Row],[Cell_ID]],'[1]Registre_Maintenance_combine '!A:F,6,FALSE),"Non trouvé")</f>
        <v>Ericsson</v>
      </c>
    </row>
    <row r="1625" spans="1:10" x14ac:dyDescent="0.25">
      <c r="A1625" t="str">
        <f>IFERROR(VLOOKUP(Logs_reseau[[#This Row],[Cell_ID]],'[1]Registre_Maintenance_combine '!A:B,2,FALSE),"Non trouvé")</f>
        <v>Non trouvé</v>
      </c>
      <c r="B1625" t="s">
        <v>633</v>
      </c>
      <c r="C1625" s="3">
        <v>45217.29583333333</v>
      </c>
      <c r="D1625" s="11">
        <f>Logs_reseau[[#This Row],[Duree_Panne_Min]]/1440</f>
        <v>8.2638888888888887E-2</v>
      </c>
      <c r="E1625">
        <v>119</v>
      </c>
      <c r="F1625" t="s">
        <v>1</v>
      </c>
      <c r="G1625" t="str">
        <f>IFERROR(VLOOKUP(Logs_reseau[[#This Row],[Cell_ID]],'[1]Registre_Maintenance_combine '!A:C,3,FALSE),"Non trouvé")</f>
        <v>Non trouvé</v>
      </c>
      <c r="H1625" t="str">
        <f>IFERROR(VLOOKUP(Logs_reseau[[#This Row],[Cell_ID]],'[1]Registre_Maintenance_combine '!A:D,4,FALSE),"Non trouvé")</f>
        <v>Non trouvé</v>
      </c>
      <c r="I1625" t="str">
        <f>IFERROR(VLOOKUP(Logs_reseau[[#This Row],[Cell_ID]],'[1]Registre_Maintenance_combine '!A:E,5,FALSE),"Non trouvé")</f>
        <v>Non trouvé</v>
      </c>
      <c r="J1625" t="str">
        <f>IFERROR(VLOOKUP(Logs_reseau[[#This Row],[Cell_ID]],'[1]Registre_Maintenance_combine '!A:F,6,FALSE),"Non trouvé")</f>
        <v>Non trouvé</v>
      </c>
    </row>
    <row r="1626" spans="1:10" x14ac:dyDescent="0.25">
      <c r="A1626" t="str">
        <f>IFERROR(VLOOKUP(Logs_reseau[[#This Row],[Cell_ID]],'[1]Registre_Maintenance_combine '!A:B,2,FALSE),"Non trouvé")</f>
        <v>Mongala</v>
      </c>
      <c r="B1626" t="s">
        <v>542</v>
      </c>
      <c r="C1626" s="3">
        <v>45214.160416666666</v>
      </c>
      <c r="D1626" s="11">
        <f>Logs_reseau[[#This Row],[Duree_Panne_Min]]/1440</f>
        <v>7.4999999999999997E-2</v>
      </c>
      <c r="E1626">
        <v>108</v>
      </c>
      <c r="F1626" t="s">
        <v>4</v>
      </c>
      <c r="G1626">
        <f>IFERROR(VLOOKUP(Logs_reseau[[#This Row],[Cell_ID]],'[1]Registre_Maintenance_combine '!A:C,3,FALSE),"Non trouvé")</f>
        <v>-11.407966</v>
      </c>
      <c r="H1626">
        <f>IFERROR(VLOOKUP(Logs_reseau[[#This Row],[Cell_ID]],'[1]Registre_Maintenance_combine '!A:D,4,FALSE),"Non trouvé")</f>
        <v>28.378274000000001</v>
      </c>
      <c r="I1626" t="str">
        <f>IFERROR(VLOOKUP(Logs_reseau[[#This Row],[Cell_ID]],'[1]Registre_Maintenance_combine '!A:E,5,FALSE),"Non trouvé")</f>
        <v>4G</v>
      </c>
      <c r="J1626" t="str">
        <f>IFERROR(VLOOKUP(Logs_reseau[[#This Row],[Cell_ID]],'[1]Registre_Maintenance_combine '!A:F,6,FALSE),"Non trouvé")</f>
        <v>ZTE</v>
      </c>
    </row>
    <row r="1627" spans="1:10" x14ac:dyDescent="0.25">
      <c r="A1627" t="str">
        <f>IFERROR(VLOOKUP(Logs_reseau[[#This Row],[Cell_ID]],'[1]Registre_Maintenance_combine '!A:B,2,FALSE),"Non trouvé")</f>
        <v>Kongo-Central</v>
      </c>
      <c r="B1627" t="s">
        <v>634</v>
      </c>
      <c r="C1627" s="3">
        <v>45225.171527777777</v>
      </c>
      <c r="D1627" s="11">
        <f>Logs_reseau[[#This Row],[Duree_Panne_Min]]/1440</f>
        <v>7.2222222222222215E-2</v>
      </c>
      <c r="E1627">
        <v>104</v>
      </c>
      <c r="F1627" t="s">
        <v>2</v>
      </c>
      <c r="G1627">
        <f>IFERROR(VLOOKUP(Logs_reseau[[#This Row],[Cell_ID]],'[1]Registre_Maintenance_combine '!A:C,3,FALSE),"Non trouvé")</f>
        <v>1.2463919999999999</v>
      </c>
      <c r="H1627">
        <f>IFERROR(VLOOKUP(Logs_reseau[[#This Row],[Cell_ID]],'[1]Registre_Maintenance_combine '!A:D,4,FALSE),"Non trouvé")</f>
        <v>13.266916999999999</v>
      </c>
      <c r="I1627" t="str">
        <f>IFERROR(VLOOKUP(Logs_reseau[[#This Row],[Cell_ID]],'[1]Registre_Maintenance_combine '!A:E,5,FALSE),"Non trouvé")</f>
        <v>5G</v>
      </c>
      <c r="J1627" t="str">
        <f>IFERROR(VLOOKUP(Logs_reseau[[#This Row],[Cell_ID]],'[1]Registre_Maintenance_combine '!A:F,6,FALSE),"Non trouvé")</f>
        <v>Huawei</v>
      </c>
    </row>
    <row r="1628" spans="1:10" x14ac:dyDescent="0.25">
      <c r="A1628" t="str">
        <f>IFERROR(VLOOKUP(Logs_reseau[[#This Row],[Cell_ID]],'[1]Registre_Maintenance_combine '!A:B,2,FALSE),"Non trouvé")</f>
        <v>Kasai</v>
      </c>
      <c r="B1628" t="s">
        <v>390</v>
      </c>
      <c r="C1628" s="3">
        <v>45200.078472222223</v>
      </c>
      <c r="D1628" s="11">
        <f>Logs_reseau[[#This Row],[Duree_Panne_Min]]/1440</f>
        <v>2.7777777777777776E-2</v>
      </c>
      <c r="E1628">
        <v>40</v>
      </c>
      <c r="F1628" t="s">
        <v>1</v>
      </c>
      <c r="G1628">
        <f>IFERROR(VLOOKUP(Logs_reseau[[#This Row],[Cell_ID]],'[1]Registre_Maintenance_combine '!A:C,3,FALSE),"Non trouvé")</f>
        <v>-10.165072</v>
      </c>
      <c r="H1628">
        <f>IFERROR(VLOOKUP(Logs_reseau[[#This Row],[Cell_ID]],'[1]Registre_Maintenance_combine '!A:D,4,FALSE),"Non trouvé")</f>
        <v>29.428024000000001</v>
      </c>
      <c r="I1628" t="str">
        <f>IFERROR(VLOOKUP(Logs_reseau[[#This Row],[Cell_ID]],'[1]Registre_Maintenance_combine '!A:E,5,FALSE),"Non trouvé")</f>
        <v>5G</v>
      </c>
      <c r="J1628" t="str">
        <f>IFERROR(VLOOKUP(Logs_reseau[[#This Row],[Cell_ID]],'[1]Registre_Maintenance_combine '!A:F,6,FALSE),"Non trouvé")</f>
        <v>Huawei</v>
      </c>
    </row>
    <row r="1629" spans="1:10" x14ac:dyDescent="0.25">
      <c r="A1629" t="str">
        <f>IFERROR(VLOOKUP(Logs_reseau[[#This Row],[Cell_ID]],'[1]Registre_Maintenance_combine '!A:B,2,FALSE),"Non trouvé")</f>
        <v>Non trouvé</v>
      </c>
      <c r="B1629" t="s">
        <v>635</v>
      </c>
      <c r="C1629" s="3">
        <v>45224.297222222223</v>
      </c>
      <c r="D1629" s="11">
        <f>Logs_reseau[[#This Row],[Duree_Panne_Min]]/1440</f>
        <v>8.3333333333333332E-3</v>
      </c>
      <c r="E1629">
        <v>12</v>
      </c>
      <c r="F1629" t="s">
        <v>4</v>
      </c>
      <c r="G1629" t="str">
        <f>IFERROR(VLOOKUP(Logs_reseau[[#This Row],[Cell_ID]],'[1]Registre_Maintenance_combine '!A:C,3,FALSE),"Non trouvé")</f>
        <v>Non trouvé</v>
      </c>
      <c r="H1629" t="str">
        <f>IFERROR(VLOOKUP(Logs_reseau[[#This Row],[Cell_ID]],'[1]Registre_Maintenance_combine '!A:D,4,FALSE),"Non trouvé")</f>
        <v>Non trouvé</v>
      </c>
      <c r="I1629" t="str">
        <f>IFERROR(VLOOKUP(Logs_reseau[[#This Row],[Cell_ID]],'[1]Registre_Maintenance_combine '!A:E,5,FALSE),"Non trouvé")</f>
        <v>Non trouvé</v>
      </c>
      <c r="J1629" t="str">
        <f>IFERROR(VLOOKUP(Logs_reseau[[#This Row],[Cell_ID]],'[1]Registre_Maintenance_combine '!A:F,6,FALSE),"Non trouvé")</f>
        <v>Non trouvé</v>
      </c>
    </row>
    <row r="1630" spans="1:10" x14ac:dyDescent="0.25">
      <c r="A1630" t="str">
        <f>IFERROR(VLOOKUP(Logs_reseau[[#This Row],[Cell_ID]],'[1]Registre_Maintenance_combine '!A:B,2,FALSE),"Non trouvé")</f>
        <v>Kinshasa</v>
      </c>
      <c r="B1630" t="s">
        <v>31</v>
      </c>
      <c r="C1630" s="3">
        <v>45206.515972222223</v>
      </c>
      <c r="D1630" s="11">
        <f>Logs_reseau[[#This Row],[Duree_Panne_Min]]/1440</f>
        <v>7.4999999999999997E-2</v>
      </c>
      <c r="E1630">
        <v>108</v>
      </c>
      <c r="F1630" t="s">
        <v>1</v>
      </c>
      <c r="G1630">
        <f>IFERROR(VLOOKUP(Logs_reseau[[#This Row],[Cell_ID]],'[1]Registre_Maintenance_combine '!A:C,3,FALSE),"Non trouvé")</f>
        <v>-10.227569000000001</v>
      </c>
      <c r="H1630">
        <f>IFERROR(VLOOKUP(Logs_reseau[[#This Row],[Cell_ID]],'[1]Registre_Maintenance_combine '!A:D,4,FALSE),"Non trouvé")</f>
        <v>18.887930999999998</v>
      </c>
      <c r="I1630" t="str">
        <f>IFERROR(VLOOKUP(Logs_reseau[[#This Row],[Cell_ID]],'[1]Registre_Maintenance_combine '!A:E,5,FALSE),"Non trouvé")</f>
        <v>3G</v>
      </c>
      <c r="J1630" t="str">
        <f>IFERROR(VLOOKUP(Logs_reseau[[#This Row],[Cell_ID]],'[1]Registre_Maintenance_combine '!A:F,6,FALSE),"Non trouvé")</f>
        <v>ZTE</v>
      </c>
    </row>
    <row r="1631" spans="1:10" x14ac:dyDescent="0.25">
      <c r="A1631" t="str">
        <f>IFERROR(VLOOKUP(Logs_reseau[[#This Row],[Cell_ID]],'[1]Registre_Maintenance_combine '!A:B,2,FALSE),"Non trouvé")</f>
        <v>Tanganyika</v>
      </c>
      <c r="B1631" t="s">
        <v>636</v>
      </c>
      <c r="C1631" s="3">
        <v>45221.861805555556</v>
      </c>
      <c r="D1631" s="11">
        <f>Logs_reseau[[#This Row],[Duree_Panne_Min]]/1440</f>
        <v>4.5138888888888888E-2</v>
      </c>
      <c r="E1631">
        <v>65</v>
      </c>
      <c r="F1631" t="s">
        <v>1</v>
      </c>
      <c r="G1631">
        <f>IFERROR(VLOOKUP(Logs_reseau[[#This Row],[Cell_ID]],'[1]Registre_Maintenance_combine '!A:C,3,FALSE),"Non trouvé")</f>
        <v>-3.9148719999999999</v>
      </c>
      <c r="H1631">
        <f>IFERROR(VLOOKUP(Logs_reseau[[#This Row],[Cell_ID]],'[1]Registre_Maintenance_combine '!A:D,4,FALSE),"Non trouvé")</f>
        <v>12.260933</v>
      </c>
      <c r="I1631" t="str">
        <f>IFERROR(VLOOKUP(Logs_reseau[[#This Row],[Cell_ID]],'[1]Registre_Maintenance_combine '!A:E,5,FALSE),"Non trouvé")</f>
        <v>4G</v>
      </c>
      <c r="J1631" t="str">
        <f>IFERROR(VLOOKUP(Logs_reseau[[#This Row],[Cell_ID]],'[1]Registre_Maintenance_combine '!A:F,6,FALSE),"Non trouvé")</f>
        <v>Ericsson</v>
      </c>
    </row>
    <row r="1632" spans="1:10" x14ac:dyDescent="0.25">
      <c r="A1632" t="str">
        <f>IFERROR(VLOOKUP(Logs_reseau[[#This Row],[Cell_ID]],'[1]Registre_Maintenance_combine '!A:B,2,FALSE),"Non trouvé")</f>
        <v>Kongo-Central</v>
      </c>
      <c r="B1632" t="s">
        <v>620</v>
      </c>
      <c r="C1632" s="3">
        <v>45202.775694444441</v>
      </c>
      <c r="D1632" s="11">
        <f>Logs_reseau[[#This Row],[Duree_Panne_Min]]/1440</f>
        <v>0.05</v>
      </c>
      <c r="E1632">
        <v>72</v>
      </c>
      <c r="F1632" t="s">
        <v>1</v>
      </c>
      <c r="G1632">
        <f>IFERROR(VLOOKUP(Logs_reseau[[#This Row],[Cell_ID]],'[1]Registre_Maintenance_combine '!A:C,3,FALSE),"Non trouvé")</f>
        <v>1.981107</v>
      </c>
      <c r="H1632">
        <f>IFERROR(VLOOKUP(Logs_reseau[[#This Row],[Cell_ID]],'[1]Registre_Maintenance_combine '!A:D,4,FALSE),"Non trouvé")</f>
        <v>23.932569000000001</v>
      </c>
      <c r="I1632" t="str">
        <f>IFERROR(VLOOKUP(Logs_reseau[[#This Row],[Cell_ID]],'[1]Registre_Maintenance_combine '!A:E,5,FALSE),"Non trouvé")</f>
        <v>3G</v>
      </c>
      <c r="J1632" t="str">
        <f>IFERROR(VLOOKUP(Logs_reseau[[#This Row],[Cell_ID]],'[1]Registre_Maintenance_combine '!A:F,6,FALSE),"Non trouvé")</f>
        <v>Nokia</v>
      </c>
    </row>
    <row r="1633" spans="1:10" x14ac:dyDescent="0.25">
      <c r="A1633" t="str">
        <f>IFERROR(VLOOKUP(Logs_reseau[[#This Row],[Cell_ID]],'[1]Registre_Maintenance_combine '!A:B,2,FALSE),"Non trouvé")</f>
        <v>Non trouvé</v>
      </c>
      <c r="B1633" t="s">
        <v>637</v>
      </c>
      <c r="C1633" s="3">
        <v>45208.084027777775</v>
      </c>
      <c r="D1633" s="11">
        <f>Logs_reseau[[#This Row],[Duree_Panne_Min]]/1440</f>
        <v>3.4722222222222224E-2</v>
      </c>
      <c r="E1633">
        <v>50</v>
      </c>
      <c r="F1633" t="s">
        <v>2</v>
      </c>
      <c r="G1633" t="str">
        <f>IFERROR(VLOOKUP(Logs_reseau[[#This Row],[Cell_ID]],'[1]Registre_Maintenance_combine '!A:C,3,FALSE),"Non trouvé")</f>
        <v>Non trouvé</v>
      </c>
      <c r="H1633" t="str">
        <f>IFERROR(VLOOKUP(Logs_reseau[[#This Row],[Cell_ID]],'[1]Registre_Maintenance_combine '!A:D,4,FALSE),"Non trouvé")</f>
        <v>Non trouvé</v>
      </c>
      <c r="I1633" t="str">
        <f>IFERROR(VLOOKUP(Logs_reseau[[#This Row],[Cell_ID]],'[1]Registre_Maintenance_combine '!A:E,5,FALSE),"Non trouvé")</f>
        <v>Non trouvé</v>
      </c>
      <c r="J1633" t="str">
        <f>IFERROR(VLOOKUP(Logs_reseau[[#This Row],[Cell_ID]],'[1]Registre_Maintenance_combine '!A:F,6,FALSE),"Non trouvé")</f>
        <v>Non trouvé</v>
      </c>
    </row>
    <row r="1634" spans="1:10" x14ac:dyDescent="0.25">
      <c r="A1634" t="str">
        <f>IFERROR(VLOOKUP(Logs_reseau[[#This Row],[Cell_ID]],'[1]Registre_Maintenance_combine '!A:B,2,FALSE),"Non trouvé")</f>
        <v>Non trouvé</v>
      </c>
      <c r="B1634" t="s">
        <v>310</v>
      </c>
      <c r="C1634" s="3">
        <v>45202.289583333331</v>
      </c>
      <c r="D1634" s="11">
        <f>Logs_reseau[[#This Row],[Duree_Panne_Min]]/1440</f>
        <v>7.1527777777777773E-2</v>
      </c>
      <c r="E1634">
        <v>103</v>
      </c>
      <c r="F1634" t="s">
        <v>2</v>
      </c>
      <c r="G1634" t="str">
        <f>IFERROR(VLOOKUP(Logs_reseau[[#This Row],[Cell_ID]],'[1]Registre_Maintenance_combine '!A:C,3,FALSE),"Non trouvé")</f>
        <v>Non trouvé</v>
      </c>
      <c r="H1634" t="str">
        <f>IFERROR(VLOOKUP(Logs_reseau[[#This Row],[Cell_ID]],'[1]Registre_Maintenance_combine '!A:D,4,FALSE),"Non trouvé")</f>
        <v>Non trouvé</v>
      </c>
      <c r="I1634" t="str">
        <f>IFERROR(VLOOKUP(Logs_reseau[[#This Row],[Cell_ID]],'[1]Registre_Maintenance_combine '!A:E,5,FALSE),"Non trouvé")</f>
        <v>Non trouvé</v>
      </c>
      <c r="J1634" t="str">
        <f>IFERROR(VLOOKUP(Logs_reseau[[#This Row],[Cell_ID]],'[1]Registre_Maintenance_combine '!A:F,6,FALSE),"Non trouvé")</f>
        <v>Non trouvé</v>
      </c>
    </row>
    <row r="1635" spans="1:10" x14ac:dyDescent="0.25">
      <c r="A1635" t="str">
        <f>IFERROR(VLOOKUP(Logs_reseau[[#This Row],[Cell_ID]],'[1]Registre_Maintenance_combine '!A:B,2,FALSE),"Non trouvé")</f>
        <v>Sud-Kivu</v>
      </c>
      <c r="B1635" t="s">
        <v>628</v>
      </c>
      <c r="C1635" s="3">
        <v>45220.618750000001</v>
      </c>
      <c r="D1635" s="11">
        <f>Logs_reseau[[#This Row],[Duree_Panne_Min]]/1440</f>
        <v>5.486111111111111E-2</v>
      </c>
      <c r="E1635">
        <v>79</v>
      </c>
      <c r="F1635" t="s">
        <v>1</v>
      </c>
      <c r="G1635">
        <f>IFERROR(VLOOKUP(Logs_reseau[[#This Row],[Cell_ID]],'[1]Registre_Maintenance_combine '!A:C,3,FALSE),"Non trouvé")</f>
        <v>-1.4700059999999999</v>
      </c>
      <c r="H1635">
        <f>IFERROR(VLOOKUP(Logs_reseau[[#This Row],[Cell_ID]],'[1]Registre_Maintenance_combine '!A:D,4,FALSE),"Non trouvé")</f>
        <v>18.680958</v>
      </c>
      <c r="I1635" t="str">
        <f>IFERROR(VLOOKUP(Logs_reseau[[#This Row],[Cell_ID]],'[1]Registre_Maintenance_combine '!A:E,5,FALSE),"Non trouvé")</f>
        <v>3G</v>
      </c>
      <c r="J1635" t="str">
        <f>IFERROR(VLOOKUP(Logs_reseau[[#This Row],[Cell_ID]],'[1]Registre_Maintenance_combine '!A:F,6,FALSE),"Non trouvé")</f>
        <v>Huawei</v>
      </c>
    </row>
    <row r="1636" spans="1:10" x14ac:dyDescent="0.25">
      <c r="A1636" t="str">
        <f>IFERROR(VLOOKUP(Logs_reseau[[#This Row],[Cell_ID]],'[1]Registre_Maintenance_combine '!A:B,2,FALSE),"Non trouvé")</f>
        <v>Equateur</v>
      </c>
      <c r="B1636" t="s">
        <v>563</v>
      </c>
      <c r="C1636" s="3">
        <v>45204.122916666667</v>
      </c>
      <c r="D1636" s="11">
        <f>Logs_reseau[[#This Row],[Duree_Panne_Min]]/1440</f>
        <v>2.361111111111111E-2</v>
      </c>
      <c r="E1636">
        <v>34</v>
      </c>
      <c r="F1636" t="s">
        <v>1</v>
      </c>
      <c r="G1636">
        <f>IFERROR(VLOOKUP(Logs_reseau[[#This Row],[Cell_ID]],'[1]Registre_Maintenance_combine '!A:C,3,FALSE),"Non trouvé")</f>
        <v>-6.1490739999999997</v>
      </c>
      <c r="H1636">
        <f>IFERROR(VLOOKUP(Logs_reseau[[#This Row],[Cell_ID]],'[1]Registre_Maintenance_combine '!A:D,4,FALSE),"Non trouvé")</f>
        <v>23.304411000000002</v>
      </c>
      <c r="I1636" t="str">
        <f>IFERROR(VLOOKUP(Logs_reseau[[#This Row],[Cell_ID]],'[1]Registre_Maintenance_combine '!A:E,5,FALSE),"Non trouvé")</f>
        <v>5G</v>
      </c>
      <c r="J1636" t="str">
        <f>IFERROR(VLOOKUP(Logs_reseau[[#This Row],[Cell_ID]],'[1]Registre_Maintenance_combine '!A:F,6,FALSE),"Non trouvé")</f>
        <v>ZTE</v>
      </c>
    </row>
    <row r="1637" spans="1:10" x14ac:dyDescent="0.25">
      <c r="A1637" t="str">
        <f>IFERROR(VLOOKUP(Logs_reseau[[#This Row],[Cell_ID]],'[1]Registre_Maintenance_combine '!A:B,2,FALSE),"Non trouvé")</f>
        <v>Non trouvé</v>
      </c>
      <c r="B1637" t="s">
        <v>147</v>
      </c>
      <c r="C1637" s="3">
        <v>45227.421527777777</v>
      </c>
      <c r="D1637" s="11">
        <f>Logs_reseau[[#This Row],[Duree_Panne_Min]]/1440</f>
        <v>1.7361111111111112E-2</v>
      </c>
      <c r="E1637">
        <v>25</v>
      </c>
      <c r="F1637" t="s">
        <v>2</v>
      </c>
      <c r="G1637" t="str">
        <f>IFERROR(VLOOKUP(Logs_reseau[[#This Row],[Cell_ID]],'[1]Registre_Maintenance_combine '!A:C,3,FALSE),"Non trouvé")</f>
        <v>Non trouvé</v>
      </c>
      <c r="H1637" t="str">
        <f>IFERROR(VLOOKUP(Logs_reseau[[#This Row],[Cell_ID]],'[1]Registre_Maintenance_combine '!A:D,4,FALSE),"Non trouvé")</f>
        <v>Non trouvé</v>
      </c>
      <c r="I1637" t="str">
        <f>IFERROR(VLOOKUP(Logs_reseau[[#This Row],[Cell_ID]],'[1]Registre_Maintenance_combine '!A:E,5,FALSE),"Non trouvé")</f>
        <v>Non trouvé</v>
      </c>
      <c r="J1637" t="str">
        <f>IFERROR(VLOOKUP(Logs_reseau[[#This Row],[Cell_ID]],'[1]Registre_Maintenance_combine '!A:F,6,FALSE),"Non trouvé")</f>
        <v>Non trouvé</v>
      </c>
    </row>
    <row r="1638" spans="1:10" x14ac:dyDescent="0.25">
      <c r="A1638" t="str">
        <f>IFERROR(VLOOKUP(Logs_reseau[[#This Row],[Cell_ID]],'[1]Registre_Maintenance_combine '!A:B,2,FALSE),"Non trouvé")</f>
        <v>Non trouvé</v>
      </c>
      <c r="B1638" t="s">
        <v>638</v>
      </c>
      <c r="C1638" s="3">
        <v>45201.585416666669</v>
      </c>
      <c r="D1638" s="11">
        <f>Logs_reseau[[#This Row],[Duree_Panne_Min]]/1440</f>
        <v>1.1805555555555555E-2</v>
      </c>
      <c r="E1638">
        <v>17</v>
      </c>
      <c r="F1638" t="s">
        <v>4</v>
      </c>
      <c r="G1638" t="str">
        <f>IFERROR(VLOOKUP(Logs_reseau[[#This Row],[Cell_ID]],'[1]Registre_Maintenance_combine '!A:C,3,FALSE),"Non trouvé")</f>
        <v>Non trouvé</v>
      </c>
      <c r="H1638" t="str">
        <f>IFERROR(VLOOKUP(Logs_reseau[[#This Row],[Cell_ID]],'[1]Registre_Maintenance_combine '!A:D,4,FALSE),"Non trouvé")</f>
        <v>Non trouvé</v>
      </c>
      <c r="I1638" t="str">
        <f>IFERROR(VLOOKUP(Logs_reseau[[#This Row],[Cell_ID]],'[1]Registre_Maintenance_combine '!A:E,5,FALSE),"Non trouvé")</f>
        <v>Non trouvé</v>
      </c>
      <c r="J1638" t="str">
        <f>IFERROR(VLOOKUP(Logs_reseau[[#This Row],[Cell_ID]],'[1]Registre_Maintenance_combine '!A:F,6,FALSE),"Non trouvé")</f>
        <v>Non trouvé</v>
      </c>
    </row>
    <row r="1639" spans="1:10" x14ac:dyDescent="0.25">
      <c r="A1639" t="str">
        <f>IFERROR(VLOOKUP(Logs_reseau[[#This Row],[Cell_ID]],'[1]Registre_Maintenance_combine '!A:B,2,FALSE),"Non trouvé")</f>
        <v>Kongo-Central</v>
      </c>
      <c r="B1639" t="s">
        <v>639</v>
      </c>
      <c r="C1639" s="3">
        <v>45205.768750000003</v>
      </c>
      <c r="D1639" s="11">
        <f>Logs_reseau[[#This Row],[Duree_Panne_Min]]/1440</f>
        <v>2.5000000000000001E-2</v>
      </c>
      <c r="E1639">
        <v>36</v>
      </c>
      <c r="F1639" t="s">
        <v>1</v>
      </c>
      <c r="G1639">
        <f>IFERROR(VLOOKUP(Logs_reseau[[#This Row],[Cell_ID]],'[1]Registre_Maintenance_combine '!A:C,3,FALSE),"Non trouvé")</f>
        <v>-0.469945</v>
      </c>
      <c r="H1639">
        <f>IFERROR(VLOOKUP(Logs_reseau[[#This Row],[Cell_ID]],'[1]Registre_Maintenance_combine '!A:D,4,FALSE),"Non trouvé")</f>
        <v>21.038527999999999</v>
      </c>
      <c r="I1639" t="str">
        <f>IFERROR(VLOOKUP(Logs_reseau[[#This Row],[Cell_ID]],'[1]Registre_Maintenance_combine '!A:E,5,FALSE),"Non trouvé")</f>
        <v>3G</v>
      </c>
      <c r="J1639" t="str">
        <f>IFERROR(VLOOKUP(Logs_reseau[[#This Row],[Cell_ID]],'[1]Registre_Maintenance_combine '!A:F,6,FALSE),"Non trouvé")</f>
        <v>Ericsson</v>
      </c>
    </row>
    <row r="1640" spans="1:10" x14ac:dyDescent="0.25">
      <c r="A1640" t="str">
        <f>IFERROR(VLOOKUP(Logs_reseau[[#This Row],[Cell_ID]],'[1]Registre_Maintenance_combine '!A:B,2,FALSE),"Non trouvé")</f>
        <v>Non trouvé</v>
      </c>
      <c r="B1640" t="s">
        <v>192</v>
      </c>
      <c r="C1640" s="3">
        <v>45226.975694444445</v>
      </c>
      <c r="D1640" s="11">
        <f>Logs_reseau[[#This Row],[Duree_Panne_Min]]/1440</f>
        <v>6.1805555555555558E-2</v>
      </c>
      <c r="E1640">
        <v>89</v>
      </c>
      <c r="F1640" t="s">
        <v>4</v>
      </c>
      <c r="G1640" t="str">
        <f>IFERROR(VLOOKUP(Logs_reseau[[#This Row],[Cell_ID]],'[1]Registre_Maintenance_combine '!A:C,3,FALSE),"Non trouvé")</f>
        <v>Non trouvé</v>
      </c>
      <c r="H1640" t="str">
        <f>IFERROR(VLOOKUP(Logs_reseau[[#This Row],[Cell_ID]],'[1]Registre_Maintenance_combine '!A:D,4,FALSE),"Non trouvé")</f>
        <v>Non trouvé</v>
      </c>
      <c r="I1640" t="str">
        <f>IFERROR(VLOOKUP(Logs_reseau[[#This Row],[Cell_ID]],'[1]Registre_Maintenance_combine '!A:E,5,FALSE),"Non trouvé")</f>
        <v>Non trouvé</v>
      </c>
      <c r="J1640" t="str">
        <f>IFERROR(VLOOKUP(Logs_reseau[[#This Row],[Cell_ID]],'[1]Registre_Maintenance_combine '!A:F,6,FALSE),"Non trouvé")</f>
        <v>Non trouvé</v>
      </c>
    </row>
    <row r="1641" spans="1:10" x14ac:dyDescent="0.25">
      <c r="A1641" t="str">
        <f>IFERROR(VLOOKUP(Logs_reseau[[#This Row],[Cell_ID]],'[1]Registre_Maintenance_combine '!A:B,2,FALSE),"Non trouvé")</f>
        <v>Non trouvé</v>
      </c>
      <c r="B1641" t="s">
        <v>640</v>
      </c>
      <c r="C1641" s="3">
        <v>45215.01666666667</v>
      </c>
      <c r="D1641" s="11">
        <f>Logs_reseau[[#This Row],[Duree_Panne_Min]]/1440</f>
        <v>2.4305555555555556E-2</v>
      </c>
      <c r="E1641">
        <v>35</v>
      </c>
      <c r="F1641" t="s">
        <v>2</v>
      </c>
      <c r="G1641" t="str">
        <f>IFERROR(VLOOKUP(Logs_reseau[[#This Row],[Cell_ID]],'[1]Registre_Maintenance_combine '!A:C,3,FALSE),"Non trouvé")</f>
        <v>Non trouvé</v>
      </c>
      <c r="H1641" t="str">
        <f>IFERROR(VLOOKUP(Logs_reseau[[#This Row],[Cell_ID]],'[1]Registre_Maintenance_combine '!A:D,4,FALSE),"Non trouvé")</f>
        <v>Non trouvé</v>
      </c>
      <c r="I1641" t="str">
        <f>IFERROR(VLOOKUP(Logs_reseau[[#This Row],[Cell_ID]],'[1]Registre_Maintenance_combine '!A:E,5,FALSE),"Non trouvé")</f>
        <v>Non trouvé</v>
      </c>
      <c r="J1641" t="str">
        <f>IFERROR(VLOOKUP(Logs_reseau[[#This Row],[Cell_ID]],'[1]Registre_Maintenance_combine '!A:F,6,FALSE),"Non trouvé")</f>
        <v>Non trouvé</v>
      </c>
    </row>
    <row r="1642" spans="1:10" x14ac:dyDescent="0.25">
      <c r="A1642" t="str">
        <f>IFERROR(VLOOKUP(Logs_reseau[[#This Row],[Cell_ID]],'[1]Registre_Maintenance_combine '!A:B,2,FALSE),"Non trouvé")</f>
        <v>Non trouvé</v>
      </c>
      <c r="B1642" t="s">
        <v>641</v>
      </c>
      <c r="C1642" s="3">
        <v>45221.549305555556</v>
      </c>
      <c r="D1642" s="11">
        <f>Logs_reseau[[#This Row],[Duree_Panne_Min]]/1440</f>
        <v>2.7083333333333334E-2</v>
      </c>
      <c r="E1642">
        <v>39</v>
      </c>
      <c r="F1642" t="s">
        <v>2</v>
      </c>
      <c r="G1642" t="str">
        <f>IFERROR(VLOOKUP(Logs_reseau[[#This Row],[Cell_ID]],'[1]Registre_Maintenance_combine '!A:C,3,FALSE),"Non trouvé")</f>
        <v>Non trouvé</v>
      </c>
      <c r="H1642" t="str">
        <f>IFERROR(VLOOKUP(Logs_reseau[[#This Row],[Cell_ID]],'[1]Registre_Maintenance_combine '!A:D,4,FALSE),"Non trouvé")</f>
        <v>Non trouvé</v>
      </c>
      <c r="I1642" t="str">
        <f>IFERROR(VLOOKUP(Logs_reseau[[#This Row],[Cell_ID]],'[1]Registre_Maintenance_combine '!A:E,5,FALSE),"Non trouvé")</f>
        <v>Non trouvé</v>
      </c>
      <c r="J1642" t="str">
        <f>IFERROR(VLOOKUP(Logs_reseau[[#This Row],[Cell_ID]],'[1]Registre_Maintenance_combine '!A:F,6,FALSE),"Non trouvé")</f>
        <v>Non trouvé</v>
      </c>
    </row>
    <row r="1643" spans="1:10" x14ac:dyDescent="0.25">
      <c r="A1643" t="str">
        <f>IFERROR(VLOOKUP(Logs_reseau[[#This Row],[Cell_ID]],'[1]Registre_Maintenance_combine '!A:B,2,FALSE),"Non trouvé")</f>
        <v>Non trouvé</v>
      </c>
      <c r="B1643" t="s">
        <v>642</v>
      </c>
      <c r="C1643" s="3">
        <v>45211.290277777778</v>
      </c>
      <c r="D1643" s="11">
        <f>Logs_reseau[[#This Row],[Duree_Panne_Min]]/1440</f>
        <v>5.0694444444444445E-2</v>
      </c>
      <c r="E1643">
        <v>73</v>
      </c>
      <c r="F1643" t="s">
        <v>4</v>
      </c>
      <c r="G1643" t="str">
        <f>IFERROR(VLOOKUP(Logs_reseau[[#This Row],[Cell_ID]],'[1]Registre_Maintenance_combine '!A:C,3,FALSE),"Non trouvé")</f>
        <v>Non trouvé</v>
      </c>
      <c r="H1643" t="str">
        <f>IFERROR(VLOOKUP(Logs_reseau[[#This Row],[Cell_ID]],'[1]Registre_Maintenance_combine '!A:D,4,FALSE),"Non trouvé")</f>
        <v>Non trouvé</v>
      </c>
      <c r="I1643" t="str">
        <f>IFERROR(VLOOKUP(Logs_reseau[[#This Row],[Cell_ID]],'[1]Registre_Maintenance_combine '!A:E,5,FALSE),"Non trouvé")</f>
        <v>Non trouvé</v>
      </c>
      <c r="J1643" t="str">
        <f>IFERROR(VLOOKUP(Logs_reseau[[#This Row],[Cell_ID]],'[1]Registre_Maintenance_combine '!A:F,6,FALSE),"Non trouvé")</f>
        <v>Non trouvé</v>
      </c>
    </row>
    <row r="1644" spans="1:10" x14ac:dyDescent="0.25">
      <c r="A1644" t="str">
        <f>IFERROR(VLOOKUP(Logs_reseau[[#This Row],[Cell_ID]],'[1]Registre_Maintenance_combine '!A:B,2,FALSE),"Non trouvé")</f>
        <v>Lomami</v>
      </c>
      <c r="B1644" t="s">
        <v>339</v>
      </c>
      <c r="C1644" s="3">
        <v>45205.345138888886</v>
      </c>
      <c r="D1644" s="11">
        <f>Logs_reseau[[#This Row],[Duree_Panne_Min]]/1440</f>
        <v>7.5694444444444439E-2</v>
      </c>
      <c r="E1644">
        <v>109</v>
      </c>
      <c r="F1644" t="s">
        <v>2</v>
      </c>
      <c r="G1644">
        <f>IFERROR(VLOOKUP(Logs_reseau[[#This Row],[Cell_ID]],'[1]Registre_Maintenance_combine '!A:C,3,FALSE),"Non trouvé")</f>
        <v>-2.2681789999999999</v>
      </c>
      <c r="H1644">
        <f>IFERROR(VLOOKUP(Logs_reseau[[#This Row],[Cell_ID]],'[1]Registre_Maintenance_combine '!A:D,4,FALSE),"Non trouvé")</f>
        <v>25.699068</v>
      </c>
      <c r="I1644" t="str">
        <f>IFERROR(VLOOKUP(Logs_reseau[[#This Row],[Cell_ID]],'[1]Registre_Maintenance_combine '!A:E,5,FALSE),"Non trouvé")</f>
        <v>3G</v>
      </c>
      <c r="J1644" t="str">
        <f>IFERROR(VLOOKUP(Logs_reseau[[#This Row],[Cell_ID]],'[1]Registre_Maintenance_combine '!A:F,6,FALSE),"Non trouvé")</f>
        <v>ZTE</v>
      </c>
    </row>
    <row r="1645" spans="1:10" x14ac:dyDescent="0.25">
      <c r="A1645" t="str">
        <f>IFERROR(VLOOKUP(Logs_reseau[[#This Row],[Cell_ID]],'[1]Registre_Maintenance_combine '!A:B,2,FALSE),"Non trouvé")</f>
        <v>Sud-Kivu</v>
      </c>
      <c r="B1645" t="s">
        <v>643</v>
      </c>
      <c r="C1645" s="3">
        <v>45214.168055555558</v>
      </c>
      <c r="D1645" s="11">
        <f>Logs_reseau[[#This Row],[Duree_Panne_Min]]/1440</f>
        <v>7.3611111111111113E-2</v>
      </c>
      <c r="E1645">
        <v>106</v>
      </c>
      <c r="F1645" t="s">
        <v>1</v>
      </c>
      <c r="G1645">
        <f>IFERROR(VLOOKUP(Logs_reseau[[#This Row],[Cell_ID]],'[1]Registre_Maintenance_combine '!A:C,3,FALSE),"Non trouvé")</f>
        <v>-11.207139</v>
      </c>
      <c r="H1645">
        <f>IFERROR(VLOOKUP(Logs_reseau[[#This Row],[Cell_ID]],'[1]Registre_Maintenance_combine '!A:D,4,FALSE),"Non trouvé")</f>
        <v>18.702511999999999</v>
      </c>
      <c r="I1645" t="str">
        <f>IFERROR(VLOOKUP(Logs_reseau[[#This Row],[Cell_ID]],'[1]Registre_Maintenance_combine '!A:E,5,FALSE),"Non trouvé")</f>
        <v>5G</v>
      </c>
      <c r="J1645" t="str">
        <f>IFERROR(VLOOKUP(Logs_reseau[[#This Row],[Cell_ID]],'[1]Registre_Maintenance_combine '!A:F,6,FALSE),"Non trouvé")</f>
        <v>Ericsson</v>
      </c>
    </row>
    <row r="1646" spans="1:10" x14ac:dyDescent="0.25">
      <c r="A1646" t="str">
        <f>IFERROR(VLOOKUP(Logs_reseau[[#This Row],[Cell_ID]],'[1]Registre_Maintenance_combine '!A:B,2,FALSE),"Non trouvé")</f>
        <v>Non trouvé</v>
      </c>
      <c r="B1646" t="s">
        <v>347</v>
      </c>
      <c r="C1646" s="3">
        <v>45219.818749999999</v>
      </c>
      <c r="D1646" s="11">
        <f>Logs_reseau[[#This Row],[Duree_Panne_Min]]/1440</f>
        <v>6.8750000000000006E-2</v>
      </c>
      <c r="E1646">
        <v>99</v>
      </c>
      <c r="F1646" t="s">
        <v>4</v>
      </c>
      <c r="G1646" t="str">
        <f>IFERROR(VLOOKUP(Logs_reseau[[#This Row],[Cell_ID]],'[1]Registre_Maintenance_combine '!A:C,3,FALSE),"Non trouvé")</f>
        <v>Non trouvé</v>
      </c>
      <c r="H1646" t="str">
        <f>IFERROR(VLOOKUP(Logs_reseau[[#This Row],[Cell_ID]],'[1]Registre_Maintenance_combine '!A:D,4,FALSE),"Non trouvé")</f>
        <v>Non trouvé</v>
      </c>
      <c r="I1646" t="str">
        <f>IFERROR(VLOOKUP(Logs_reseau[[#This Row],[Cell_ID]],'[1]Registre_Maintenance_combine '!A:E,5,FALSE),"Non trouvé")</f>
        <v>Non trouvé</v>
      </c>
      <c r="J1646" t="str">
        <f>IFERROR(VLOOKUP(Logs_reseau[[#This Row],[Cell_ID]],'[1]Registre_Maintenance_combine '!A:F,6,FALSE),"Non trouvé")</f>
        <v>Non trouvé</v>
      </c>
    </row>
    <row r="1647" spans="1:10" x14ac:dyDescent="0.25">
      <c r="A1647" t="str">
        <f>IFERROR(VLOOKUP(Logs_reseau[[#This Row],[Cell_ID]],'[1]Registre_Maintenance_combine '!A:B,2,FALSE),"Non trouvé")</f>
        <v>Non trouvé</v>
      </c>
      <c r="B1647" t="s">
        <v>373</v>
      </c>
      <c r="C1647" s="3">
        <v>45207.845833333333</v>
      </c>
      <c r="D1647" s="11">
        <f>Logs_reseau[[#This Row],[Duree_Panne_Min]]/1440</f>
        <v>8.3333333333333332E-3</v>
      </c>
      <c r="E1647">
        <v>12</v>
      </c>
      <c r="F1647" t="s">
        <v>4</v>
      </c>
      <c r="G1647" t="str">
        <f>IFERROR(VLOOKUP(Logs_reseau[[#This Row],[Cell_ID]],'[1]Registre_Maintenance_combine '!A:C,3,FALSE),"Non trouvé")</f>
        <v>Non trouvé</v>
      </c>
      <c r="H1647" t="str">
        <f>IFERROR(VLOOKUP(Logs_reseau[[#This Row],[Cell_ID]],'[1]Registre_Maintenance_combine '!A:D,4,FALSE),"Non trouvé")</f>
        <v>Non trouvé</v>
      </c>
      <c r="I1647" t="str">
        <f>IFERROR(VLOOKUP(Logs_reseau[[#This Row],[Cell_ID]],'[1]Registre_Maintenance_combine '!A:E,5,FALSE),"Non trouvé")</f>
        <v>Non trouvé</v>
      </c>
      <c r="J1647" t="str">
        <f>IFERROR(VLOOKUP(Logs_reseau[[#This Row],[Cell_ID]],'[1]Registre_Maintenance_combine '!A:F,6,FALSE),"Non trouvé")</f>
        <v>Non trouvé</v>
      </c>
    </row>
    <row r="1648" spans="1:10" x14ac:dyDescent="0.25">
      <c r="A1648" t="str">
        <f>IFERROR(VLOOKUP(Logs_reseau[[#This Row],[Cell_ID]],'[1]Registre_Maintenance_combine '!A:B,2,FALSE),"Non trouvé")</f>
        <v>Tshopo</v>
      </c>
      <c r="B1648" t="s">
        <v>179</v>
      </c>
      <c r="C1648" s="3">
        <v>45215.580555555556</v>
      </c>
      <c r="D1648" s="11">
        <f>Logs_reseau[[#This Row],[Duree_Panne_Min]]/1440</f>
        <v>7.0833333333333331E-2</v>
      </c>
      <c r="E1648">
        <v>102</v>
      </c>
      <c r="F1648" t="s">
        <v>4</v>
      </c>
      <c r="G1648">
        <f>IFERROR(VLOOKUP(Logs_reseau[[#This Row],[Cell_ID]],'[1]Registre_Maintenance_combine '!A:C,3,FALSE),"Non trouvé")</f>
        <v>2.4425979999999998</v>
      </c>
      <c r="H1648">
        <f>IFERROR(VLOOKUP(Logs_reseau[[#This Row],[Cell_ID]],'[1]Registre_Maintenance_combine '!A:D,4,FALSE),"Non trouvé")</f>
        <v>24.924308</v>
      </c>
      <c r="I1648" t="str">
        <f>IFERROR(VLOOKUP(Logs_reseau[[#This Row],[Cell_ID]],'[1]Registre_Maintenance_combine '!A:E,5,FALSE),"Non trouvé")</f>
        <v>5G</v>
      </c>
      <c r="J1648" t="str">
        <f>IFERROR(VLOOKUP(Logs_reseau[[#This Row],[Cell_ID]],'[1]Registre_Maintenance_combine '!A:F,6,FALSE),"Non trouvé")</f>
        <v>Ericsson</v>
      </c>
    </row>
    <row r="1649" spans="1:10" x14ac:dyDescent="0.25">
      <c r="A1649" t="str">
        <f>IFERROR(VLOOKUP(Logs_reseau[[#This Row],[Cell_ID]],'[1]Registre_Maintenance_combine '!A:B,2,FALSE),"Non trouvé")</f>
        <v>Haut-Uele</v>
      </c>
      <c r="B1649" t="s">
        <v>319</v>
      </c>
      <c r="C1649" s="3">
        <v>45217.627083333333</v>
      </c>
      <c r="D1649" s="11">
        <f>Logs_reseau[[#This Row],[Duree_Panne_Min]]/1440</f>
        <v>2.2916666666666665E-2</v>
      </c>
      <c r="E1649">
        <v>33</v>
      </c>
      <c r="F1649" t="s">
        <v>1</v>
      </c>
      <c r="G1649">
        <f>IFERROR(VLOOKUP(Logs_reseau[[#This Row],[Cell_ID]],'[1]Registre_Maintenance_combine '!A:C,3,FALSE),"Non trouvé")</f>
        <v>-1.8045979999999999</v>
      </c>
      <c r="H1649">
        <f>IFERROR(VLOOKUP(Logs_reseau[[#This Row],[Cell_ID]],'[1]Registre_Maintenance_combine '!A:D,4,FALSE),"Non trouvé")</f>
        <v>12.511096999999999</v>
      </c>
      <c r="I1649" t="str">
        <f>IFERROR(VLOOKUP(Logs_reseau[[#This Row],[Cell_ID]],'[1]Registre_Maintenance_combine '!A:E,5,FALSE),"Non trouvé")</f>
        <v>3G</v>
      </c>
      <c r="J1649" t="str">
        <f>IFERROR(VLOOKUP(Logs_reseau[[#This Row],[Cell_ID]],'[1]Registre_Maintenance_combine '!A:F,6,FALSE),"Non trouvé")</f>
        <v>Huawei</v>
      </c>
    </row>
    <row r="1650" spans="1:10" x14ac:dyDescent="0.25">
      <c r="A1650" t="str">
        <f>IFERROR(VLOOKUP(Logs_reseau[[#This Row],[Cell_ID]],'[1]Registre_Maintenance_combine '!A:B,2,FALSE),"Non trouvé")</f>
        <v>Mongala</v>
      </c>
      <c r="B1650" t="s">
        <v>40</v>
      </c>
      <c r="C1650" s="3">
        <v>45202.35</v>
      </c>
      <c r="D1650" s="11">
        <f>Logs_reseau[[#This Row],[Duree_Panne_Min]]/1440</f>
        <v>5.4166666666666669E-2</v>
      </c>
      <c r="E1650">
        <v>78</v>
      </c>
      <c r="F1650" t="s">
        <v>1</v>
      </c>
      <c r="G1650">
        <f>IFERROR(VLOOKUP(Logs_reseau[[#This Row],[Cell_ID]],'[1]Registre_Maintenance_combine '!A:C,3,FALSE),"Non trouvé")</f>
        <v>4.0988100000000003</v>
      </c>
      <c r="H1650">
        <f>IFERROR(VLOOKUP(Logs_reseau[[#This Row],[Cell_ID]],'[1]Registre_Maintenance_combine '!A:D,4,FALSE),"Non trouvé")</f>
        <v>29.843810999999999</v>
      </c>
      <c r="I1650" t="str">
        <f>IFERROR(VLOOKUP(Logs_reseau[[#This Row],[Cell_ID]],'[1]Registre_Maintenance_combine '!A:E,5,FALSE),"Non trouvé")</f>
        <v>3G</v>
      </c>
      <c r="J1650" t="str">
        <f>IFERROR(VLOOKUP(Logs_reseau[[#This Row],[Cell_ID]],'[1]Registre_Maintenance_combine '!A:F,6,FALSE),"Non trouvé")</f>
        <v>Huawei</v>
      </c>
    </row>
    <row r="1651" spans="1:10" x14ac:dyDescent="0.25">
      <c r="A1651" t="str">
        <f>IFERROR(VLOOKUP(Logs_reseau[[#This Row],[Cell_ID]],'[1]Registre_Maintenance_combine '!A:B,2,FALSE),"Non trouvé")</f>
        <v>Kongo-Central</v>
      </c>
      <c r="B1651" t="s">
        <v>94</v>
      </c>
      <c r="C1651" s="3">
        <v>45204.55</v>
      </c>
      <c r="D1651" s="11">
        <f>Logs_reseau[[#This Row],[Duree_Panne_Min]]/1440</f>
        <v>7.8472222222222221E-2</v>
      </c>
      <c r="E1651">
        <v>113</v>
      </c>
      <c r="F1651" t="s">
        <v>2</v>
      </c>
      <c r="G1651">
        <f>IFERROR(VLOOKUP(Logs_reseau[[#This Row],[Cell_ID]],'[1]Registre_Maintenance_combine '!A:C,3,FALSE),"Non trouvé")</f>
        <v>2.975352</v>
      </c>
      <c r="H1651">
        <f>IFERROR(VLOOKUP(Logs_reseau[[#This Row],[Cell_ID]],'[1]Registre_Maintenance_combine '!A:D,4,FALSE),"Non trouvé")</f>
        <v>22.535886000000001</v>
      </c>
      <c r="I1651" t="str">
        <f>IFERROR(VLOOKUP(Logs_reseau[[#This Row],[Cell_ID]],'[1]Registre_Maintenance_combine '!A:E,5,FALSE),"Non trouvé")</f>
        <v>4G</v>
      </c>
      <c r="J1651" t="str">
        <f>IFERROR(VLOOKUP(Logs_reseau[[#This Row],[Cell_ID]],'[1]Registre_Maintenance_combine '!A:F,6,FALSE),"Non trouvé")</f>
        <v>Huawei</v>
      </c>
    </row>
    <row r="1652" spans="1:10" x14ac:dyDescent="0.25">
      <c r="A1652" t="str">
        <f>IFERROR(VLOOKUP(Logs_reseau[[#This Row],[Cell_ID]],'[1]Registre_Maintenance_combine '!A:B,2,FALSE),"Non trouvé")</f>
        <v>Tshopo</v>
      </c>
      <c r="B1652" t="s">
        <v>59</v>
      </c>
      <c r="C1652" s="3">
        <v>45220.677083333336</v>
      </c>
      <c r="D1652" s="11">
        <f>Logs_reseau[[#This Row],[Duree_Panne_Min]]/1440</f>
        <v>7.4305555555555555E-2</v>
      </c>
      <c r="E1652">
        <v>107</v>
      </c>
      <c r="F1652" t="s">
        <v>4</v>
      </c>
      <c r="G1652">
        <f>IFERROR(VLOOKUP(Logs_reseau[[#This Row],[Cell_ID]],'[1]Registre_Maintenance_combine '!A:C,3,FALSE),"Non trouvé")</f>
        <v>-6.4670189999999996</v>
      </c>
      <c r="H1652">
        <f>IFERROR(VLOOKUP(Logs_reseau[[#This Row],[Cell_ID]],'[1]Registre_Maintenance_combine '!A:D,4,FALSE),"Non trouvé")</f>
        <v>29.487309</v>
      </c>
      <c r="I1652" t="str">
        <f>IFERROR(VLOOKUP(Logs_reseau[[#This Row],[Cell_ID]],'[1]Registre_Maintenance_combine '!A:E,5,FALSE),"Non trouvé")</f>
        <v>4G</v>
      </c>
      <c r="J1652" t="str">
        <f>IFERROR(VLOOKUP(Logs_reseau[[#This Row],[Cell_ID]],'[1]Registre_Maintenance_combine '!A:F,6,FALSE),"Non trouvé")</f>
        <v>ZTE</v>
      </c>
    </row>
    <row r="1653" spans="1:10" x14ac:dyDescent="0.25">
      <c r="A1653" t="str">
        <f>IFERROR(VLOOKUP(Logs_reseau[[#This Row],[Cell_ID]],'[1]Registre_Maintenance_combine '!A:B,2,FALSE),"Non trouvé")</f>
        <v>Nord-Kivu</v>
      </c>
      <c r="B1653" t="s">
        <v>502</v>
      </c>
      <c r="C1653" s="3">
        <v>45220.743055555555</v>
      </c>
      <c r="D1653" s="11">
        <f>Logs_reseau[[#This Row],[Duree_Panne_Min]]/1440</f>
        <v>3.7499999999999999E-2</v>
      </c>
      <c r="E1653">
        <v>54</v>
      </c>
      <c r="F1653" t="s">
        <v>2</v>
      </c>
      <c r="G1653">
        <f>IFERROR(VLOOKUP(Logs_reseau[[#This Row],[Cell_ID]],'[1]Registre_Maintenance_combine '!A:C,3,FALSE),"Non trouvé")</f>
        <v>-5.42171</v>
      </c>
      <c r="H1653">
        <f>IFERROR(VLOOKUP(Logs_reseau[[#This Row],[Cell_ID]],'[1]Registre_Maintenance_combine '!A:D,4,FALSE),"Non trouvé")</f>
        <v>24.202960999999998</v>
      </c>
      <c r="I1653" t="str">
        <f>IFERROR(VLOOKUP(Logs_reseau[[#This Row],[Cell_ID]],'[1]Registre_Maintenance_combine '!A:E,5,FALSE),"Non trouvé")</f>
        <v>5G</v>
      </c>
      <c r="J1653" t="str">
        <f>IFERROR(VLOOKUP(Logs_reseau[[#This Row],[Cell_ID]],'[1]Registre_Maintenance_combine '!A:F,6,FALSE),"Non trouvé")</f>
        <v>Ericsson</v>
      </c>
    </row>
    <row r="1654" spans="1:10" x14ac:dyDescent="0.25">
      <c r="A1654" t="str">
        <f>IFERROR(VLOOKUP(Logs_reseau[[#This Row],[Cell_ID]],'[1]Registre_Maintenance_combine '!A:B,2,FALSE),"Non trouvé")</f>
        <v>Tshuapa</v>
      </c>
      <c r="B1654" t="s">
        <v>644</v>
      </c>
      <c r="C1654" s="3">
        <v>45200.534722222219</v>
      </c>
      <c r="D1654" s="11">
        <f>Logs_reseau[[#This Row],[Duree_Panne_Min]]/1440</f>
        <v>3.4722222222222224E-2</v>
      </c>
      <c r="E1654">
        <v>50</v>
      </c>
      <c r="F1654" t="s">
        <v>4</v>
      </c>
      <c r="G1654">
        <f>IFERROR(VLOOKUP(Logs_reseau[[#This Row],[Cell_ID]],'[1]Registre_Maintenance_combine '!A:C,3,FALSE),"Non trouvé")</f>
        <v>-7.7587710000000003</v>
      </c>
      <c r="H1654">
        <f>IFERROR(VLOOKUP(Logs_reseau[[#This Row],[Cell_ID]],'[1]Registre_Maintenance_combine '!A:D,4,FALSE),"Non trouvé")</f>
        <v>17.880848</v>
      </c>
      <c r="I1654" t="str">
        <f>IFERROR(VLOOKUP(Logs_reseau[[#This Row],[Cell_ID]],'[1]Registre_Maintenance_combine '!A:E,5,FALSE),"Non trouvé")</f>
        <v>3G</v>
      </c>
      <c r="J1654" t="str">
        <f>IFERROR(VLOOKUP(Logs_reseau[[#This Row],[Cell_ID]],'[1]Registre_Maintenance_combine '!A:F,6,FALSE),"Non trouvé")</f>
        <v>Ericsson</v>
      </c>
    </row>
    <row r="1655" spans="1:10" x14ac:dyDescent="0.25">
      <c r="A1655" t="str">
        <f>IFERROR(VLOOKUP(Logs_reseau[[#This Row],[Cell_ID]],'[1]Registre_Maintenance_combine '!A:B,2,FALSE),"Non trouvé")</f>
        <v>Haut-Uele</v>
      </c>
      <c r="B1655" t="s">
        <v>645</v>
      </c>
      <c r="C1655" s="3">
        <v>45222.479166666664</v>
      </c>
      <c r="D1655" s="11">
        <f>Logs_reseau[[#This Row],[Duree_Panne_Min]]/1440</f>
        <v>7.7777777777777779E-2</v>
      </c>
      <c r="E1655">
        <v>112</v>
      </c>
      <c r="F1655" t="s">
        <v>2</v>
      </c>
      <c r="G1655">
        <f>IFERROR(VLOOKUP(Logs_reseau[[#This Row],[Cell_ID]],'[1]Registre_Maintenance_combine '!A:C,3,FALSE),"Non trouvé")</f>
        <v>-8.8118569999999998</v>
      </c>
      <c r="H1655">
        <f>IFERROR(VLOOKUP(Logs_reseau[[#This Row],[Cell_ID]],'[1]Registre_Maintenance_combine '!A:D,4,FALSE),"Non trouvé")</f>
        <v>14.465711000000001</v>
      </c>
      <c r="I1655" t="str">
        <f>IFERROR(VLOOKUP(Logs_reseau[[#This Row],[Cell_ID]],'[1]Registre_Maintenance_combine '!A:E,5,FALSE),"Non trouvé")</f>
        <v>5G</v>
      </c>
      <c r="J1655" t="str">
        <f>IFERROR(VLOOKUP(Logs_reseau[[#This Row],[Cell_ID]],'[1]Registre_Maintenance_combine '!A:F,6,FALSE),"Non trouvé")</f>
        <v>Nokia</v>
      </c>
    </row>
    <row r="1656" spans="1:10" x14ac:dyDescent="0.25">
      <c r="A1656" t="str">
        <f>IFERROR(VLOOKUP(Logs_reseau[[#This Row],[Cell_ID]],'[1]Registre_Maintenance_combine '!A:B,2,FALSE),"Non trouvé")</f>
        <v>Non trouvé</v>
      </c>
      <c r="B1656" t="s">
        <v>23</v>
      </c>
      <c r="C1656" s="3">
        <v>45217.640277777777</v>
      </c>
      <c r="D1656" s="11">
        <f>Logs_reseau[[#This Row],[Duree_Panne_Min]]/1440</f>
        <v>7.8472222222222221E-2</v>
      </c>
      <c r="E1656">
        <v>113</v>
      </c>
      <c r="F1656" t="s">
        <v>4</v>
      </c>
      <c r="G1656" t="str">
        <f>IFERROR(VLOOKUP(Logs_reseau[[#This Row],[Cell_ID]],'[1]Registre_Maintenance_combine '!A:C,3,FALSE),"Non trouvé")</f>
        <v>Non trouvé</v>
      </c>
      <c r="H1656" t="str">
        <f>IFERROR(VLOOKUP(Logs_reseau[[#This Row],[Cell_ID]],'[1]Registre_Maintenance_combine '!A:D,4,FALSE),"Non trouvé")</f>
        <v>Non trouvé</v>
      </c>
      <c r="I1656" t="str">
        <f>IFERROR(VLOOKUP(Logs_reseau[[#This Row],[Cell_ID]],'[1]Registre_Maintenance_combine '!A:E,5,FALSE),"Non trouvé")</f>
        <v>Non trouvé</v>
      </c>
      <c r="J1656" t="str">
        <f>IFERROR(VLOOKUP(Logs_reseau[[#This Row],[Cell_ID]],'[1]Registre_Maintenance_combine '!A:F,6,FALSE),"Non trouvé")</f>
        <v>Non trouvé</v>
      </c>
    </row>
    <row r="1657" spans="1:10" x14ac:dyDescent="0.25">
      <c r="A1657" t="str">
        <f>IFERROR(VLOOKUP(Logs_reseau[[#This Row],[Cell_ID]],'[1]Registre_Maintenance_combine '!A:B,2,FALSE),"Non trouvé")</f>
        <v>Non trouvé</v>
      </c>
      <c r="B1657" t="s">
        <v>546</v>
      </c>
      <c r="C1657" s="3">
        <v>45229.772222222222</v>
      </c>
      <c r="D1657" s="11">
        <f>Logs_reseau[[#This Row],[Duree_Panne_Min]]/1440</f>
        <v>1.8749999999999999E-2</v>
      </c>
      <c r="E1657">
        <v>27</v>
      </c>
      <c r="F1657" t="s">
        <v>1</v>
      </c>
      <c r="G1657" t="str">
        <f>IFERROR(VLOOKUP(Logs_reseau[[#This Row],[Cell_ID]],'[1]Registre_Maintenance_combine '!A:C,3,FALSE),"Non trouvé")</f>
        <v>Non trouvé</v>
      </c>
      <c r="H1657" t="str">
        <f>IFERROR(VLOOKUP(Logs_reseau[[#This Row],[Cell_ID]],'[1]Registre_Maintenance_combine '!A:D,4,FALSE),"Non trouvé")</f>
        <v>Non trouvé</v>
      </c>
      <c r="I1657" t="str">
        <f>IFERROR(VLOOKUP(Logs_reseau[[#This Row],[Cell_ID]],'[1]Registre_Maintenance_combine '!A:E,5,FALSE),"Non trouvé")</f>
        <v>Non trouvé</v>
      </c>
      <c r="J1657" t="str">
        <f>IFERROR(VLOOKUP(Logs_reseau[[#This Row],[Cell_ID]],'[1]Registre_Maintenance_combine '!A:F,6,FALSE),"Non trouvé")</f>
        <v>Non trouvé</v>
      </c>
    </row>
    <row r="1658" spans="1:10" x14ac:dyDescent="0.25">
      <c r="A1658" t="str">
        <f>IFERROR(VLOOKUP(Logs_reseau[[#This Row],[Cell_ID]],'[1]Registre_Maintenance_combine '!A:B,2,FALSE),"Non trouvé")</f>
        <v>Non trouvé</v>
      </c>
      <c r="B1658" t="s">
        <v>646</v>
      </c>
      <c r="C1658" s="3">
        <v>45210.511805555558</v>
      </c>
      <c r="D1658" s="11">
        <f>Logs_reseau[[#This Row],[Duree_Panne_Min]]/1440</f>
        <v>1.8749999999999999E-2</v>
      </c>
      <c r="E1658">
        <v>27</v>
      </c>
      <c r="F1658" t="s">
        <v>2</v>
      </c>
      <c r="G1658" t="str">
        <f>IFERROR(VLOOKUP(Logs_reseau[[#This Row],[Cell_ID]],'[1]Registre_Maintenance_combine '!A:C,3,FALSE),"Non trouvé")</f>
        <v>Non trouvé</v>
      </c>
      <c r="H1658" t="str">
        <f>IFERROR(VLOOKUP(Logs_reseau[[#This Row],[Cell_ID]],'[1]Registre_Maintenance_combine '!A:D,4,FALSE),"Non trouvé")</f>
        <v>Non trouvé</v>
      </c>
      <c r="I1658" t="str">
        <f>IFERROR(VLOOKUP(Logs_reseau[[#This Row],[Cell_ID]],'[1]Registre_Maintenance_combine '!A:E,5,FALSE),"Non trouvé")</f>
        <v>Non trouvé</v>
      </c>
      <c r="J1658" t="str">
        <f>IFERROR(VLOOKUP(Logs_reseau[[#This Row],[Cell_ID]],'[1]Registre_Maintenance_combine '!A:F,6,FALSE),"Non trouvé")</f>
        <v>Non trouvé</v>
      </c>
    </row>
    <row r="1659" spans="1:10" x14ac:dyDescent="0.25">
      <c r="A1659" t="str">
        <f>IFERROR(VLOOKUP(Logs_reseau[[#This Row],[Cell_ID]],'[1]Registre_Maintenance_combine '!A:B,2,FALSE),"Non trouvé")</f>
        <v>Nord-Ubangi</v>
      </c>
      <c r="B1659" t="s">
        <v>0</v>
      </c>
      <c r="C1659" s="3">
        <v>45205.013888888891</v>
      </c>
      <c r="D1659" s="11">
        <f>Logs_reseau[[#This Row],[Duree_Panne_Min]]/1440</f>
        <v>2.4305555555555556E-2</v>
      </c>
      <c r="E1659">
        <v>35</v>
      </c>
      <c r="F1659" t="s">
        <v>2</v>
      </c>
      <c r="G1659">
        <f>IFERROR(VLOOKUP(Logs_reseau[[#This Row],[Cell_ID]],'[1]Registre_Maintenance_combine '!A:C,3,FALSE),"Non trouvé")</f>
        <v>-8.1437910000000002</v>
      </c>
      <c r="H1659">
        <f>IFERROR(VLOOKUP(Logs_reseau[[#This Row],[Cell_ID]],'[1]Registre_Maintenance_combine '!A:D,4,FALSE),"Non trouvé")</f>
        <v>28.946161</v>
      </c>
      <c r="I1659" t="str">
        <f>IFERROR(VLOOKUP(Logs_reseau[[#This Row],[Cell_ID]],'[1]Registre_Maintenance_combine '!A:E,5,FALSE),"Non trouvé")</f>
        <v>4G</v>
      </c>
      <c r="J1659" t="str">
        <f>IFERROR(VLOOKUP(Logs_reseau[[#This Row],[Cell_ID]],'[1]Registre_Maintenance_combine '!A:F,6,FALSE),"Non trouvé")</f>
        <v>ZTE</v>
      </c>
    </row>
    <row r="1660" spans="1:10" x14ac:dyDescent="0.25">
      <c r="A1660" t="str">
        <f>IFERROR(VLOOKUP(Logs_reseau[[#This Row],[Cell_ID]],'[1]Registre_Maintenance_combine '!A:B,2,FALSE),"Non trouvé")</f>
        <v>Sankuru</v>
      </c>
      <c r="B1660" t="s">
        <v>647</v>
      </c>
      <c r="C1660" s="3">
        <v>45226.224999999999</v>
      </c>
      <c r="D1660" s="11">
        <f>Logs_reseau[[#This Row],[Duree_Panne_Min]]/1440</f>
        <v>7.6388888888888886E-3</v>
      </c>
      <c r="E1660">
        <v>11</v>
      </c>
      <c r="F1660" t="s">
        <v>2</v>
      </c>
      <c r="G1660">
        <f>IFERROR(VLOOKUP(Logs_reseau[[#This Row],[Cell_ID]],'[1]Registre_Maintenance_combine '!A:C,3,FALSE),"Non trouvé")</f>
        <v>-0.157111</v>
      </c>
      <c r="H1660">
        <f>IFERROR(VLOOKUP(Logs_reseau[[#This Row],[Cell_ID]],'[1]Registre_Maintenance_combine '!A:D,4,FALSE),"Non trouvé")</f>
        <v>25.415125</v>
      </c>
      <c r="I1660" t="str">
        <f>IFERROR(VLOOKUP(Logs_reseau[[#This Row],[Cell_ID]],'[1]Registre_Maintenance_combine '!A:E,5,FALSE),"Non trouvé")</f>
        <v>4G</v>
      </c>
      <c r="J1660" t="str">
        <f>IFERROR(VLOOKUP(Logs_reseau[[#This Row],[Cell_ID]],'[1]Registre_Maintenance_combine '!A:F,6,FALSE),"Non trouvé")</f>
        <v>Ericsson</v>
      </c>
    </row>
    <row r="1661" spans="1:10" x14ac:dyDescent="0.25">
      <c r="A1661" t="str">
        <f>IFERROR(VLOOKUP(Logs_reseau[[#This Row],[Cell_ID]],'[1]Registre_Maintenance_combine '!A:B,2,FALSE),"Non trouvé")</f>
        <v>Equateur</v>
      </c>
      <c r="B1661" t="s">
        <v>563</v>
      </c>
      <c r="C1661" s="3">
        <v>45209.988888888889</v>
      </c>
      <c r="D1661" s="11">
        <f>Logs_reseau[[#This Row],[Duree_Panne_Min]]/1440</f>
        <v>3.5416666666666666E-2</v>
      </c>
      <c r="E1661">
        <v>51</v>
      </c>
      <c r="F1661" t="s">
        <v>2</v>
      </c>
      <c r="G1661">
        <f>IFERROR(VLOOKUP(Logs_reseau[[#This Row],[Cell_ID]],'[1]Registre_Maintenance_combine '!A:C,3,FALSE),"Non trouvé")</f>
        <v>-6.1490739999999997</v>
      </c>
      <c r="H1661">
        <f>IFERROR(VLOOKUP(Logs_reseau[[#This Row],[Cell_ID]],'[1]Registre_Maintenance_combine '!A:D,4,FALSE),"Non trouvé")</f>
        <v>23.304411000000002</v>
      </c>
      <c r="I1661" t="str">
        <f>IFERROR(VLOOKUP(Logs_reseau[[#This Row],[Cell_ID]],'[1]Registre_Maintenance_combine '!A:E,5,FALSE),"Non trouvé")</f>
        <v>5G</v>
      </c>
      <c r="J1661" t="str">
        <f>IFERROR(VLOOKUP(Logs_reseau[[#This Row],[Cell_ID]],'[1]Registre_Maintenance_combine '!A:F,6,FALSE),"Non trouvé")</f>
        <v>ZTE</v>
      </c>
    </row>
    <row r="1662" spans="1:10" x14ac:dyDescent="0.25">
      <c r="A1662" t="str">
        <f>IFERROR(VLOOKUP(Logs_reseau[[#This Row],[Cell_ID]],'[1]Registre_Maintenance_combine '!A:B,2,FALSE),"Non trouvé")</f>
        <v>Non trouvé</v>
      </c>
      <c r="B1662" t="s">
        <v>65</v>
      </c>
      <c r="C1662" s="3">
        <v>45209.174305555556</v>
      </c>
      <c r="D1662" s="11">
        <f>Logs_reseau[[#This Row],[Duree_Panne_Min]]/1440</f>
        <v>3.472222222222222E-3</v>
      </c>
      <c r="E1662">
        <v>5</v>
      </c>
      <c r="F1662" t="s">
        <v>1</v>
      </c>
      <c r="G1662" t="str">
        <f>IFERROR(VLOOKUP(Logs_reseau[[#This Row],[Cell_ID]],'[1]Registre_Maintenance_combine '!A:C,3,FALSE),"Non trouvé")</f>
        <v>Non trouvé</v>
      </c>
      <c r="H1662" t="str">
        <f>IFERROR(VLOOKUP(Logs_reseau[[#This Row],[Cell_ID]],'[1]Registre_Maintenance_combine '!A:D,4,FALSE),"Non trouvé")</f>
        <v>Non trouvé</v>
      </c>
      <c r="I1662" t="str">
        <f>IFERROR(VLOOKUP(Logs_reseau[[#This Row],[Cell_ID]],'[1]Registre_Maintenance_combine '!A:E,5,FALSE),"Non trouvé")</f>
        <v>Non trouvé</v>
      </c>
      <c r="J1662" t="str">
        <f>IFERROR(VLOOKUP(Logs_reseau[[#This Row],[Cell_ID]],'[1]Registre_Maintenance_combine '!A:F,6,FALSE),"Non trouvé")</f>
        <v>Non trouvé</v>
      </c>
    </row>
    <row r="1663" spans="1:10" x14ac:dyDescent="0.25">
      <c r="A1663" t="str">
        <f>IFERROR(VLOOKUP(Logs_reseau[[#This Row],[Cell_ID]],'[1]Registre_Maintenance_combine '!A:B,2,FALSE),"Non trouvé")</f>
        <v>Non trouvé</v>
      </c>
      <c r="B1663" t="s">
        <v>156</v>
      </c>
      <c r="C1663" s="3">
        <v>45223.030555555553</v>
      </c>
      <c r="D1663" s="11">
        <f>Logs_reseau[[#This Row],[Duree_Panne_Min]]/1440</f>
        <v>4.0972222222222222E-2</v>
      </c>
      <c r="E1663">
        <v>59</v>
      </c>
      <c r="F1663" t="s">
        <v>1</v>
      </c>
      <c r="G1663" t="str">
        <f>IFERROR(VLOOKUP(Logs_reseau[[#This Row],[Cell_ID]],'[1]Registre_Maintenance_combine '!A:C,3,FALSE),"Non trouvé")</f>
        <v>Non trouvé</v>
      </c>
      <c r="H1663" t="str">
        <f>IFERROR(VLOOKUP(Logs_reseau[[#This Row],[Cell_ID]],'[1]Registre_Maintenance_combine '!A:D,4,FALSE),"Non trouvé")</f>
        <v>Non trouvé</v>
      </c>
      <c r="I1663" t="str">
        <f>IFERROR(VLOOKUP(Logs_reseau[[#This Row],[Cell_ID]],'[1]Registre_Maintenance_combine '!A:E,5,FALSE),"Non trouvé")</f>
        <v>Non trouvé</v>
      </c>
      <c r="J1663" t="str">
        <f>IFERROR(VLOOKUP(Logs_reseau[[#This Row],[Cell_ID]],'[1]Registre_Maintenance_combine '!A:F,6,FALSE),"Non trouvé")</f>
        <v>Non trouvé</v>
      </c>
    </row>
    <row r="1664" spans="1:10" x14ac:dyDescent="0.25">
      <c r="A1664" t="str">
        <f>IFERROR(VLOOKUP(Logs_reseau[[#This Row],[Cell_ID]],'[1]Registre_Maintenance_combine '!A:B,2,FALSE),"Non trouvé")</f>
        <v>Non trouvé</v>
      </c>
      <c r="B1664" t="s">
        <v>648</v>
      </c>
      <c r="C1664" s="3">
        <v>45230.767361111109</v>
      </c>
      <c r="D1664" s="11">
        <f>Logs_reseau[[#This Row],[Duree_Panne_Min]]/1440</f>
        <v>1.1111111111111112E-2</v>
      </c>
      <c r="E1664">
        <v>16</v>
      </c>
      <c r="F1664" t="s">
        <v>4</v>
      </c>
      <c r="G1664" t="str">
        <f>IFERROR(VLOOKUP(Logs_reseau[[#This Row],[Cell_ID]],'[1]Registre_Maintenance_combine '!A:C,3,FALSE),"Non trouvé")</f>
        <v>Non trouvé</v>
      </c>
      <c r="H1664" t="str">
        <f>IFERROR(VLOOKUP(Logs_reseau[[#This Row],[Cell_ID]],'[1]Registre_Maintenance_combine '!A:D,4,FALSE),"Non trouvé")</f>
        <v>Non trouvé</v>
      </c>
      <c r="I1664" t="str">
        <f>IFERROR(VLOOKUP(Logs_reseau[[#This Row],[Cell_ID]],'[1]Registre_Maintenance_combine '!A:E,5,FALSE),"Non trouvé")</f>
        <v>Non trouvé</v>
      </c>
      <c r="J1664" t="str">
        <f>IFERROR(VLOOKUP(Logs_reseau[[#This Row],[Cell_ID]],'[1]Registre_Maintenance_combine '!A:F,6,FALSE),"Non trouvé")</f>
        <v>Non trouvé</v>
      </c>
    </row>
    <row r="1665" spans="1:10" x14ac:dyDescent="0.25">
      <c r="A1665" t="str">
        <f>IFERROR(VLOOKUP(Logs_reseau[[#This Row],[Cell_ID]],'[1]Registre_Maintenance_combine '!A:B,2,FALSE),"Non trouvé")</f>
        <v>Sud-Ubangi</v>
      </c>
      <c r="B1665" t="s">
        <v>553</v>
      </c>
      <c r="C1665" s="3">
        <v>45227.751388888886</v>
      </c>
      <c r="D1665" s="11">
        <f>Logs_reseau[[#This Row],[Duree_Panne_Min]]/1440</f>
        <v>2.9166666666666667E-2</v>
      </c>
      <c r="E1665">
        <v>42</v>
      </c>
      <c r="F1665" t="s">
        <v>1</v>
      </c>
      <c r="G1665">
        <f>IFERROR(VLOOKUP(Logs_reseau[[#This Row],[Cell_ID]],'[1]Registre_Maintenance_combine '!A:C,3,FALSE),"Non trouvé")</f>
        <v>-12.050063</v>
      </c>
      <c r="H1665">
        <f>IFERROR(VLOOKUP(Logs_reseau[[#This Row],[Cell_ID]],'[1]Registre_Maintenance_combine '!A:D,4,FALSE),"Non trouvé")</f>
        <v>26.636987999999999</v>
      </c>
      <c r="I1665" t="str">
        <f>IFERROR(VLOOKUP(Logs_reseau[[#This Row],[Cell_ID]],'[1]Registre_Maintenance_combine '!A:E,5,FALSE),"Non trouvé")</f>
        <v>3G</v>
      </c>
      <c r="J1665" t="str">
        <f>IFERROR(VLOOKUP(Logs_reseau[[#This Row],[Cell_ID]],'[1]Registre_Maintenance_combine '!A:F,6,FALSE),"Non trouvé")</f>
        <v>Nokia</v>
      </c>
    </row>
    <row r="1666" spans="1:10" x14ac:dyDescent="0.25">
      <c r="A1666" t="str">
        <f>IFERROR(VLOOKUP(Logs_reseau[[#This Row],[Cell_ID]],'[1]Registre_Maintenance_combine '!A:B,2,FALSE),"Non trouvé")</f>
        <v>Non trouvé</v>
      </c>
      <c r="B1666" t="s">
        <v>649</v>
      </c>
      <c r="C1666" s="3">
        <v>45205.805555555555</v>
      </c>
      <c r="D1666" s="11">
        <f>Logs_reseau[[#This Row],[Duree_Panne_Min]]/1440</f>
        <v>7.6388888888888895E-2</v>
      </c>
      <c r="E1666">
        <v>110</v>
      </c>
      <c r="F1666" t="s">
        <v>1</v>
      </c>
      <c r="G1666" t="str">
        <f>IFERROR(VLOOKUP(Logs_reseau[[#This Row],[Cell_ID]],'[1]Registre_Maintenance_combine '!A:C,3,FALSE),"Non trouvé")</f>
        <v>Non trouvé</v>
      </c>
      <c r="H1666" t="str">
        <f>IFERROR(VLOOKUP(Logs_reseau[[#This Row],[Cell_ID]],'[1]Registre_Maintenance_combine '!A:D,4,FALSE),"Non trouvé")</f>
        <v>Non trouvé</v>
      </c>
      <c r="I1666" t="str">
        <f>IFERROR(VLOOKUP(Logs_reseau[[#This Row],[Cell_ID]],'[1]Registre_Maintenance_combine '!A:E,5,FALSE),"Non trouvé")</f>
        <v>Non trouvé</v>
      </c>
      <c r="J1666" t="str">
        <f>IFERROR(VLOOKUP(Logs_reseau[[#This Row],[Cell_ID]],'[1]Registre_Maintenance_combine '!A:F,6,FALSE),"Non trouvé")</f>
        <v>Non trouvé</v>
      </c>
    </row>
    <row r="1667" spans="1:10" x14ac:dyDescent="0.25">
      <c r="A1667" t="str">
        <f>IFERROR(VLOOKUP(Logs_reseau[[#This Row],[Cell_ID]],'[1]Registre_Maintenance_combine '!A:B,2,FALSE),"Non trouvé")</f>
        <v>Non trouvé</v>
      </c>
      <c r="B1667" t="s">
        <v>101</v>
      </c>
      <c r="C1667" s="3">
        <v>45229.801388888889</v>
      </c>
      <c r="D1667" s="11">
        <f>Logs_reseau[[#This Row],[Duree_Panne_Min]]/1440</f>
        <v>6.1805555555555558E-2</v>
      </c>
      <c r="E1667">
        <v>89</v>
      </c>
      <c r="F1667" t="s">
        <v>1</v>
      </c>
      <c r="G1667" t="str">
        <f>IFERROR(VLOOKUP(Logs_reseau[[#This Row],[Cell_ID]],'[1]Registre_Maintenance_combine '!A:C,3,FALSE),"Non trouvé")</f>
        <v>Non trouvé</v>
      </c>
      <c r="H1667" t="str">
        <f>IFERROR(VLOOKUP(Logs_reseau[[#This Row],[Cell_ID]],'[1]Registre_Maintenance_combine '!A:D,4,FALSE),"Non trouvé")</f>
        <v>Non trouvé</v>
      </c>
      <c r="I1667" t="str">
        <f>IFERROR(VLOOKUP(Logs_reseau[[#This Row],[Cell_ID]],'[1]Registre_Maintenance_combine '!A:E,5,FALSE),"Non trouvé")</f>
        <v>Non trouvé</v>
      </c>
      <c r="J1667" t="str">
        <f>IFERROR(VLOOKUP(Logs_reseau[[#This Row],[Cell_ID]],'[1]Registre_Maintenance_combine '!A:F,6,FALSE),"Non trouvé")</f>
        <v>Non trouvé</v>
      </c>
    </row>
    <row r="1668" spans="1:10" x14ac:dyDescent="0.25">
      <c r="A1668" t="str">
        <f>IFERROR(VLOOKUP(Logs_reseau[[#This Row],[Cell_ID]],'[1]Registre_Maintenance_combine '!A:B,2,FALSE),"Non trouvé")</f>
        <v>Lualaba</v>
      </c>
      <c r="B1668" t="s">
        <v>89</v>
      </c>
      <c r="C1668" s="3">
        <v>45220.754166666666</v>
      </c>
      <c r="D1668" s="11">
        <f>Logs_reseau[[#This Row],[Duree_Panne_Min]]/1440</f>
        <v>5.9027777777777776E-2</v>
      </c>
      <c r="E1668">
        <v>85</v>
      </c>
      <c r="F1668" t="s">
        <v>1</v>
      </c>
      <c r="G1668">
        <f>IFERROR(VLOOKUP(Logs_reseau[[#This Row],[Cell_ID]],'[1]Registre_Maintenance_combine '!A:C,3,FALSE),"Non trouvé")</f>
        <v>-9.7803979999999999</v>
      </c>
      <c r="H1668">
        <f>IFERROR(VLOOKUP(Logs_reseau[[#This Row],[Cell_ID]],'[1]Registre_Maintenance_combine '!A:D,4,FALSE),"Non trouvé")</f>
        <v>17.686595000000001</v>
      </c>
      <c r="I1668" t="str">
        <f>IFERROR(VLOOKUP(Logs_reseau[[#This Row],[Cell_ID]],'[1]Registre_Maintenance_combine '!A:E,5,FALSE),"Non trouvé")</f>
        <v>4G</v>
      </c>
      <c r="J1668" t="str">
        <f>IFERROR(VLOOKUP(Logs_reseau[[#This Row],[Cell_ID]],'[1]Registre_Maintenance_combine '!A:F,6,FALSE),"Non trouvé")</f>
        <v>Ericsson</v>
      </c>
    </row>
    <row r="1669" spans="1:10" x14ac:dyDescent="0.25">
      <c r="A1669" t="str">
        <f>IFERROR(VLOOKUP(Logs_reseau[[#This Row],[Cell_ID]],'[1]Registre_Maintenance_combine '!A:B,2,FALSE),"Non trouvé")</f>
        <v>Tshuapa</v>
      </c>
      <c r="B1669" t="s">
        <v>650</v>
      </c>
      <c r="C1669" s="3">
        <v>45229.631249999999</v>
      </c>
      <c r="D1669" s="11">
        <f>Logs_reseau[[#This Row],[Duree_Panne_Min]]/1440</f>
        <v>5.6250000000000001E-2</v>
      </c>
      <c r="E1669">
        <v>81</v>
      </c>
      <c r="F1669" t="s">
        <v>1</v>
      </c>
      <c r="G1669">
        <f>IFERROR(VLOOKUP(Logs_reseau[[#This Row],[Cell_ID]],'[1]Registre_Maintenance_combine '!A:C,3,FALSE),"Non trouvé")</f>
        <v>-10.574821</v>
      </c>
      <c r="H1669">
        <f>IFERROR(VLOOKUP(Logs_reseau[[#This Row],[Cell_ID]],'[1]Registre_Maintenance_combine '!A:D,4,FALSE),"Non trouvé")</f>
        <v>25.324966</v>
      </c>
      <c r="I1669" t="str">
        <f>IFERROR(VLOOKUP(Logs_reseau[[#This Row],[Cell_ID]],'[1]Registre_Maintenance_combine '!A:E,5,FALSE),"Non trouvé")</f>
        <v>5G</v>
      </c>
      <c r="J1669" t="str">
        <f>IFERROR(VLOOKUP(Logs_reseau[[#This Row],[Cell_ID]],'[1]Registre_Maintenance_combine '!A:F,6,FALSE),"Non trouvé")</f>
        <v>Ericsson</v>
      </c>
    </row>
    <row r="1670" spans="1:10" x14ac:dyDescent="0.25">
      <c r="A1670" t="str">
        <f>IFERROR(VLOOKUP(Logs_reseau[[#This Row],[Cell_ID]],'[1]Registre_Maintenance_combine '!A:B,2,FALSE),"Non trouvé")</f>
        <v>Kinshasa</v>
      </c>
      <c r="B1670" t="s">
        <v>333</v>
      </c>
      <c r="C1670" s="3">
        <v>45210.961111111108</v>
      </c>
      <c r="D1670" s="11">
        <f>Logs_reseau[[#This Row],[Duree_Panne_Min]]/1440</f>
        <v>4.583333333333333E-2</v>
      </c>
      <c r="E1670">
        <v>66</v>
      </c>
      <c r="F1670" t="s">
        <v>1</v>
      </c>
      <c r="G1670">
        <f>IFERROR(VLOOKUP(Logs_reseau[[#This Row],[Cell_ID]],'[1]Registre_Maintenance_combine '!A:C,3,FALSE),"Non trouvé")</f>
        <v>-11.991020000000001</v>
      </c>
      <c r="H1670">
        <f>IFERROR(VLOOKUP(Logs_reseau[[#This Row],[Cell_ID]],'[1]Registre_Maintenance_combine '!A:D,4,FALSE),"Non trouvé")</f>
        <v>22.514747</v>
      </c>
      <c r="I1670" t="str">
        <f>IFERROR(VLOOKUP(Logs_reseau[[#This Row],[Cell_ID]],'[1]Registre_Maintenance_combine '!A:E,5,FALSE),"Non trouvé")</f>
        <v>5G</v>
      </c>
      <c r="J1670" t="str">
        <f>IFERROR(VLOOKUP(Logs_reseau[[#This Row],[Cell_ID]],'[1]Registre_Maintenance_combine '!A:F,6,FALSE),"Non trouvé")</f>
        <v>ZTE</v>
      </c>
    </row>
    <row r="1671" spans="1:10" x14ac:dyDescent="0.25">
      <c r="A1671" t="str">
        <f>IFERROR(VLOOKUP(Logs_reseau[[#This Row],[Cell_ID]],'[1]Registre_Maintenance_combine '!A:B,2,FALSE),"Non trouvé")</f>
        <v>Non trouvé</v>
      </c>
      <c r="B1671" t="s">
        <v>651</v>
      </c>
      <c r="C1671" s="3">
        <v>45207.472222222219</v>
      </c>
      <c r="D1671" s="11">
        <f>Logs_reseau[[#This Row],[Duree_Panne_Min]]/1440</f>
        <v>2.0833333333333332E-2</v>
      </c>
      <c r="E1671">
        <v>30</v>
      </c>
      <c r="F1671" t="s">
        <v>4</v>
      </c>
      <c r="G1671" t="str">
        <f>IFERROR(VLOOKUP(Logs_reseau[[#This Row],[Cell_ID]],'[1]Registre_Maintenance_combine '!A:C,3,FALSE),"Non trouvé")</f>
        <v>Non trouvé</v>
      </c>
      <c r="H1671" t="str">
        <f>IFERROR(VLOOKUP(Logs_reseau[[#This Row],[Cell_ID]],'[1]Registre_Maintenance_combine '!A:D,4,FALSE),"Non trouvé")</f>
        <v>Non trouvé</v>
      </c>
      <c r="I1671" t="str">
        <f>IFERROR(VLOOKUP(Logs_reseau[[#This Row],[Cell_ID]],'[1]Registre_Maintenance_combine '!A:E,5,FALSE),"Non trouvé")</f>
        <v>Non trouvé</v>
      </c>
      <c r="J1671" t="str">
        <f>IFERROR(VLOOKUP(Logs_reseau[[#This Row],[Cell_ID]],'[1]Registre_Maintenance_combine '!A:F,6,FALSE),"Non trouvé")</f>
        <v>Non trouvé</v>
      </c>
    </row>
    <row r="1672" spans="1:10" x14ac:dyDescent="0.25">
      <c r="A1672" t="str">
        <f>IFERROR(VLOOKUP(Logs_reseau[[#This Row],[Cell_ID]],'[1]Registre_Maintenance_combine '!A:B,2,FALSE),"Non trouvé")</f>
        <v>Non trouvé</v>
      </c>
      <c r="B1672" t="s">
        <v>652</v>
      </c>
      <c r="C1672" s="3">
        <v>45205.87222222222</v>
      </c>
      <c r="D1672" s="11">
        <f>Logs_reseau[[#This Row],[Duree_Panne_Min]]/1440</f>
        <v>1.1805555555555555E-2</v>
      </c>
      <c r="E1672">
        <v>17</v>
      </c>
      <c r="F1672" t="s">
        <v>1</v>
      </c>
      <c r="G1672" t="str">
        <f>IFERROR(VLOOKUP(Logs_reseau[[#This Row],[Cell_ID]],'[1]Registre_Maintenance_combine '!A:C,3,FALSE),"Non trouvé")</f>
        <v>Non trouvé</v>
      </c>
      <c r="H1672" t="str">
        <f>IFERROR(VLOOKUP(Logs_reseau[[#This Row],[Cell_ID]],'[1]Registre_Maintenance_combine '!A:D,4,FALSE),"Non trouvé")</f>
        <v>Non trouvé</v>
      </c>
      <c r="I1672" t="str">
        <f>IFERROR(VLOOKUP(Logs_reseau[[#This Row],[Cell_ID]],'[1]Registre_Maintenance_combine '!A:E,5,FALSE),"Non trouvé")</f>
        <v>Non trouvé</v>
      </c>
      <c r="J1672" t="str">
        <f>IFERROR(VLOOKUP(Logs_reseau[[#This Row],[Cell_ID]],'[1]Registre_Maintenance_combine '!A:F,6,FALSE),"Non trouvé")</f>
        <v>Non trouvé</v>
      </c>
    </row>
    <row r="1673" spans="1:10" x14ac:dyDescent="0.25">
      <c r="A1673" t="str">
        <f>IFERROR(VLOOKUP(Logs_reseau[[#This Row],[Cell_ID]],'[1]Registre_Maintenance_combine '!A:B,2,FALSE),"Non trouvé")</f>
        <v>Lualaba</v>
      </c>
      <c r="B1673" t="s">
        <v>349</v>
      </c>
      <c r="C1673" s="3">
        <v>45230.119444444441</v>
      </c>
      <c r="D1673" s="11">
        <f>Logs_reseau[[#This Row],[Duree_Panne_Min]]/1440</f>
        <v>5.5555555555555558E-3</v>
      </c>
      <c r="E1673">
        <v>8</v>
      </c>
      <c r="F1673" t="s">
        <v>2</v>
      </c>
      <c r="G1673">
        <f>IFERROR(VLOOKUP(Logs_reseau[[#This Row],[Cell_ID]],'[1]Registre_Maintenance_combine '!A:C,3,FALSE),"Non trouvé")</f>
        <v>-9.5243310000000001</v>
      </c>
      <c r="H1673">
        <f>IFERROR(VLOOKUP(Logs_reseau[[#This Row],[Cell_ID]],'[1]Registre_Maintenance_combine '!A:D,4,FALSE),"Non trouvé")</f>
        <v>30.541212000000002</v>
      </c>
      <c r="I1673" t="str">
        <f>IFERROR(VLOOKUP(Logs_reseau[[#This Row],[Cell_ID]],'[1]Registre_Maintenance_combine '!A:E,5,FALSE),"Non trouvé")</f>
        <v>3G</v>
      </c>
      <c r="J1673" t="str">
        <f>IFERROR(VLOOKUP(Logs_reseau[[#This Row],[Cell_ID]],'[1]Registre_Maintenance_combine '!A:F,6,FALSE),"Non trouvé")</f>
        <v>Ericsson</v>
      </c>
    </row>
    <row r="1674" spans="1:10" x14ac:dyDescent="0.25">
      <c r="A1674" t="str">
        <f>IFERROR(VLOOKUP(Logs_reseau[[#This Row],[Cell_ID]],'[1]Registre_Maintenance_combine '!A:B,2,FALSE),"Non trouvé")</f>
        <v>Sankuru</v>
      </c>
      <c r="B1674" t="s">
        <v>387</v>
      </c>
      <c r="C1674" s="3">
        <v>45222.902777777781</v>
      </c>
      <c r="D1674" s="11">
        <f>Logs_reseau[[#This Row],[Duree_Panne_Min]]/1440</f>
        <v>2.1527777777777778E-2</v>
      </c>
      <c r="E1674">
        <v>31</v>
      </c>
      <c r="F1674" t="s">
        <v>4</v>
      </c>
      <c r="G1674">
        <f>IFERROR(VLOOKUP(Logs_reseau[[#This Row],[Cell_ID]],'[1]Registre_Maintenance_combine '!A:C,3,FALSE),"Non trouvé")</f>
        <v>-7.5969509999999998</v>
      </c>
      <c r="H1674">
        <f>IFERROR(VLOOKUP(Logs_reseau[[#This Row],[Cell_ID]],'[1]Registre_Maintenance_combine '!A:D,4,FALSE),"Non trouvé")</f>
        <v>22.153986</v>
      </c>
      <c r="I1674" t="str">
        <f>IFERROR(VLOOKUP(Logs_reseau[[#This Row],[Cell_ID]],'[1]Registre_Maintenance_combine '!A:E,5,FALSE),"Non trouvé")</f>
        <v>3G</v>
      </c>
      <c r="J1674" t="str">
        <f>IFERROR(VLOOKUP(Logs_reseau[[#This Row],[Cell_ID]],'[1]Registre_Maintenance_combine '!A:F,6,FALSE),"Non trouvé")</f>
        <v>Ericsson</v>
      </c>
    </row>
    <row r="1675" spans="1:10" x14ac:dyDescent="0.25">
      <c r="A1675" t="str">
        <f>IFERROR(VLOOKUP(Logs_reseau[[#This Row],[Cell_ID]],'[1]Registre_Maintenance_combine '!A:B,2,FALSE),"Non trouvé")</f>
        <v>Bas-Uele</v>
      </c>
      <c r="B1675" t="s">
        <v>353</v>
      </c>
      <c r="C1675" s="3">
        <v>45223.436111111114</v>
      </c>
      <c r="D1675" s="11">
        <f>Logs_reseau[[#This Row],[Duree_Panne_Min]]/1440</f>
        <v>1.8055555555555554E-2</v>
      </c>
      <c r="E1675">
        <v>26</v>
      </c>
      <c r="F1675" t="s">
        <v>1</v>
      </c>
      <c r="G1675">
        <f>IFERROR(VLOOKUP(Logs_reseau[[#This Row],[Cell_ID]],'[1]Registre_Maintenance_combine '!A:C,3,FALSE),"Non trouvé")</f>
        <v>1.5278670000000001</v>
      </c>
      <c r="H1675">
        <f>IFERROR(VLOOKUP(Logs_reseau[[#This Row],[Cell_ID]],'[1]Registre_Maintenance_combine '!A:D,4,FALSE),"Non trouvé")</f>
        <v>13.899388999999999</v>
      </c>
      <c r="I1675" t="str">
        <f>IFERROR(VLOOKUP(Logs_reseau[[#This Row],[Cell_ID]],'[1]Registre_Maintenance_combine '!A:E,5,FALSE),"Non trouvé")</f>
        <v>3G</v>
      </c>
      <c r="J1675" t="str">
        <f>IFERROR(VLOOKUP(Logs_reseau[[#This Row],[Cell_ID]],'[1]Registre_Maintenance_combine '!A:F,6,FALSE),"Non trouvé")</f>
        <v>Huawei</v>
      </c>
    </row>
    <row r="1676" spans="1:10" x14ac:dyDescent="0.25">
      <c r="A1676" t="str">
        <f>IFERROR(VLOOKUP(Logs_reseau[[#This Row],[Cell_ID]],'[1]Registre_Maintenance_combine '!A:B,2,FALSE),"Non trouvé")</f>
        <v>Haut-Lomami</v>
      </c>
      <c r="B1676" t="s">
        <v>421</v>
      </c>
      <c r="C1676" s="3">
        <v>45200.342361111114</v>
      </c>
      <c r="D1676" s="11">
        <f>Logs_reseau[[#This Row],[Duree_Panne_Min]]/1440</f>
        <v>5.9722222222222225E-2</v>
      </c>
      <c r="E1676">
        <v>86</v>
      </c>
      <c r="F1676" t="s">
        <v>2</v>
      </c>
      <c r="G1676">
        <f>IFERROR(VLOOKUP(Logs_reseau[[#This Row],[Cell_ID]],'[1]Registre_Maintenance_combine '!A:C,3,FALSE),"Non trouvé")</f>
        <v>2.628638</v>
      </c>
      <c r="H1676">
        <f>IFERROR(VLOOKUP(Logs_reseau[[#This Row],[Cell_ID]],'[1]Registre_Maintenance_combine '!A:D,4,FALSE),"Non trouvé")</f>
        <v>28.420582</v>
      </c>
      <c r="I1676" t="str">
        <f>IFERROR(VLOOKUP(Logs_reseau[[#This Row],[Cell_ID]],'[1]Registre_Maintenance_combine '!A:E,5,FALSE),"Non trouvé")</f>
        <v>4G</v>
      </c>
      <c r="J1676" t="str">
        <f>IFERROR(VLOOKUP(Logs_reseau[[#This Row],[Cell_ID]],'[1]Registre_Maintenance_combine '!A:F,6,FALSE),"Non trouvé")</f>
        <v>Huawei</v>
      </c>
    </row>
    <row r="1677" spans="1:10" x14ac:dyDescent="0.25">
      <c r="A1677" t="str">
        <f>IFERROR(VLOOKUP(Logs_reseau[[#This Row],[Cell_ID]],'[1]Registre_Maintenance_combine '!A:B,2,FALSE),"Non trouvé")</f>
        <v>Non trouvé</v>
      </c>
      <c r="B1677" t="s">
        <v>653</v>
      </c>
      <c r="C1677" s="3">
        <v>45207.919444444444</v>
      </c>
      <c r="D1677" s="11">
        <f>Logs_reseau[[#This Row],[Duree_Panne_Min]]/1440</f>
        <v>2.9166666666666667E-2</v>
      </c>
      <c r="E1677">
        <v>42</v>
      </c>
      <c r="F1677" t="s">
        <v>1</v>
      </c>
      <c r="G1677" t="str">
        <f>IFERROR(VLOOKUP(Logs_reseau[[#This Row],[Cell_ID]],'[1]Registre_Maintenance_combine '!A:C,3,FALSE),"Non trouvé")</f>
        <v>Non trouvé</v>
      </c>
      <c r="H1677" t="str">
        <f>IFERROR(VLOOKUP(Logs_reseau[[#This Row],[Cell_ID]],'[1]Registre_Maintenance_combine '!A:D,4,FALSE),"Non trouvé")</f>
        <v>Non trouvé</v>
      </c>
      <c r="I1677" t="str">
        <f>IFERROR(VLOOKUP(Logs_reseau[[#This Row],[Cell_ID]],'[1]Registre_Maintenance_combine '!A:E,5,FALSE),"Non trouvé")</f>
        <v>Non trouvé</v>
      </c>
      <c r="J1677" t="str">
        <f>IFERROR(VLOOKUP(Logs_reseau[[#This Row],[Cell_ID]],'[1]Registre_Maintenance_combine '!A:F,6,FALSE),"Non trouvé")</f>
        <v>Non trouvé</v>
      </c>
    </row>
    <row r="1678" spans="1:10" x14ac:dyDescent="0.25">
      <c r="A1678" t="str">
        <f>IFERROR(VLOOKUP(Logs_reseau[[#This Row],[Cell_ID]],'[1]Registre_Maintenance_combine '!A:B,2,FALSE),"Non trouvé")</f>
        <v>Non trouvé</v>
      </c>
      <c r="B1678" t="s">
        <v>332</v>
      </c>
      <c r="C1678" s="3">
        <v>45211.368055555555</v>
      </c>
      <c r="D1678" s="11">
        <f>Logs_reseau[[#This Row],[Duree_Panne_Min]]/1440</f>
        <v>1.0416666666666666E-2</v>
      </c>
      <c r="E1678">
        <v>15</v>
      </c>
      <c r="F1678" t="s">
        <v>2</v>
      </c>
      <c r="G1678" t="str">
        <f>IFERROR(VLOOKUP(Logs_reseau[[#This Row],[Cell_ID]],'[1]Registre_Maintenance_combine '!A:C,3,FALSE),"Non trouvé")</f>
        <v>Non trouvé</v>
      </c>
      <c r="H1678" t="str">
        <f>IFERROR(VLOOKUP(Logs_reseau[[#This Row],[Cell_ID]],'[1]Registre_Maintenance_combine '!A:D,4,FALSE),"Non trouvé")</f>
        <v>Non trouvé</v>
      </c>
      <c r="I1678" t="str">
        <f>IFERROR(VLOOKUP(Logs_reseau[[#This Row],[Cell_ID]],'[1]Registre_Maintenance_combine '!A:E,5,FALSE),"Non trouvé")</f>
        <v>Non trouvé</v>
      </c>
      <c r="J1678" t="str">
        <f>IFERROR(VLOOKUP(Logs_reseau[[#This Row],[Cell_ID]],'[1]Registre_Maintenance_combine '!A:F,6,FALSE),"Non trouvé")</f>
        <v>Non trouvé</v>
      </c>
    </row>
    <row r="1679" spans="1:10" x14ac:dyDescent="0.25">
      <c r="A1679" t="str">
        <f>IFERROR(VLOOKUP(Logs_reseau[[#This Row],[Cell_ID]],'[1]Registre_Maintenance_combine '!A:B,2,FALSE),"Non trouvé")</f>
        <v>Non trouvé</v>
      </c>
      <c r="B1679" t="s">
        <v>64</v>
      </c>
      <c r="C1679" s="3">
        <v>45203.958333333336</v>
      </c>
      <c r="D1679" s="11">
        <f>Logs_reseau[[#This Row],[Duree_Panne_Min]]/1440</f>
        <v>4.5138888888888888E-2</v>
      </c>
      <c r="E1679">
        <v>65</v>
      </c>
      <c r="F1679" t="s">
        <v>4</v>
      </c>
      <c r="G1679" t="str">
        <f>IFERROR(VLOOKUP(Logs_reseau[[#This Row],[Cell_ID]],'[1]Registre_Maintenance_combine '!A:C,3,FALSE),"Non trouvé")</f>
        <v>Non trouvé</v>
      </c>
      <c r="H1679" t="str">
        <f>IFERROR(VLOOKUP(Logs_reseau[[#This Row],[Cell_ID]],'[1]Registre_Maintenance_combine '!A:D,4,FALSE),"Non trouvé")</f>
        <v>Non trouvé</v>
      </c>
      <c r="I1679" t="str">
        <f>IFERROR(VLOOKUP(Logs_reseau[[#This Row],[Cell_ID]],'[1]Registre_Maintenance_combine '!A:E,5,FALSE),"Non trouvé")</f>
        <v>Non trouvé</v>
      </c>
      <c r="J1679" t="str">
        <f>IFERROR(VLOOKUP(Logs_reseau[[#This Row],[Cell_ID]],'[1]Registre_Maintenance_combine '!A:F,6,FALSE),"Non trouvé")</f>
        <v>Non trouvé</v>
      </c>
    </row>
    <row r="1680" spans="1:10" x14ac:dyDescent="0.25">
      <c r="A1680" t="str">
        <f>IFERROR(VLOOKUP(Logs_reseau[[#This Row],[Cell_ID]],'[1]Registre_Maintenance_combine '!A:B,2,FALSE),"Non trouvé")</f>
        <v>Non trouvé</v>
      </c>
      <c r="B1680" t="s">
        <v>292</v>
      </c>
      <c r="C1680" s="3">
        <v>45201.519444444442</v>
      </c>
      <c r="D1680" s="11">
        <f>Logs_reseau[[#This Row],[Duree_Panne_Min]]/1440</f>
        <v>7.8472222222222221E-2</v>
      </c>
      <c r="E1680">
        <v>113</v>
      </c>
      <c r="F1680" t="s">
        <v>4</v>
      </c>
      <c r="G1680" t="str">
        <f>IFERROR(VLOOKUP(Logs_reseau[[#This Row],[Cell_ID]],'[1]Registre_Maintenance_combine '!A:C,3,FALSE),"Non trouvé")</f>
        <v>Non trouvé</v>
      </c>
      <c r="H1680" t="str">
        <f>IFERROR(VLOOKUP(Logs_reseau[[#This Row],[Cell_ID]],'[1]Registre_Maintenance_combine '!A:D,4,FALSE),"Non trouvé")</f>
        <v>Non trouvé</v>
      </c>
      <c r="I1680" t="str">
        <f>IFERROR(VLOOKUP(Logs_reseau[[#This Row],[Cell_ID]],'[1]Registre_Maintenance_combine '!A:E,5,FALSE),"Non trouvé")</f>
        <v>Non trouvé</v>
      </c>
      <c r="J1680" t="str">
        <f>IFERROR(VLOOKUP(Logs_reseau[[#This Row],[Cell_ID]],'[1]Registre_Maintenance_combine '!A:F,6,FALSE),"Non trouvé")</f>
        <v>Non trouvé</v>
      </c>
    </row>
    <row r="1681" spans="1:10" x14ac:dyDescent="0.25">
      <c r="A1681" t="str">
        <f>IFERROR(VLOOKUP(Logs_reseau[[#This Row],[Cell_ID]],'[1]Registre_Maintenance_combine '!A:B,2,FALSE),"Non trouvé")</f>
        <v>Non trouvé</v>
      </c>
      <c r="B1681" t="s">
        <v>611</v>
      </c>
      <c r="C1681" s="3">
        <v>45223.548611111109</v>
      </c>
      <c r="D1681" s="11">
        <f>Logs_reseau[[#This Row],[Duree_Panne_Min]]/1440</f>
        <v>1.3194444444444444E-2</v>
      </c>
      <c r="E1681">
        <v>19</v>
      </c>
      <c r="F1681" t="s">
        <v>2</v>
      </c>
      <c r="G1681" t="str">
        <f>IFERROR(VLOOKUP(Logs_reseau[[#This Row],[Cell_ID]],'[1]Registre_Maintenance_combine '!A:C,3,FALSE),"Non trouvé")</f>
        <v>Non trouvé</v>
      </c>
      <c r="H1681" t="str">
        <f>IFERROR(VLOOKUP(Logs_reseau[[#This Row],[Cell_ID]],'[1]Registre_Maintenance_combine '!A:D,4,FALSE),"Non trouvé")</f>
        <v>Non trouvé</v>
      </c>
      <c r="I1681" t="str">
        <f>IFERROR(VLOOKUP(Logs_reseau[[#This Row],[Cell_ID]],'[1]Registre_Maintenance_combine '!A:E,5,FALSE),"Non trouvé")</f>
        <v>Non trouvé</v>
      </c>
      <c r="J1681" t="str">
        <f>IFERROR(VLOOKUP(Logs_reseau[[#This Row],[Cell_ID]],'[1]Registre_Maintenance_combine '!A:F,6,FALSE),"Non trouvé")</f>
        <v>Non trouvé</v>
      </c>
    </row>
    <row r="1682" spans="1:10" x14ac:dyDescent="0.25">
      <c r="A1682" t="str">
        <f>IFERROR(VLOOKUP(Logs_reseau[[#This Row],[Cell_ID]],'[1]Registre_Maintenance_combine '!A:B,2,FALSE),"Non trouvé")</f>
        <v>Tshopo</v>
      </c>
      <c r="B1682" t="s">
        <v>573</v>
      </c>
      <c r="C1682" s="3">
        <v>45228.563194444447</v>
      </c>
      <c r="D1682" s="11">
        <f>Logs_reseau[[#This Row],[Duree_Panne_Min]]/1440</f>
        <v>3.0555555555555555E-2</v>
      </c>
      <c r="E1682">
        <v>44</v>
      </c>
      <c r="F1682" t="s">
        <v>1</v>
      </c>
      <c r="G1682">
        <f>IFERROR(VLOOKUP(Logs_reseau[[#This Row],[Cell_ID]],'[1]Registre_Maintenance_combine '!A:C,3,FALSE),"Non trouvé")</f>
        <v>-11.265995</v>
      </c>
      <c r="H1682">
        <f>IFERROR(VLOOKUP(Logs_reseau[[#This Row],[Cell_ID]],'[1]Registre_Maintenance_combine '!A:D,4,FALSE),"Non trouvé")</f>
        <v>28.935514999999999</v>
      </c>
      <c r="I1682" t="str">
        <f>IFERROR(VLOOKUP(Logs_reseau[[#This Row],[Cell_ID]],'[1]Registre_Maintenance_combine '!A:E,5,FALSE),"Non trouvé")</f>
        <v>4G</v>
      </c>
      <c r="J1682" t="str">
        <f>IFERROR(VLOOKUP(Logs_reseau[[#This Row],[Cell_ID]],'[1]Registre_Maintenance_combine '!A:F,6,FALSE),"Non trouvé")</f>
        <v>Ericsson</v>
      </c>
    </row>
    <row r="1683" spans="1:10" x14ac:dyDescent="0.25">
      <c r="A1683" t="str">
        <f>IFERROR(VLOOKUP(Logs_reseau[[#This Row],[Cell_ID]],'[1]Registre_Maintenance_combine '!A:B,2,FALSE),"Non trouvé")</f>
        <v>Tshopo</v>
      </c>
      <c r="B1683" t="s">
        <v>654</v>
      </c>
      <c r="C1683" s="3">
        <v>45228.515277777777</v>
      </c>
      <c r="D1683" s="11">
        <f>Logs_reseau[[#This Row],[Duree_Panne_Min]]/1440</f>
        <v>7.2916666666666671E-2</v>
      </c>
      <c r="E1683">
        <v>105</v>
      </c>
      <c r="F1683" t="s">
        <v>1</v>
      </c>
      <c r="G1683">
        <f>IFERROR(VLOOKUP(Logs_reseau[[#This Row],[Cell_ID]],'[1]Registre_Maintenance_combine '!A:C,3,FALSE),"Non trouvé")</f>
        <v>-0.919767</v>
      </c>
      <c r="H1683">
        <f>IFERROR(VLOOKUP(Logs_reseau[[#This Row],[Cell_ID]],'[1]Registre_Maintenance_combine '!A:D,4,FALSE),"Non trouvé")</f>
        <v>18.905538</v>
      </c>
      <c r="I1683" t="str">
        <f>IFERROR(VLOOKUP(Logs_reseau[[#This Row],[Cell_ID]],'[1]Registre_Maintenance_combine '!A:E,5,FALSE),"Non trouvé")</f>
        <v>5G</v>
      </c>
      <c r="J1683" t="str">
        <f>IFERROR(VLOOKUP(Logs_reseau[[#This Row],[Cell_ID]],'[1]Registre_Maintenance_combine '!A:F,6,FALSE),"Non trouvé")</f>
        <v>Ericsson</v>
      </c>
    </row>
    <row r="1684" spans="1:10" x14ac:dyDescent="0.25">
      <c r="A1684" t="str">
        <f>IFERROR(VLOOKUP(Logs_reseau[[#This Row],[Cell_ID]],'[1]Registre_Maintenance_combine '!A:B,2,FALSE),"Non trouvé")</f>
        <v>Non trouvé</v>
      </c>
      <c r="B1684" t="s">
        <v>442</v>
      </c>
      <c r="C1684" s="3">
        <v>45217.504166666666</v>
      </c>
      <c r="D1684" s="11">
        <f>Logs_reseau[[#This Row],[Duree_Panne_Min]]/1440</f>
        <v>3.8194444444444448E-2</v>
      </c>
      <c r="E1684">
        <v>55</v>
      </c>
      <c r="F1684" t="s">
        <v>4</v>
      </c>
      <c r="G1684" t="str">
        <f>IFERROR(VLOOKUP(Logs_reseau[[#This Row],[Cell_ID]],'[1]Registre_Maintenance_combine '!A:C,3,FALSE),"Non trouvé")</f>
        <v>Non trouvé</v>
      </c>
      <c r="H1684" t="str">
        <f>IFERROR(VLOOKUP(Logs_reseau[[#This Row],[Cell_ID]],'[1]Registre_Maintenance_combine '!A:D,4,FALSE),"Non trouvé")</f>
        <v>Non trouvé</v>
      </c>
      <c r="I1684" t="str">
        <f>IFERROR(VLOOKUP(Logs_reseau[[#This Row],[Cell_ID]],'[1]Registre_Maintenance_combine '!A:E,5,FALSE),"Non trouvé")</f>
        <v>Non trouvé</v>
      </c>
      <c r="J1684" t="str">
        <f>IFERROR(VLOOKUP(Logs_reseau[[#This Row],[Cell_ID]],'[1]Registre_Maintenance_combine '!A:F,6,FALSE),"Non trouvé")</f>
        <v>Non trouvé</v>
      </c>
    </row>
    <row r="1685" spans="1:10" x14ac:dyDescent="0.25">
      <c r="A1685" t="str">
        <f>IFERROR(VLOOKUP(Logs_reseau[[#This Row],[Cell_ID]],'[1]Registre_Maintenance_combine '!A:B,2,FALSE),"Non trouvé")</f>
        <v>Haut-Katanga</v>
      </c>
      <c r="B1685" t="s">
        <v>428</v>
      </c>
      <c r="C1685" s="3">
        <v>45226.659722222219</v>
      </c>
      <c r="D1685" s="11">
        <f>Logs_reseau[[#This Row],[Duree_Panne_Min]]/1440</f>
        <v>4.5138888888888888E-2</v>
      </c>
      <c r="E1685">
        <v>65</v>
      </c>
      <c r="F1685" t="s">
        <v>2</v>
      </c>
      <c r="G1685">
        <f>IFERROR(VLOOKUP(Logs_reseau[[#This Row],[Cell_ID]],'[1]Registre_Maintenance_combine '!A:C,3,FALSE),"Non trouvé")</f>
        <v>-11.594525000000001</v>
      </c>
      <c r="H1685">
        <f>IFERROR(VLOOKUP(Logs_reseau[[#This Row],[Cell_ID]],'[1]Registre_Maintenance_combine '!A:D,4,FALSE),"Non trouvé")</f>
        <v>29.744895</v>
      </c>
      <c r="I1685" t="str">
        <f>IFERROR(VLOOKUP(Logs_reseau[[#This Row],[Cell_ID]],'[1]Registre_Maintenance_combine '!A:E,5,FALSE),"Non trouvé")</f>
        <v>3G</v>
      </c>
      <c r="J1685" t="str">
        <f>IFERROR(VLOOKUP(Logs_reseau[[#This Row],[Cell_ID]],'[1]Registre_Maintenance_combine '!A:F,6,FALSE),"Non trouvé")</f>
        <v>ZTE</v>
      </c>
    </row>
    <row r="1686" spans="1:10" x14ac:dyDescent="0.25">
      <c r="A1686" t="str">
        <f>IFERROR(VLOOKUP(Logs_reseau[[#This Row],[Cell_ID]],'[1]Registre_Maintenance_combine '!A:B,2,FALSE),"Non trouvé")</f>
        <v>Mai-Ndombe</v>
      </c>
      <c r="B1686" t="s">
        <v>539</v>
      </c>
      <c r="C1686" s="3">
        <v>45227.77847222222</v>
      </c>
      <c r="D1686" s="11">
        <f>Logs_reseau[[#This Row],[Duree_Panne_Min]]/1440</f>
        <v>4.6527777777777779E-2</v>
      </c>
      <c r="E1686">
        <v>67</v>
      </c>
      <c r="F1686" t="s">
        <v>4</v>
      </c>
      <c r="G1686">
        <f>IFERROR(VLOOKUP(Logs_reseau[[#This Row],[Cell_ID]],'[1]Registre_Maintenance_combine '!A:C,3,FALSE),"Non trouvé")</f>
        <v>-0.47411900000000001</v>
      </c>
      <c r="H1686">
        <f>IFERROR(VLOOKUP(Logs_reseau[[#This Row],[Cell_ID]],'[1]Registre_Maintenance_combine '!A:D,4,FALSE),"Non trouvé")</f>
        <v>27.184329000000002</v>
      </c>
      <c r="I1686" t="str">
        <f>IFERROR(VLOOKUP(Logs_reseau[[#This Row],[Cell_ID]],'[1]Registre_Maintenance_combine '!A:E,5,FALSE),"Non trouvé")</f>
        <v>5G</v>
      </c>
      <c r="J1686" t="str">
        <f>IFERROR(VLOOKUP(Logs_reseau[[#This Row],[Cell_ID]],'[1]Registre_Maintenance_combine '!A:F,6,FALSE),"Non trouvé")</f>
        <v>ZTE</v>
      </c>
    </row>
    <row r="1687" spans="1:10" x14ac:dyDescent="0.25">
      <c r="A1687" t="str">
        <f>IFERROR(VLOOKUP(Logs_reseau[[#This Row],[Cell_ID]],'[1]Registre_Maintenance_combine '!A:B,2,FALSE),"Non trouvé")</f>
        <v>Non trouvé</v>
      </c>
      <c r="B1687" t="s">
        <v>655</v>
      </c>
      <c r="C1687" s="3">
        <v>45224.884722222225</v>
      </c>
      <c r="D1687" s="11">
        <f>Logs_reseau[[#This Row],[Duree_Panne_Min]]/1440</f>
        <v>8.2638888888888887E-2</v>
      </c>
      <c r="E1687">
        <v>119</v>
      </c>
      <c r="F1687" t="s">
        <v>2</v>
      </c>
      <c r="G1687" t="str">
        <f>IFERROR(VLOOKUP(Logs_reseau[[#This Row],[Cell_ID]],'[1]Registre_Maintenance_combine '!A:C,3,FALSE),"Non trouvé")</f>
        <v>Non trouvé</v>
      </c>
      <c r="H1687" t="str">
        <f>IFERROR(VLOOKUP(Logs_reseau[[#This Row],[Cell_ID]],'[1]Registre_Maintenance_combine '!A:D,4,FALSE),"Non trouvé")</f>
        <v>Non trouvé</v>
      </c>
      <c r="I1687" t="str">
        <f>IFERROR(VLOOKUP(Logs_reseau[[#This Row],[Cell_ID]],'[1]Registre_Maintenance_combine '!A:E,5,FALSE),"Non trouvé")</f>
        <v>Non trouvé</v>
      </c>
      <c r="J1687" t="str">
        <f>IFERROR(VLOOKUP(Logs_reseau[[#This Row],[Cell_ID]],'[1]Registre_Maintenance_combine '!A:F,6,FALSE),"Non trouvé")</f>
        <v>Non trouvé</v>
      </c>
    </row>
    <row r="1688" spans="1:10" x14ac:dyDescent="0.25">
      <c r="A1688" t="str">
        <f>IFERROR(VLOOKUP(Logs_reseau[[#This Row],[Cell_ID]],'[1]Registre_Maintenance_combine '!A:B,2,FALSE),"Non trouvé")</f>
        <v>Non trouvé</v>
      </c>
      <c r="B1688" t="s">
        <v>656</v>
      </c>
      <c r="C1688" s="3">
        <v>45205.586111111108</v>
      </c>
      <c r="D1688" s="11">
        <f>Logs_reseau[[#This Row],[Duree_Panne_Min]]/1440</f>
        <v>6.1805555555555558E-2</v>
      </c>
      <c r="E1688">
        <v>89</v>
      </c>
      <c r="F1688" t="s">
        <v>4</v>
      </c>
      <c r="G1688" t="str">
        <f>IFERROR(VLOOKUP(Logs_reseau[[#This Row],[Cell_ID]],'[1]Registre_Maintenance_combine '!A:C,3,FALSE),"Non trouvé")</f>
        <v>Non trouvé</v>
      </c>
      <c r="H1688" t="str">
        <f>IFERROR(VLOOKUP(Logs_reseau[[#This Row],[Cell_ID]],'[1]Registre_Maintenance_combine '!A:D,4,FALSE),"Non trouvé")</f>
        <v>Non trouvé</v>
      </c>
      <c r="I1688" t="str">
        <f>IFERROR(VLOOKUP(Logs_reseau[[#This Row],[Cell_ID]],'[1]Registre_Maintenance_combine '!A:E,5,FALSE),"Non trouvé")</f>
        <v>Non trouvé</v>
      </c>
      <c r="J1688" t="str">
        <f>IFERROR(VLOOKUP(Logs_reseau[[#This Row],[Cell_ID]],'[1]Registre_Maintenance_combine '!A:F,6,FALSE),"Non trouvé")</f>
        <v>Non trouvé</v>
      </c>
    </row>
    <row r="1689" spans="1:10" x14ac:dyDescent="0.25">
      <c r="A1689" t="str">
        <f>IFERROR(VLOOKUP(Logs_reseau[[#This Row],[Cell_ID]],'[1]Registre_Maintenance_combine '!A:B,2,FALSE),"Non trouvé")</f>
        <v>Lualaba</v>
      </c>
      <c r="B1689" t="s">
        <v>657</v>
      </c>
      <c r="C1689" s="3">
        <v>45225.054166666669</v>
      </c>
      <c r="D1689" s="11">
        <f>Logs_reseau[[#This Row],[Duree_Panne_Min]]/1440</f>
        <v>2.6388888888888889E-2</v>
      </c>
      <c r="E1689">
        <v>38</v>
      </c>
      <c r="F1689" t="s">
        <v>4</v>
      </c>
      <c r="G1689">
        <f>IFERROR(VLOOKUP(Logs_reseau[[#This Row],[Cell_ID]],'[1]Registre_Maintenance_combine '!A:C,3,FALSE),"Non trouvé")</f>
        <v>-4.2184999999999997</v>
      </c>
      <c r="H1689">
        <f>IFERROR(VLOOKUP(Logs_reseau[[#This Row],[Cell_ID]],'[1]Registre_Maintenance_combine '!A:D,4,FALSE),"Non trouvé")</f>
        <v>23.077093999999999</v>
      </c>
      <c r="I1689" t="str">
        <f>IFERROR(VLOOKUP(Logs_reseau[[#This Row],[Cell_ID]],'[1]Registre_Maintenance_combine '!A:E,5,FALSE),"Non trouvé")</f>
        <v>4G</v>
      </c>
      <c r="J1689" t="str">
        <f>IFERROR(VLOOKUP(Logs_reseau[[#This Row],[Cell_ID]],'[1]Registre_Maintenance_combine '!A:F,6,FALSE),"Non trouvé")</f>
        <v>Ericsson</v>
      </c>
    </row>
    <row r="1690" spans="1:10" x14ac:dyDescent="0.25">
      <c r="A1690" t="str">
        <f>IFERROR(VLOOKUP(Logs_reseau[[#This Row],[Cell_ID]],'[1]Registre_Maintenance_combine '!A:B,2,FALSE),"Non trouvé")</f>
        <v>Non trouvé</v>
      </c>
      <c r="B1690" t="s">
        <v>287</v>
      </c>
      <c r="C1690" s="3">
        <v>45200.427777777775</v>
      </c>
      <c r="D1690" s="11">
        <f>Logs_reseau[[#This Row],[Duree_Panne_Min]]/1440</f>
        <v>1.1111111111111112E-2</v>
      </c>
      <c r="E1690">
        <v>16</v>
      </c>
      <c r="F1690" t="s">
        <v>2</v>
      </c>
      <c r="G1690" t="str">
        <f>IFERROR(VLOOKUP(Logs_reseau[[#This Row],[Cell_ID]],'[1]Registre_Maintenance_combine '!A:C,3,FALSE),"Non trouvé")</f>
        <v>Non trouvé</v>
      </c>
      <c r="H1690" t="str">
        <f>IFERROR(VLOOKUP(Logs_reseau[[#This Row],[Cell_ID]],'[1]Registre_Maintenance_combine '!A:D,4,FALSE),"Non trouvé")</f>
        <v>Non trouvé</v>
      </c>
      <c r="I1690" t="str">
        <f>IFERROR(VLOOKUP(Logs_reseau[[#This Row],[Cell_ID]],'[1]Registre_Maintenance_combine '!A:E,5,FALSE),"Non trouvé")</f>
        <v>Non trouvé</v>
      </c>
      <c r="J1690" t="str">
        <f>IFERROR(VLOOKUP(Logs_reseau[[#This Row],[Cell_ID]],'[1]Registre_Maintenance_combine '!A:F,6,FALSE),"Non trouvé")</f>
        <v>Non trouvé</v>
      </c>
    </row>
    <row r="1691" spans="1:10" x14ac:dyDescent="0.25">
      <c r="A1691" t="str">
        <f>IFERROR(VLOOKUP(Logs_reseau[[#This Row],[Cell_ID]],'[1]Registre_Maintenance_combine '!A:B,2,FALSE),"Non trouvé")</f>
        <v>Haut-Katanga</v>
      </c>
      <c r="B1691" t="s">
        <v>584</v>
      </c>
      <c r="C1691" s="3">
        <v>45230.12777777778</v>
      </c>
      <c r="D1691" s="11">
        <f>Logs_reseau[[#This Row],[Duree_Panne_Min]]/1440</f>
        <v>6.0416666666666667E-2</v>
      </c>
      <c r="E1691">
        <v>87</v>
      </c>
      <c r="F1691" t="s">
        <v>4</v>
      </c>
      <c r="G1691">
        <f>IFERROR(VLOOKUP(Logs_reseau[[#This Row],[Cell_ID]],'[1]Registre_Maintenance_combine '!A:C,3,FALSE),"Non trouvé")</f>
        <v>-10.945031</v>
      </c>
      <c r="H1691">
        <f>IFERROR(VLOOKUP(Logs_reseau[[#This Row],[Cell_ID]],'[1]Registre_Maintenance_combine '!A:D,4,FALSE),"Non trouvé")</f>
        <v>27.922274000000002</v>
      </c>
      <c r="I1691" t="str">
        <f>IFERROR(VLOOKUP(Logs_reseau[[#This Row],[Cell_ID]],'[1]Registre_Maintenance_combine '!A:E,5,FALSE),"Non trouvé")</f>
        <v>4G</v>
      </c>
      <c r="J1691" t="str">
        <f>IFERROR(VLOOKUP(Logs_reseau[[#This Row],[Cell_ID]],'[1]Registre_Maintenance_combine '!A:F,6,FALSE),"Non trouvé")</f>
        <v>Ericsson</v>
      </c>
    </row>
    <row r="1692" spans="1:10" x14ac:dyDescent="0.25">
      <c r="A1692" t="str">
        <f>IFERROR(VLOOKUP(Logs_reseau[[#This Row],[Cell_ID]],'[1]Registre_Maintenance_combine '!A:B,2,FALSE),"Non trouvé")</f>
        <v>Non trouvé</v>
      </c>
      <c r="B1692" t="s">
        <v>642</v>
      </c>
      <c r="C1692" s="3">
        <v>45210.24722222222</v>
      </c>
      <c r="D1692" s="11">
        <f>Logs_reseau[[#This Row],[Duree_Panne_Min]]/1440</f>
        <v>5.1388888888888887E-2</v>
      </c>
      <c r="E1692">
        <v>74</v>
      </c>
      <c r="F1692" t="s">
        <v>1</v>
      </c>
      <c r="G1692" t="str">
        <f>IFERROR(VLOOKUP(Logs_reseau[[#This Row],[Cell_ID]],'[1]Registre_Maintenance_combine '!A:C,3,FALSE),"Non trouvé")</f>
        <v>Non trouvé</v>
      </c>
      <c r="H1692" t="str">
        <f>IFERROR(VLOOKUP(Logs_reseau[[#This Row],[Cell_ID]],'[1]Registre_Maintenance_combine '!A:D,4,FALSE),"Non trouvé")</f>
        <v>Non trouvé</v>
      </c>
      <c r="I1692" t="str">
        <f>IFERROR(VLOOKUP(Logs_reseau[[#This Row],[Cell_ID]],'[1]Registre_Maintenance_combine '!A:E,5,FALSE),"Non trouvé")</f>
        <v>Non trouvé</v>
      </c>
      <c r="J1692" t="str">
        <f>IFERROR(VLOOKUP(Logs_reseau[[#This Row],[Cell_ID]],'[1]Registre_Maintenance_combine '!A:F,6,FALSE),"Non trouvé")</f>
        <v>Non trouvé</v>
      </c>
    </row>
    <row r="1693" spans="1:10" x14ac:dyDescent="0.25">
      <c r="A1693" t="str">
        <f>IFERROR(VLOOKUP(Logs_reseau[[#This Row],[Cell_ID]],'[1]Registre_Maintenance_combine '!A:B,2,FALSE),"Non trouvé")</f>
        <v>Non trouvé</v>
      </c>
      <c r="B1693" t="s">
        <v>474</v>
      </c>
      <c r="C1693" s="3">
        <v>45212.240277777775</v>
      </c>
      <c r="D1693" s="11">
        <f>Logs_reseau[[#This Row],[Duree_Panne_Min]]/1440</f>
        <v>3.7499999999999999E-2</v>
      </c>
      <c r="E1693">
        <v>54</v>
      </c>
      <c r="F1693" t="s">
        <v>2</v>
      </c>
      <c r="G1693" t="str">
        <f>IFERROR(VLOOKUP(Logs_reseau[[#This Row],[Cell_ID]],'[1]Registre_Maintenance_combine '!A:C,3,FALSE),"Non trouvé")</f>
        <v>Non trouvé</v>
      </c>
      <c r="H1693" t="str">
        <f>IFERROR(VLOOKUP(Logs_reseau[[#This Row],[Cell_ID]],'[1]Registre_Maintenance_combine '!A:D,4,FALSE),"Non trouvé")</f>
        <v>Non trouvé</v>
      </c>
      <c r="I1693" t="str">
        <f>IFERROR(VLOOKUP(Logs_reseau[[#This Row],[Cell_ID]],'[1]Registre_Maintenance_combine '!A:E,5,FALSE),"Non trouvé")</f>
        <v>Non trouvé</v>
      </c>
      <c r="J1693" t="str">
        <f>IFERROR(VLOOKUP(Logs_reseau[[#This Row],[Cell_ID]],'[1]Registre_Maintenance_combine '!A:F,6,FALSE),"Non trouvé")</f>
        <v>Non trouvé</v>
      </c>
    </row>
    <row r="1694" spans="1:10" x14ac:dyDescent="0.25">
      <c r="A1694" t="str">
        <f>IFERROR(VLOOKUP(Logs_reseau[[#This Row],[Cell_ID]],'[1]Registre_Maintenance_combine '!A:B,2,FALSE),"Non trouvé")</f>
        <v>Kasai-Central</v>
      </c>
      <c r="B1694" t="s">
        <v>316</v>
      </c>
      <c r="C1694" s="3">
        <v>45202.747916666667</v>
      </c>
      <c r="D1694" s="11">
        <f>Logs_reseau[[#This Row],[Duree_Panne_Min]]/1440</f>
        <v>1.9444444444444445E-2</v>
      </c>
      <c r="E1694">
        <v>28</v>
      </c>
      <c r="F1694" t="s">
        <v>2</v>
      </c>
      <c r="G1694">
        <f>IFERROR(VLOOKUP(Logs_reseau[[#This Row],[Cell_ID]],'[1]Registre_Maintenance_combine '!A:C,3,FALSE),"Non trouvé")</f>
        <v>-3.111418</v>
      </c>
      <c r="H1694">
        <f>IFERROR(VLOOKUP(Logs_reseau[[#This Row],[Cell_ID]],'[1]Registre_Maintenance_combine '!A:D,4,FALSE),"Non trouvé")</f>
        <v>14.144854</v>
      </c>
      <c r="I1694" t="str">
        <f>IFERROR(VLOOKUP(Logs_reseau[[#This Row],[Cell_ID]],'[1]Registre_Maintenance_combine '!A:E,5,FALSE),"Non trouvé")</f>
        <v>4G</v>
      </c>
      <c r="J1694" t="str">
        <f>IFERROR(VLOOKUP(Logs_reseau[[#This Row],[Cell_ID]],'[1]Registre_Maintenance_combine '!A:F,6,FALSE),"Non trouvé")</f>
        <v>ZTE</v>
      </c>
    </row>
    <row r="1695" spans="1:10" x14ac:dyDescent="0.25">
      <c r="A1695" t="str">
        <f>IFERROR(VLOOKUP(Logs_reseau[[#This Row],[Cell_ID]],'[1]Registre_Maintenance_combine '!A:B,2,FALSE),"Non trouvé")</f>
        <v>Non trouvé</v>
      </c>
      <c r="B1695" t="s">
        <v>658</v>
      </c>
      <c r="C1695" s="3">
        <v>45202.443055555559</v>
      </c>
      <c r="D1695" s="11">
        <f>Logs_reseau[[#This Row],[Duree_Panne_Min]]/1440</f>
        <v>3.6111111111111108E-2</v>
      </c>
      <c r="E1695">
        <v>52</v>
      </c>
      <c r="F1695" t="s">
        <v>2</v>
      </c>
      <c r="G1695" t="str">
        <f>IFERROR(VLOOKUP(Logs_reseau[[#This Row],[Cell_ID]],'[1]Registre_Maintenance_combine '!A:C,3,FALSE),"Non trouvé")</f>
        <v>Non trouvé</v>
      </c>
      <c r="H1695" t="str">
        <f>IFERROR(VLOOKUP(Logs_reseau[[#This Row],[Cell_ID]],'[1]Registre_Maintenance_combine '!A:D,4,FALSE),"Non trouvé")</f>
        <v>Non trouvé</v>
      </c>
      <c r="I1695" t="str">
        <f>IFERROR(VLOOKUP(Logs_reseau[[#This Row],[Cell_ID]],'[1]Registre_Maintenance_combine '!A:E,5,FALSE),"Non trouvé")</f>
        <v>Non trouvé</v>
      </c>
      <c r="J1695" t="str">
        <f>IFERROR(VLOOKUP(Logs_reseau[[#This Row],[Cell_ID]],'[1]Registre_Maintenance_combine '!A:F,6,FALSE),"Non trouvé")</f>
        <v>Non trouvé</v>
      </c>
    </row>
    <row r="1696" spans="1:10" x14ac:dyDescent="0.25">
      <c r="A1696" t="str">
        <f>IFERROR(VLOOKUP(Logs_reseau[[#This Row],[Cell_ID]],'[1]Registre_Maintenance_combine '!A:B,2,FALSE),"Non trouvé")</f>
        <v>Tshuapa</v>
      </c>
      <c r="B1696" t="s">
        <v>82</v>
      </c>
      <c r="C1696" s="3">
        <v>45219.65625</v>
      </c>
      <c r="D1696" s="11">
        <f>Logs_reseau[[#This Row],[Duree_Panne_Min]]/1440</f>
        <v>8.1944444444444445E-2</v>
      </c>
      <c r="E1696">
        <v>118</v>
      </c>
      <c r="F1696" t="s">
        <v>2</v>
      </c>
      <c r="G1696">
        <f>IFERROR(VLOOKUP(Logs_reseau[[#This Row],[Cell_ID]],'[1]Registre_Maintenance_combine '!A:C,3,FALSE),"Non trouvé")</f>
        <v>-10.577049000000001</v>
      </c>
      <c r="H1696">
        <f>IFERROR(VLOOKUP(Logs_reseau[[#This Row],[Cell_ID]],'[1]Registre_Maintenance_combine '!A:D,4,FALSE),"Non trouvé")</f>
        <v>23.721854</v>
      </c>
      <c r="I1696" t="str">
        <f>IFERROR(VLOOKUP(Logs_reseau[[#This Row],[Cell_ID]],'[1]Registre_Maintenance_combine '!A:E,5,FALSE),"Non trouvé")</f>
        <v>4G</v>
      </c>
      <c r="J1696" t="str">
        <f>IFERROR(VLOOKUP(Logs_reseau[[#This Row],[Cell_ID]],'[1]Registre_Maintenance_combine '!A:F,6,FALSE),"Non trouvé")</f>
        <v>ZTE</v>
      </c>
    </row>
    <row r="1697" spans="1:10" x14ac:dyDescent="0.25">
      <c r="A1697" t="str">
        <f>IFERROR(VLOOKUP(Logs_reseau[[#This Row],[Cell_ID]],'[1]Registre_Maintenance_combine '!A:B,2,FALSE),"Non trouvé")</f>
        <v>Kongo-Central</v>
      </c>
      <c r="B1697" t="s">
        <v>659</v>
      </c>
      <c r="C1697" s="3">
        <v>45200.570138888892</v>
      </c>
      <c r="D1697" s="11">
        <f>Logs_reseau[[#This Row],[Duree_Panne_Min]]/1440</f>
        <v>3.6805555555555557E-2</v>
      </c>
      <c r="E1697">
        <v>53</v>
      </c>
      <c r="F1697" t="s">
        <v>4</v>
      </c>
      <c r="G1697">
        <f>IFERROR(VLOOKUP(Logs_reseau[[#This Row],[Cell_ID]],'[1]Registre_Maintenance_combine '!A:C,3,FALSE),"Non trouvé")</f>
        <v>2.8552499999999998</v>
      </c>
      <c r="H1697">
        <f>IFERROR(VLOOKUP(Logs_reseau[[#This Row],[Cell_ID]],'[1]Registre_Maintenance_combine '!A:D,4,FALSE),"Non trouvé")</f>
        <v>14.077933</v>
      </c>
      <c r="I1697" t="str">
        <f>IFERROR(VLOOKUP(Logs_reseau[[#This Row],[Cell_ID]],'[1]Registre_Maintenance_combine '!A:E,5,FALSE),"Non trouvé")</f>
        <v>4G</v>
      </c>
      <c r="J1697" t="str">
        <f>IFERROR(VLOOKUP(Logs_reseau[[#This Row],[Cell_ID]],'[1]Registre_Maintenance_combine '!A:F,6,FALSE),"Non trouvé")</f>
        <v>ZTE</v>
      </c>
    </row>
    <row r="1698" spans="1:10" x14ac:dyDescent="0.25">
      <c r="A1698" t="str">
        <f>IFERROR(VLOOKUP(Logs_reseau[[#This Row],[Cell_ID]],'[1]Registre_Maintenance_combine '!A:B,2,FALSE),"Non trouvé")</f>
        <v>Haut-Uele</v>
      </c>
      <c r="B1698" t="s">
        <v>660</v>
      </c>
      <c r="C1698" s="3">
        <v>45205.830555555556</v>
      </c>
      <c r="D1698" s="11">
        <f>Logs_reseau[[#This Row],[Duree_Panne_Min]]/1440</f>
        <v>3.6111111111111108E-2</v>
      </c>
      <c r="E1698">
        <v>52</v>
      </c>
      <c r="F1698" t="s">
        <v>1</v>
      </c>
      <c r="G1698">
        <f>IFERROR(VLOOKUP(Logs_reseau[[#This Row],[Cell_ID]],'[1]Registre_Maintenance_combine '!A:C,3,FALSE),"Non trouvé")</f>
        <v>-2.2199559999999998</v>
      </c>
      <c r="H1698">
        <f>IFERROR(VLOOKUP(Logs_reseau[[#This Row],[Cell_ID]],'[1]Registre_Maintenance_combine '!A:D,4,FALSE),"Non trouvé")</f>
        <v>22.614449</v>
      </c>
      <c r="I1698" t="str">
        <f>IFERROR(VLOOKUP(Logs_reseau[[#This Row],[Cell_ID]],'[1]Registre_Maintenance_combine '!A:E,5,FALSE),"Non trouvé")</f>
        <v>3G</v>
      </c>
      <c r="J1698" t="str">
        <f>IFERROR(VLOOKUP(Logs_reseau[[#This Row],[Cell_ID]],'[1]Registre_Maintenance_combine '!A:F,6,FALSE),"Non trouvé")</f>
        <v>Nokia</v>
      </c>
    </row>
    <row r="1699" spans="1:10" x14ac:dyDescent="0.25">
      <c r="A1699" t="str">
        <f>IFERROR(VLOOKUP(Logs_reseau[[#This Row],[Cell_ID]],'[1]Registre_Maintenance_combine '!A:B,2,FALSE),"Non trouvé")</f>
        <v>Haut-Lomami</v>
      </c>
      <c r="B1699" t="s">
        <v>661</v>
      </c>
      <c r="C1699" s="3">
        <v>45213.210416666669</v>
      </c>
      <c r="D1699" s="11">
        <f>Logs_reseau[[#This Row],[Duree_Panne_Min]]/1440</f>
        <v>1.9444444444444445E-2</v>
      </c>
      <c r="E1699">
        <v>28</v>
      </c>
      <c r="F1699" t="s">
        <v>4</v>
      </c>
      <c r="G1699">
        <f>IFERROR(VLOOKUP(Logs_reseau[[#This Row],[Cell_ID]],'[1]Registre_Maintenance_combine '!A:C,3,FALSE),"Non trouvé")</f>
        <v>-3.1608390000000002</v>
      </c>
      <c r="H1699">
        <f>IFERROR(VLOOKUP(Logs_reseau[[#This Row],[Cell_ID]],'[1]Registre_Maintenance_combine '!A:D,4,FALSE),"Non trouvé")</f>
        <v>13.244503999999999</v>
      </c>
      <c r="I1699" t="str">
        <f>IFERROR(VLOOKUP(Logs_reseau[[#This Row],[Cell_ID]],'[1]Registre_Maintenance_combine '!A:E,5,FALSE),"Non trouvé")</f>
        <v>3G</v>
      </c>
      <c r="J1699" t="str">
        <f>IFERROR(VLOOKUP(Logs_reseau[[#This Row],[Cell_ID]],'[1]Registre_Maintenance_combine '!A:F,6,FALSE),"Non trouvé")</f>
        <v>Huawei</v>
      </c>
    </row>
    <row r="1700" spans="1:10" x14ac:dyDescent="0.25">
      <c r="A1700" t="str">
        <f>IFERROR(VLOOKUP(Logs_reseau[[#This Row],[Cell_ID]],'[1]Registre_Maintenance_combine '!A:B,2,FALSE),"Non trouvé")</f>
        <v>Non trouvé</v>
      </c>
      <c r="B1700" t="s">
        <v>662</v>
      </c>
      <c r="C1700" s="3">
        <v>45203.425694444442</v>
      </c>
      <c r="D1700" s="11">
        <f>Logs_reseau[[#This Row],[Duree_Panne_Min]]/1440</f>
        <v>4.3055555555555555E-2</v>
      </c>
      <c r="E1700">
        <v>62</v>
      </c>
      <c r="F1700" t="s">
        <v>1</v>
      </c>
      <c r="G1700" t="str">
        <f>IFERROR(VLOOKUP(Logs_reseau[[#This Row],[Cell_ID]],'[1]Registre_Maintenance_combine '!A:C,3,FALSE),"Non trouvé")</f>
        <v>Non trouvé</v>
      </c>
      <c r="H1700" t="str">
        <f>IFERROR(VLOOKUP(Logs_reseau[[#This Row],[Cell_ID]],'[1]Registre_Maintenance_combine '!A:D,4,FALSE),"Non trouvé")</f>
        <v>Non trouvé</v>
      </c>
      <c r="I1700" t="str">
        <f>IFERROR(VLOOKUP(Logs_reseau[[#This Row],[Cell_ID]],'[1]Registre_Maintenance_combine '!A:E,5,FALSE),"Non trouvé")</f>
        <v>Non trouvé</v>
      </c>
      <c r="J1700" t="str">
        <f>IFERROR(VLOOKUP(Logs_reseau[[#This Row],[Cell_ID]],'[1]Registre_Maintenance_combine '!A:F,6,FALSE),"Non trouvé")</f>
        <v>Non trouvé</v>
      </c>
    </row>
    <row r="1701" spans="1:10" x14ac:dyDescent="0.25">
      <c r="A1701" t="str">
        <f>IFERROR(VLOOKUP(Logs_reseau[[#This Row],[Cell_ID]],'[1]Registre_Maintenance_combine '!A:B,2,FALSE),"Non trouvé")</f>
        <v>Non trouvé</v>
      </c>
      <c r="B1701" t="s">
        <v>37</v>
      </c>
      <c r="C1701" s="3">
        <v>45206.572222222225</v>
      </c>
      <c r="D1701" s="11">
        <f>Logs_reseau[[#This Row],[Duree_Panne_Min]]/1440</f>
        <v>6.9444444444444441E-3</v>
      </c>
      <c r="E1701">
        <v>10</v>
      </c>
      <c r="F1701" t="s">
        <v>1</v>
      </c>
      <c r="G1701" t="str">
        <f>IFERROR(VLOOKUP(Logs_reseau[[#This Row],[Cell_ID]],'[1]Registre_Maintenance_combine '!A:C,3,FALSE),"Non trouvé")</f>
        <v>Non trouvé</v>
      </c>
      <c r="H1701" t="str">
        <f>IFERROR(VLOOKUP(Logs_reseau[[#This Row],[Cell_ID]],'[1]Registre_Maintenance_combine '!A:D,4,FALSE),"Non trouvé")</f>
        <v>Non trouvé</v>
      </c>
      <c r="I1701" t="str">
        <f>IFERROR(VLOOKUP(Logs_reseau[[#This Row],[Cell_ID]],'[1]Registre_Maintenance_combine '!A:E,5,FALSE),"Non trouvé")</f>
        <v>Non trouvé</v>
      </c>
      <c r="J1701" t="str">
        <f>IFERROR(VLOOKUP(Logs_reseau[[#This Row],[Cell_ID]],'[1]Registre_Maintenance_combine '!A:F,6,FALSE),"Non trouvé")</f>
        <v>Non trouvé</v>
      </c>
    </row>
    <row r="1702" spans="1:10" x14ac:dyDescent="0.25">
      <c r="A1702" t="str">
        <f>IFERROR(VLOOKUP(Logs_reseau[[#This Row],[Cell_ID]],'[1]Registre_Maintenance_combine '!A:B,2,FALSE),"Non trouvé")</f>
        <v>Lualaba</v>
      </c>
      <c r="B1702" t="s">
        <v>440</v>
      </c>
      <c r="C1702" s="3">
        <v>45217.999305555553</v>
      </c>
      <c r="D1702" s="11">
        <f>Logs_reseau[[#This Row],[Duree_Panne_Min]]/1440</f>
        <v>2.6388888888888889E-2</v>
      </c>
      <c r="E1702">
        <v>38</v>
      </c>
      <c r="F1702" t="s">
        <v>2</v>
      </c>
      <c r="G1702">
        <f>IFERROR(VLOOKUP(Logs_reseau[[#This Row],[Cell_ID]],'[1]Registre_Maintenance_combine '!A:C,3,FALSE),"Non trouvé")</f>
        <v>-10.967288</v>
      </c>
      <c r="H1702">
        <f>IFERROR(VLOOKUP(Logs_reseau[[#This Row],[Cell_ID]],'[1]Registre_Maintenance_combine '!A:D,4,FALSE),"Non trouvé")</f>
        <v>17.617781000000001</v>
      </c>
      <c r="I1702" t="str">
        <f>IFERROR(VLOOKUP(Logs_reseau[[#This Row],[Cell_ID]],'[1]Registre_Maintenance_combine '!A:E,5,FALSE),"Non trouvé")</f>
        <v>4G</v>
      </c>
      <c r="J1702" t="str">
        <f>IFERROR(VLOOKUP(Logs_reseau[[#This Row],[Cell_ID]],'[1]Registre_Maintenance_combine '!A:F,6,FALSE),"Non trouvé")</f>
        <v>Ericsson</v>
      </c>
    </row>
    <row r="1703" spans="1:10" x14ac:dyDescent="0.25">
      <c r="A1703" t="str">
        <f>IFERROR(VLOOKUP(Logs_reseau[[#This Row],[Cell_ID]],'[1]Registre_Maintenance_combine '!A:B,2,FALSE),"Non trouvé")</f>
        <v>Non trouvé</v>
      </c>
      <c r="B1703" t="s">
        <v>435</v>
      </c>
      <c r="C1703" s="3">
        <v>45223.719444444447</v>
      </c>
      <c r="D1703" s="11">
        <f>Logs_reseau[[#This Row],[Duree_Panne_Min]]/1440</f>
        <v>4.2361111111111113E-2</v>
      </c>
      <c r="E1703">
        <v>61</v>
      </c>
      <c r="F1703" t="s">
        <v>2</v>
      </c>
      <c r="G1703" t="str">
        <f>IFERROR(VLOOKUP(Logs_reseau[[#This Row],[Cell_ID]],'[1]Registre_Maintenance_combine '!A:C,3,FALSE),"Non trouvé")</f>
        <v>Non trouvé</v>
      </c>
      <c r="H1703" t="str">
        <f>IFERROR(VLOOKUP(Logs_reseau[[#This Row],[Cell_ID]],'[1]Registre_Maintenance_combine '!A:D,4,FALSE),"Non trouvé")</f>
        <v>Non trouvé</v>
      </c>
      <c r="I1703" t="str">
        <f>IFERROR(VLOOKUP(Logs_reseau[[#This Row],[Cell_ID]],'[1]Registre_Maintenance_combine '!A:E,5,FALSE),"Non trouvé")</f>
        <v>Non trouvé</v>
      </c>
      <c r="J1703" t="str">
        <f>IFERROR(VLOOKUP(Logs_reseau[[#This Row],[Cell_ID]],'[1]Registre_Maintenance_combine '!A:F,6,FALSE),"Non trouvé")</f>
        <v>Non trouvé</v>
      </c>
    </row>
    <row r="1704" spans="1:10" x14ac:dyDescent="0.25">
      <c r="A1704" t="str">
        <f>IFERROR(VLOOKUP(Logs_reseau[[#This Row],[Cell_ID]],'[1]Registre_Maintenance_combine '!A:B,2,FALSE),"Non trouvé")</f>
        <v>Tshopo</v>
      </c>
      <c r="B1704" t="s">
        <v>663</v>
      </c>
      <c r="C1704" s="3">
        <v>45221.388194444444</v>
      </c>
      <c r="D1704" s="11">
        <f>Logs_reseau[[#This Row],[Duree_Panne_Min]]/1440</f>
        <v>4.4444444444444446E-2</v>
      </c>
      <c r="E1704">
        <v>64</v>
      </c>
      <c r="F1704" t="s">
        <v>2</v>
      </c>
      <c r="G1704">
        <f>IFERROR(VLOOKUP(Logs_reseau[[#This Row],[Cell_ID]],'[1]Registre_Maintenance_combine '!A:C,3,FALSE),"Non trouvé")</f>
        <v>-12.070842000000001</v>
      </c>
      <c r="H1704">
        <f>IFERROR(VLOOKUP(Logs_reseau[[#This Row],[Cell_ID]],'[1]Registre_Maintenance_combine '!A:D,4,FALSE),"Non trouvé")</f>
        <v>14.757847</v>
      </c>
      <c r="I1704" t="str">
        <f>IFERROR(VLOOKUP(Logs_reseau[[#This Row],[Cell_ID]],'[1]Registre_Maintenance_combine '!A:E,5,FALSE),"Non trouvé")</f>
        <v>4G</v>
      </c>
      <c r="J1704" t="str">
        <f>IFERROR(VLOOKUP(Logs_reseau[[#This Row],[Cell_ID]],'[1]Registre_Maintenance_combine '!A:F,6,FALSE),"Non trouvé")</f>
        <v>ZTE</v>
      </c>
    </row>
    <row r="1705" spans="1:10" x14ac:dyDescent="0.25">
      <c r="A1705" t="str">
        <f>IFERROR(VLOOKUP(Logs_reseau[[#This Row],[Cell_ID]],'[1]Registre_Maintenance_combine '!A:B,2,FALSE),"Non trouvé")</f>
        <v>Kwilu</v>
      </c>
      <c r="B1705" t="s">
        <v>309</v>
      </c>
      <c r="C1705" s="3">
        <v>45207.127083333333</v>
      </c>
      <c r="D1705" s="11">
        <f>Logs_reseau[[#This Row],[Duree_Panne_Min]]/1440</f>
        <v>2.6388888888888889E-2</v>
      </c>
      <c r="E1705">
        <v>38</v>
      </c>
      <c r="F1705" t="s">
        <v>1</v>
      </c>
      <c r="G1705">
        <f>IFERROR(VLOOKUP(Logs_reseau[[#This Row],[Cell_ID]],'[1]Registre_Maintenance_combine '!A:C,3,FALSE),"Non trouvé")</f>
        <v>-8.5675749999999997</v>
      </c>
      <c r="H1705">
        <f>IFERROR(VLOOKUP(Logs_reseau[[#This Row],[Cell_ID]],'[1]Registre_Maintenance_combine '!A:D,4,FALSE),"Non trouvé")</f>
        <v>26.994581</v>
      </c>
      <c r="I1705" t="str">
        <f>IFERROR(VLOOKUP(Logs_reseau[[#This Row],[Cell_ID]],'[1]Registre_Maintenance_combine '!A:E,5,FALSE),"Non trouvé")</f>
        <v>3G</v>
      </c>
      <c r="J1705" t="str">
        <f>IFERROR(VLOOKUP(Logs_reseau[[#This Row],[Cell_ID]],'[1]Registre_Maintenance_combine '!A:F,6,FALSE),"Non trouvé")</f>
        <v>Nokia</v>
      </c>
    </row>
    <row r="1706" spans="1:10" x14ac:dyDescent="0.25">
      <c r="A1706" t="str">
        <f>IFERROR(VLOOKUP(Logs_reseau[[#This Row],[Cell_ID]],'[1]Registre_Maintenance_combine '!A:B,2,FALSE),"Non trouvé")</f>
        <v>Non trouvé</v>
      </c>
      <c r="B1706" t="s">
        <v>664</v>
      </c>
      <c r="C1706" s="3">
        <v>45212.774305555555</v>
      </c>
      <c r="D1706" s="11">
        <f>Logs_reseau[[#This Row],[Duree_Panne_Min]]/1440</f>
        <v>2.2916666666666665E-2</v>
      </c>
      <c r="E1706">
        <v>33</v>
      </c>
      <c r="F1706" t="s">
        <v>1</v>
      </c>
      <c r="G1706" t="str">
        <f>IFERROR(VLOOKUP(Logs_reseau[[#This Row],[Cell_ID]],'[1]Registre_Maintenance_combine '!A:C,3,FALSE),"Non trouvé")</f>
        <v>Non trouvé</v>
      </c>
      <c r="H1706" t="str">
        <f>IFERROR(VLOOKUP(Logs_reseau[[#This Row],[Cell_ID]],'[1]Registre_Maintenance_combine '!A:D,4,FALSE),"Non trouvé")</f>
        <v>Non trouvé</v>
      </c>
      <c r="I1706" t="str">
        <f>IFERROR(VLOOKUP(Logs_reseau[[#This Row],[Cell_ID]],'[1]Registre_Maintenance_combine '!A:E,5,FALSE),"Non trouvé")</f>
        <v>Non trouvé</v>
      </c>
      <c r="J1706" t="str">
        <f>IFERROR(VLOOKUP(Logs_reseau[[#This Row],[Cell_ID]],'[1]Registre_Maintenance_combine '!A:F,6,FALSE),"Non trouvé")</f>
        <v>Non trouvé</v>
      </c>
    </row>
    <row r="1707" spans="1:10" x14ac:dyDescent="0.25">
      <c r="A1707" t="str">
        <f>IFERROR(VLOOKUP(Logs_reseau[[#This Row],[Cell_ID]],'[1]Registre_Maintenance_combine '!A:B,2,FALSE),"Non trouvé")</f>
        <v>Non trouvé</v>
      </c>
      <c r="B1707" t="s">
        <v>665</v>
      </c>
      <c r="C1707" s="3">
        <v>45226.631249999999</v>
      </c>
      <c r="D1707" s="11">
        <f>Logs_reseau[[#This Row],[Duree_Panne_Min]]/1440</f>
        <v>7.7777777777777779E-2</v>
      </c>
      <c r="E1707">
        <v>112</v>
      </c>
      <c r="F1707" t="s">
        <v>2</v>
      </c>
      <c r="G1707" t="str">
        <f>IFERROR(VLOOKUP(Logs_reseau[[#This Row],[Cell_ID]],'[1]Registre_Maintenance_combine '!A:C,3,FALSE),"Non trouvé")</f>
        <v>Non trouvé</v>
      </c>
      <c r="H1707" t="str">
        <f>IFERROR(VLOOKUP(Logs_reseau[[#This Row],[Cell_ID]],'[1]Registre_Maintenance_combine '!A:D,4,FALSE),"Non trouvé")</f>
        <v>Non trouvé</v>
      </c>
      <c r="I1707" t="str">
        <f>IFERROR(VLOOKUP(Logs_reseau[[#This Row],[Cell_ID]],'[1]Registre_Maintenance_combine '!A:E,5,FALSE),"Non trouvé")</f>
        <v>Non trouvé</v>
      </c>
      <c r="J1707" t="str">
        <f>IFERROR(VLOOKUP(Logs_reseau[[#This Row],[Cell_ID]],'[1]Registre_Maintenance_combine '!A:F,6,FALSE),"Non trouvé")</f>
        <v>Non trouvé</v>
      </c>
    </row>
    <row r="1708" spans="1:10" x14ac:dyDescent="0.25">
      <c r="A1708" t="str">
        <f>IFERROR(VLOOKUP(Logs_reseau[[#This Row],[Cell_ID]],'[1]Registre_Maintenance_combine '!A:B,2,FALSE),"Non trouvé")</f>
        <v>Lualaba</v>
      </c>
      <c r="B1708" t="s">
        <v>344</v>
      </c>
      <c r="C1708" s="3">
        <v>45208.52847222222</v>
      </c>
      <c r="D1708" s="11">
        <f>Logs_reseau[[#This Row],[Duree_Panne_Min]]/1440</f>
        <v>2.2916666666666665E-2</v>
      </c>
      <c r="E1708">
        <v>33</v>
      </c>
      <c r="F1708" t="s">
        <v>2</v>
      </c>
      <c r="G1708">
        <f>IFERROR(VLOOKUP(Logs_reseau[[#This Row],[Cell_ID]],'[1]Registre_Maintenance_combine '!A:C,3,FALSE),"Non trouvé")</f>
        <v>-10.872631999999999</v>
      </c>
      <c r="H1708">
        <f>IFERROR(VLOOKUP(Logs_reseau[[#This Row],[Cell_ID]],'[1]Registre_Maintenance_combine '!A:D,4,FALSE),"Non trouvé")</f>
        <v>12.773279</v>
      </c>
      <c r="I1708" t="str">
        <f>IFERROR(VLOOKUP(Logs_reseau[[#This Row],[Cell_ID]],'[1]Registre_Maintenance_combine '!A:E,5,FALSE),"Non trouvé")</f>
        <v>3G</v>
      </c>
      <c r="J1708" t="str">
        <f>IFERROR(VLOOKUP(Logs_reseau[[#This Row],[Cell_ID]],'[1]Registre_Maintenance_combine '!A:F,6,FALSE),"Non trouvé")</f>
        <v>ZTE</v>
      </c>
    </row>
    <row r="1709" spans="1:10" x14ac:dyDescent="0.25">
      <c r="A1709" t="str">
        <f>IFERROR(VLOOKUP(Logs_reseau[[#This Row],[Cell_ID]],'[1]Registre_Maintenance_combine '!A:B,2,FALSE),"Non trouvé")</f>
        <v>Kasai</v>
      </c>
      <c r="B1709" t="s">
        <v>666</v>
      </c>
      <c r="C1709" s="3">
        <v>45215.776388888888</v>
      </c>
      <c r="D1709" s="11">
        <f>Logs_reseau[[#This Row],[Duree_Panne_Min]]/1440</f>
        <v>6.0416666666666667E-2</v>
      </c>
      <c r="E1709">
        <v>87</v>
      </c>
      <c r="F1709" t="s">
        <v>4</v>
      </c>
      <c r="G1709">
        <f>IFERROR(VLOOKUP(Logs_reseau[[#This Row],[Cell_ID]],'[1]Registre_Maintenance_combine '!A:C,3,FALSE),"Non trouvé")</f>
        <v>2.5665840000000002</v>
      </c>
      <c r="H1709">
        <f>IFERROR(VLOOKUP(Logs_reseau[[#This Row],[Cell_ID]],'[1]Registre_Maintenance_combine '!A:D,4,FALSE),"Non trouvé")</f>
        <v>15.764796</v>
      </c>
      <c r="I1709" t="str">
        <f>IFERROR(VLOOKUP(Logs_reseau[[#This Row],[Cell_ID]],'[1]Registre_Maintenance_combine '!A:E,5,FALSE),"Non trouvé")</f>
        <v>3G</v>
      </c>
      <c r="J1709" t="str">
        <f>IFERROR(VLOOKUP(Logs_reseau[[#This Row],[Cell_ID]],'[1]Registre_Maintenance_combine '!A:F,6,FALSE),"Non trouvé")</f>
        <v>ZTE</v>
      </c>
    </row>
    <row r="1710" spans="1:10" x14ac:dyDescent="0.25">
      <c r="A1710" t="str">
        <f>IFERROR(VLOOKUP(Logs_reseau[[#This Row],[Cell_ID]],'[1]Registre_Maintenance_combine '!A:B,2,FALSE),"Non trouvé")</f>
        <v>Maniema</v>
      </c>
      <c r="B1710" t="s">
        <v>549</v>
      </c>
      <c r="C1710" s="3">
        <v>45215.049305555556</v>
      </c>
      <c r="D1710" s="11">
        <f>Logs_reseau[[#This Row],[Duree_Panne_Min]]/1440</f>
        <v>2.2916666666666665E-2</v>
      </c>
      <c r="E1710">
        <v>33</v>
      </c>
      <c r="F1710" t="s">
        <v>2</v>
      </c>
      <c r="G1710">
        <f>IFERROR(VLOOKUP(Logs_reseau[[#This Row],[Cell_ID]],'[1]Registre_Maintenance_combine '!A:C,3,FALSE),"Non trouvé")</f>
        <v>2.5458379999999998</v>
      </c>
      <c r="H1710">
        <f>IFERROR(VLOOKUP(Logs_reseau[[#This Row],[Cell_ID]],'[1]Registre_Maintenance_combine '!A:D,4,FALSE),"Non trouvé")</f>
        <v>13.308655</v>
      </c>
      <c r="I1710" t="str">
        <f>IFERROR(VLOOKUP(Logs_reseau[[#This Row],[Cell_ID]],'[1]Registre_Maintenance_combine '!A:E,5,FALSE),"Non trouvé")</f>
        <v>5G</v>
      </c>
      <c r="J1710" t="str">
        <f>IFERROR(VLOOKUP(Logs_reseau[[#This Row],[Cell_ID]],'[1]Registre_Maintenance_combine '!A:F,6,FALSE),"Non trouvé")</f>
        <v>ZTE</v>
      </c>
    </row>
    <row r="1711" spans="1:10" x14ac:dyDescent="0.25">
      <c r="A1711" t="str">
        <f>IFERROR(VLOOKUP(Logs_reseau[[#This Row],[Cell_ID]],'[1]Registre_Maintenance_combine '!A:B,2,FALSE),"Non trouvé")</f>
        <v>Non trouvé</v>
      </c>
      <c r="B1711" t="s">
        <v>667</v>
      </c>
      <c r="C1711" s="3">
        <v>45208.506249999999</v>
      </c>
      <c r="D1711" s="11">
        <f>Logs_reseau[[#This Row],[Duree_Panne_Min]]/1440</f>
        <v>6.3194444444444442E-2</v>
      </c>
      <c r="E1711">
        <v>91</v>
      </c>
      <c r="F1711" t="s">
        <v>4</v>
      </c>
      <c r="G1711" t="str">
        <f>IFERROR(VLOOKUP(Logs_reseau[[#This Row],[Cell_ID]],'[1]Registre_Maintenance_combine '!A:C,3,FALSE),"Non trouvé")</f>
        <v>Non trouvé</v>
      </c>
      <c r="H1711" t="str">
        <f>IFERROR(VLOOKUP(Logs_reseau[[#This Row],[Cell_ID]],'[1]Registre_Maintenance_combine '!A:D,4,FALSE),"Non trouvé")</f>
        <v>Non trouvé</v>
      </c>
      <c r="I1711" t="str">
        <f>IFERROR(VLOOKUP(Logs_reseau[[#This Row],[Cell_ID]],'[1]Registre_Maintenance_combine '!A:E,5,FALSE),"Non trouvé")</f>
        <v>Non trouvé</v>
      </c>
      <c r="J1711" t="str">
        <f>IFERROR(VLOOKUP(Logs_reseau[[#This Row],[Cell_ID]],'[1]Registre_Maintenance_combine '!A:F,6,FALSE),"Non trouvé")</f>
        <v>Non trouvé</v>
      </c>
    </row>
    <row r="1712" spans="1:10" x14ac:dyDescent="0.25">
      <c r="A1712" t="str">
        <f>IFERROR(VLOOKUP(Logs_reseau[[#This Row],[Cell_ID]],'[1]Registre_Maintenance_combine '!A:B,2,FALSE),"Non trouvé")</f>
        <v>Non trouvé</v>
      </c>
      <c r="B1712" t="s">
        <v>106</v>
      </c>
      <c r="C1712" s="3">
        <v>45219.821527777778</v>
      </c>
      <c r="D1712" s="11">
        <f>Logs_reseau[[#This Row],[Duree_Panne_Min]]/1440</f>
        <v>2.1527777777777778E-2</v>
      </c>
      <c r="E1712">
        <v>31</v>
      </c>
      <c r="F1712" t="s">
        <v>2</v>
      </c>
      <c r="G1712" t="str">
        <f>IFERROR(VLOOKUP(Logs_reseau[[#This Row],[Cell_ID]],'[1]Registre_Maintenance_combine '!A:C,3,FALSE),"Non trouvé")</f>
        <v>Non trouvé</v>
      </c>
      <c r="H1712" t="str">
        <f>IFERROR(VLOOKUP(Logs_reseau[[#This Row],[Cell_ID]],'[1]Registre_Maintenance_combine '!A:D,4,FALSE),"Non trouvé")</f>
        <v>Non trouvé</v>
      </c>
      <c r="I1712" t="str">
        <f>IFERROR(VLOOKUP(Logs_reseau[[#This Row],[Cell_ID]],'[1]Registre_Maintenance_combine '!A:E,5,FALSE),"Non trouvé")</f>
        <v>Non trouvé</v>
      </c>
      <c r="J1712" t="str">
        <f>IFERROR(VLOOKUP(Logs_reseau[[#This Row],[Cell_ID]],'[1]Registre_Maintenance_combine '!A:F,6,FALSE),"Non trouvé")</f>
        <v>Non trouvé</v>
      </c>
    </row>
    <row r="1713" spans="1:10" x14ac:dyDescent="0.25">
      <c r="A1713" t="str">
        <f>IFERROR(VLOOKUP(Logs_reseau[[#This Row],[Cell_ID]],'[1]Registre_Maintenance_combine '!A:B,2,FALSE),"Non trouvé")</f>
        <v>Haut-Lomami</v>
      </c>
      <c r="B1713" t="s">
        <v>10</v>
      </c>
      <c r="C1713" s="3">
        <v>45222.501388888886</v>
      </c>
      <c r="D1713" s="11">
        <f>Logs_reseau[[#This Row],[Duree_Panne_Min]]/1440</f>
        <v>2.7083333333333334E-2</v>
      </c>
      <c r="E1713">
        <v>39</v>
      </c>
      <c r="F1713" t="s">
        <v>1</v>
      </c>
      <c r="G1713">
        <f>IFERROR(VLOOKUP(Logs_reseau[[#This Row],[Cell_ID]],'[1]Registre_Maintenance_combine '!A:C,3,FALSE),"Non trouvé")</f>
        <v>-11.89448</v>
      </c>
      <c r="H1713">
        <f>IFERROR(VLOOKUP(Logs_reseau[[#This Row],[Cell_ID]],'[1]Registre_Maintenance_combine '!A:D,4,FALSE),"Non trouvé")</f>
        <v>19.216214999999998</v>
      </c>
      <c r="I1713" t="str">
        <f>IFERROR(VLOOKUP(Logs_reseau[[#This Row],[Cell_ID]],'[1]Registre_Maintenance_combine '!A:E,5,FALSE),"Non trouvé")</f>
        <v>3G</v>
      </c>
      <c r="J1713" t="str">
        <f>IFERROR(VLOOKUP(Logs_reseau[[#This Row],[Cell_ID]],'[1]Registre_Maintenance_combine '!A:F,6,FALSE),"Non trouvé")</f>
        <v>ZTE</v>
      </c>
    </row>
    <row r="1714" spans="1:10" x14ac:dyDescent="0.25">
      <c r="A1714" t="str">
        <f>IFERROR(VLOOKUP(Logs_reseau[[#This Row],[Cell_ID]],'[1]Registre_Maintenance_combine '!A:B,2,FALSE),"Non trouvé")</f>
        <v>Kwilu</v>
      </c>
      <c r="B1714" t="s">
        <v>583</v>
      </c>
      <c r="C1714" s="3">
        <v>45212.447222222225</v>
      </c>
      <c r="D1714" s="11">
        <f>Logs_reseau[[#This Row],[Duree_Panne_Min]]/1440</f>
        <v>6.1111111111111109E-2</v>
      </c>
      <c r="E1714">
        <v>88</v>
      </c>
      <c r="F1714" t="s">
        <v>2</v>
      </c>
      <c r="G1714">
        <f>IFERROR(VLOOKUP(Logs_reseau[[#This Row],[Cell_ID]],'[1]Registre_Maintenance_combine '!A:C,3,FALSE),"Non trouvé")</f>
        <v>-7.402336</v>
      </c>
      <c r="H1714">
        <f>IFERROR(VLOOKUP(Logs_reseau[[#This Row],[Cell_ID]],'[1]Registre_Maintenance_combine '!A:D,4,FALSE),"Non trouvé")</f>
        <v>27.376697</v>
      </c>
      <c r="I1714" t="str">
        <f>IFERROR(VLOOKUP(Logs_reseau[[#This Row],[Cell_ID]],'[1]Registre_Maintenance_combine '!A:E,5,FALSE),"Non trouvé")</f>
        <v>4G</v>
      </c>
      <c r="J1714" t="str">
        <f>IFERROR(VLOOKUP(Logs_reseau[[#This Row],[Cell_ID]],'[1]Registre_Maintenance_combine '!A:F,6,FALSE),"Non trouvé")</f>
        <v>Huawei</v>
      </c>
    </row>
    <row r="1715" spans="1:10" x14ac:dyDescent="0.25">
      <c r="A1715" t="str">
        <f>IFERROR(VLOOKUP(Logs_reseau[[#This Row],[Cell_ID]],'[1]Registre_Maintenance_combine '!A:B,2,FALSE),"Non trouvé")</f>
        <v>Kongo-Central</v>
      </c>
      <c r="B1715" t="s">
        <v>629</v>
      </c>
      <c r="C1715" s="3">
        <v>45207.074305555558</v>
      </c>
      <c r="D1715" s="11">
        <f>Logs_reseau[[#This Row],[Duree_Panne_Min]]/1440</f>
        <v>3.9583333333333331E-2</v>
      </c>
      <c r="E1715">
        <v>57</v>
      </c>
      <c r="F1715" t="s">
        <v>1</v>
      </c>
      <c r="G1715">
        <f>IFERROR(VLOOKUP(Logs_reseau[[#This Row],[Cell_ID]],'[1]Registre_Maintenance_combine '!A:C,3,FALSE),"Non trouvé")</f>
        <v>-7.1587569999999996</v>
      </c>
      <c r="H1715">
        <f>IFERROR(VLOOKUP(Logs_reseau[[#This Row],[Cell_ID]],'[1]Registre_Maintenance_combine '!A:D,4,FALSE),"Non trouvé")</f>
        <v>18.975141000000001</v>
      </c>
      <c r="I1715" t="str">
        <f>IFERROR(VLOOKUP(Logs_reseau[[#This Row],[Cell_ID]],'[1]Registre_Maintenance_combine '!A:E,5,FALSE),"Non trouvé")</f>
        <v>5G</v>
      </c>
      <c r="J1715" t="str">
        <f>IFERROR(VLOOKUP(Logs_reseau[[#This Row],[Cell_ID]],'[1]Registre_Maintenance_combine '!A:F,6,FALSE),"Non trouvé")</f>
        <v>Ericsson</v>
      </c>
    </row>
    <row r="1716" spans="1:10" x14ac:dyDescent="0.25">
      <c r="A1716" t="str">
        <f>IFERROR(VLOOKUP(Logs_reseau[[#This Row],[Cell_ID]],'[1]Registre_Maintenance_combine '!A:B,2,FALSE),"Non trouvé")</f>
        <v>Kongo-Central</v>
      </c>
      <c r="B1716" t="s">
        <v>412</v>
      </c>
      <c r="C1716" s="3">
        <v>45215.372916666667</v>
      </c>
      <c r="D1716" s="11">
        <f>Logs_reseau[[#This Row],[Duree_Panne_Min]]/1440</f>
        <v>4.8611111111111112E-2</v>
      </c>
      <c r="E1716">
        <v>70</v>
      </c>
      <c r="F1716" t="s">
        <v>2</v>
      </c>
      <c r="G1716">
        <f>IFERROR(VLOOKUP(Logs_reseau[[#This Row],[Cell_ID]],'[1]Registre_Maintenance_combine '!A:C,3,FALSE),"Non trouvé")</f>
        <v>-12.112399999999999</v>
      </c>
      <c r="H1716">
        <f>IFERROR(VLOOKUP(Logs_reseau[[#This Row],[Cell_ID]],'[1]Registre_Maintenance_combine '!A:D,4,FALSE),"Non trouvé")</f>
        <v>15.872226</v>
      </c>
      <c r="I1716" t="str">
        <f>IFERROR(VLOOKUP(Logs_reseau[[#This Row],[Cell_ID]],'[1]Registre_Maintenance_combine '!A:E,5,FALSE),"Non trouvé")</f>
        <v>4G</v>
      </c>
      <c r="J1716" t="str">
        <f>IFERROR(VLOOKUP(Logs_reseau[[#This Row],[Cell_ID]],'[1]Registre_Maintenance_combine '!A:F,6,FALSE),"Non trouvé")</f>
        <v>Nokia</v>
      </c>
    </row>
    <row r="1717" spans="1:10" x14ac:dyDescent="0.25">
      <c r="A1717" t="str">
        <f>IFERROR(VLOOKUP(Logs_reseau[[#This Row],[Cell_ID]],'[1]Registre_Maintenance_combine '!A:B,2,FALSE),"Non trouvé")</f>
        <v>Non trouvé</v>
      </c>
      <c r="B1717" t="s">
        <v>668</v>
      </c>
      <c r="C1717" s="3">
        <v>45211.01458333333</v>
      </c>
      <c r="D1717" s="11">
        <f>Logs_reseau[[#This Row],[Duree_Panne_Min]]/1440</f>
        <v>4.8611111111111112E-3</v>
      </c>
      <c r="E1717">
        <v>7</v>
      </c>
      <c r="F1717" t="s">
        <v>4</v>
      </c>
      <c r="G1717" t="str">
        <f>IFERROR(VLOOKUP(Logs_reseau[[#This Row],[Cell_ID]],'[1]Registre_Maintenance_combine '!A:C,3,FALSE),"Non trouvé")</f>
        <v>Non trouvé</v>
      </c>
      <c r="H1717" t="str">
        <f>IFERROR(VLOOKUP(Logs_reseau[[#This Row],[Cell_ID]],'[1]Registre_Maintenance_combine '!A:D,4,FALSE),"Non trouvé")</f>
        <v>Non trouvé</v>
      </c>
      <c r="I1717" t="str">
        <f>IFERROR(VLOOKUP(Logs_reseau[[#This Row],[Cell_ID]],'[1]Registre_Maintenance_combine '!A:E,5,FALSE),"Non trouvé")</f>
        <v>Non trouvé</v>
      </c>
      <c r="J1717" t="str">
        <f>IFERROR(VLOOKUP(Logs_reseau[[#This Row],[Cell_ID]],'[1]Registre_Maintenance_combine '!A:F,6,FALSE),"Non trouvé")</f>
        <v>Non trouvé</v>
      </c>
    </row>
    <row r="1718" spans="1:10" x14ac:dyDescent="0.25">
      <c r="A1718" t="str">
        <f>IFERROR(VLOOKUP(Logs_reseau[[#This Row],[Cell_ID]],'[1]Registre_Maintenance_combine '!A:B,2,FALSE),"Non trouvé")</f>
        <v>Non trouvé</v>
      </c>
      <c r="B1718" t="s">
        <v>669</v>
      </c>
      <c r="C1718" s="3">
        <v>45226.388194444444</v>
      </c>
      <c r="D1718" s="11">
        <f>Logs_reseau[[#This Row],[Duree_Panne_Min]]/1440</f>
        <v>7.9861111111111105E-2</v>
      </c>
      <c r="E1718">
        <v>115</v>
      </c>
      <c r="F1718" t="s">
        <v>4</v>
      </c>
      <c r="G1718" t="str">
        <f>IFERROR(VLOOKUP(Logs_reseau[[#This Row],[Cell_ID]],'[1]Registre_Maintenance_combine '!A:C,3,FALSE),"Non trouvé")</f>
        <v>Non trouvé</v>
      </c>
      <c r="H1718" t="str">
        <f>IFERROR(VLOOKUP(Logs_reseau[[#This Row],[Cell_ID]],'[1]Registre_Maintenance_combine '!A:D,4,FALSE),"Non trouvé")</f>
        <v>Non trouvé</v>
      </c>
      <c r="I1718" t="str">
        <f>IFERROR(VLOOKUP(Logs_reseau[[#This Row],[Cell_ID]],'[1]Registre_Maintenance_combine '!A:E,5,FALSE),"Non trouvé")</f>
        <v>Non trouvé</v>
      </c>
      <c r="J1718" t="str">
        <f>IFERROR(VLOOKUP(Logs_reseau[[#This Row],[Cell_ID]],'[1]Registre_Maintenance_combine '!A:F,6,FALSE),"Non trouvé")</f>
        <v>Non trouvé</v>
      </c>
    </row>
    <row r="1719" spans="1:10" x14ac:dyDescent="0.25">
      <c r="A1719" t="str">
        <f>IFERROR(VLOOKUP(Logs_reseau[[#This Row],[Cell_ID]],'[1]Registre_Maintenance_combine '!A:B,2,FALSE),"Non trouvé")</f>
        <v>Non trouvé</v>
      </c>
      <c r="B1719" t="s">
        <v>670</v>
      </c>
      <c r="C1719" s="3">
        <v>45208.662499999999</v>
      </c>
      <c r="D1719" s="11">
        <f>Logs_reseau[[#This Row],[Duree_Panne_Min]]/1440</f>
        <v>7.2222222222222215E-2</v>
      </c>
      <c r="E1719">
        <v>104</v>
      </c>
      <c r="F1719" t="s">
        <v>4</v>
      </c>
      <c r="G1719" t="str">
        <f>IFERROR(VLOOKUP(Logs_reseau[[#This Row],[Cell_ID]],'[1]Registre_Maintenance_combine '!A:C,3,FALSE),"Non trouvé")</f>
        <v>Non trouvé</v>
      </c>
      <c r="H1719" t="str">
        <f>IFERROR(VLOOKUP(Logs_reseau[[#This Row],[Cell_ID]],'[1]Registre_Maintenance_combine '!A:D,4,FALSE),"Non trouvé")</f>
        <v>Non trouvé</v>
      </c>
      <c r="I1719" t="str">
        <f>IFERROR(VLOOKUP(Logs_reseau[[#This Row],[Cell_ID]],'[1]Registre_Maintenance_combine '!A:E,5,FALSE),"Non trouvé")</f>
        <v>Non trouvé</v>
      </c>
      <c r="J1719" t="str">
        <f>IFERROR(VLOOKUP(Logs_reseau[[#This Row],[Cell_ID]],'[1]Registre_Maintenance_combine '!A:F,6,FALSE),"Non trouvé")</f>
        <v>Non trouvé</v>
      </c>
    </row>
    <row r="1720" spans="1:10" x14ac:dyDescent="0.25">
      <c r="A1720" t="str">
        <f>IFERROR(VLOOKUP(Logs_reseau[[#This Row],[Cell_ID]],'[1]Registre_Maintenance_combine '!A:B,2,FALSE),"Non trouvé")</f>
        <v>Non trouvé</v>
      </c>
      <c r="B1720" t="s">
        <v>256</v>
      </c>
      <c r="C1720" s="3">
        <v>45222.879166666666</v>
      </c>
      <c r="D1720" s="11">
        <f>Logs_reseau[[#This Row],[Duree_Panne_Min]]/1440</f>
        <v>7.1527777777777773E-2</v>
      </c>
      <c r="E1720">
        <v>103</v>
      </c>
      <c r="F1720" t="s">
        <v>4</v>
      </c>
      <c r="G1720" t="str">
        <f>IFERROR(VLOOKUP(Logs_reseau[[#This Row],[Cell_ID]],'[1]Registre_Maintenance_combine '!A:C,3,FALSE),"Non trouvé")</f>
        <v>Non trouvé</v>
      </c>
      <c r="H1720" t="str">
        <f>IFERROR(VLOOKUP(Logs_reseau[[#This Row],[Cell_ID]],'[1]Registre_Maintenance_combine '!A:D,4,FALSE),"Non trouvé")</f>
        <v>Non trouvé</v>
      </c>
      <c r="I1720" t="str">
        <f>IFERROR(VLOOKUP(Logs_reseau[[#This Row],[Cell_ID]],'[1]Registre_Maintenance_combine '!A:E,5,FALSE),"Non trouvé")</f>
        <v>Non trouvé</v>
      </c>
      <c r="J1720" t="str">
        <f>IFERROR(VLOOKUP(Logs_reseau[[#This Row],[Cell_ID]],'[1]Registre_Maintenance_combine '!A:F,6,FALSE),"Non trouvé")</f>
        <v>Non trouvé</v>
      </c>
    </row>
    <row r="1721" spans="1:10" x14ac:dyDescent="0.25">
      <c r="A1721" t="str">
        <f>IFERROR(VLOOKUP(Logs_reseau[[#This Row],[Cell_ID]],'[1]Registre_Maintenance_combine '!A:B,2,FALSE),"Non trouvé")</f>
        <v>Haut-Lomami</v>
      </c>
      <c r="B1721" t="s">
        <v>671</v>
      </c>
      <c r="C1721" s="3">
        <v>45227.297222222223</v>
      </c>
      <c r="D1721" s="11">
        <f>Logs_reseau[[#This Row],[Duree_Panne_Min]]/1440</f>
        <v>6.3888888888888884E-2</v>
      </c>
      <c r="E1721">
        <v>92</v>
      </c>
      <c r="F1721" t="s">
        <v>4</v>
      </c>
      <c r="G1721">
        <f>IFERROR(VLOOKUP(Logs_reseau[[#This Row],[Cell_ID]],'[1]Registre_Maintenance_combine '!A:C,3,FALSE),"Non trouvé")</f>
        <v>-5.5559329999999996</v>
      </c>
      <c r="H1721">
        <f>IFERROR(VLOOKUP(Logs_reseau[[#This Row],[Cell_ID]],'[1]Registre_Maintenance_combine '!A:D,4,FALSE),"Non trouvé")</f>
        <v>13.508692999999999</v>
      </c>
      <c r="I1721" t="str">
        <f>IFERROR(VLOOKUP(Logs_reseau[[#This Row],[Cell_ID]],'[1]Registre_Maintenance_combine '!A:E,5,FALSE),"Non trouvé")</f>
        <v>3G</v>
      </c>
      <c r="J1721" t="str">
        <f>IFERROR(VLOOKUP(Logs_reseau[[#This Row],[Cell_ID]],'[1]Registre_Maintenance_combine '!A:F,6,FALSE),"Non trouvé")</f>
        <v>Nokia</v>
      </c>
    </row>
    <row r="1722" spans="1:10" x14ac:dyDescent="0.25">
      <c r="A1722" t="str">
        <f>IFERROR(VLOOKUP(Logs_reseau[[#This Row],[Cell_ID]],'[1]Registre_Maintenance_combine '!A:B,2,FALSE),"Non trouvé")</f>
        <v>Non trouvé</v>
      </c>
      <c r="B1722" t="s">
        <v>608</v>
      </c>
      <c r="C1722" s="3">
        <v>45209.977777777778</v>
      </c>
      <c r="D1722" s="11">
        <f>Logs_reseau[[#This Row],[Duree_Panne_Min]]/1440</f>
        <v>4.1666666666666666E-3</v>
      </c>
      <c r="E1722">
        <v>6</v>
      </c>
      <c r="F1722" t="s">
        <v>4</v>
      </c>
      <c r="G1722" t="str">
        <f>IFERROR(VLOOKUP(Logs_reseau[[#This Row],[Cell_ID]],'[1]Registre_Maintenance_combine '!A:C,3,FALSE),"Non trouvé")</f>
        <v>Non trouvé</v>
      </c>
      <c r="H1722" t="str">
        <f>IFERROR(VLOOKUP(Logs_reseau[[#This Row],[Cell_ID]],'[1]Registre_Maintenance_combine '!A:D,4,FALSE),"Non trouvé")</f>
        <v>Non trouvé</v>
      </c>
      <c r="I1722" t="str">
        <f>IFERROR(VLOOKUP(Logs_reseau[[#This Row],[Cell_ID]],'[1]Registre_Maintenance_combine '!A:E,5,FALSE),"Non trouvé")</f>
        <v>Non trouvé</v>
      </c>
      <c r="J1722" t="str">
        <f>IFERROR(VLOOKUP(Logs_reseau[[#This Row],[Cell_ID]],'[1]Registre_Maintenance_combine '!A:F,6,FALSE),"Non trouvé")</f>
        <v>Non trouvé</v>
      </c>
    </row>
    <row r="1723" spans="1:10" x14ac:dyDescent="0.25">
      <c r="A1723" t="str">
        <f>IFERROR(VLOOKUP(Logs_reseau[[#This Row],[Cell_ID]],'[1]Registre_Maintenance_combine '!A:B,2,FALSE),"Non trouvé")</f>
        <v>Haut-Katanga</v>
      </c>
      <c r="B1723" t="s">
        <v>216</v>
      </c>
      <c r="C1723" s="3">
        <v>45224.428472222222</v>
      </c>
      <c r="D1723" s="11">
        <f>Logs_reseau[[#This Row],[Duree_Panne_Min]]/1440</f>
        <v>4.5138888888888888E-2</v>
      </c>
      <c r="E1723">
        <v>65</v>
      </c>
      <c r="F1723" t="s">
        <v>2</v>
      </c>
      <c r="G1723">
        <f>IFERROR(VLOOKUP(Logs_reseau[[#This Row],[Cell_ID]],'[1]Registre_Maintenance_combine '!A:C,3,FALSE),"Non trouvé")</f>
        <v>0.172153</v>
      </c>
      <c r="H1723">
        <f>IFERROR(VLOOKUP(Logs_reseau[[#This Row],[Cell_ID]],'[1]Registre_Maintenance_combine '!A:D,4,FALSE),"Non trouvé")</f>
        <v>21.091376</v>
      </c>
      <c r="I1723" t="str">
        <f>IFERROR(VLOOKUP(Logs_reseau[[#This Row],[Cell_ID]],'[1]Registre_Maintenance_combine '!A:E,5,FALSE),"Non trouvé")</f>
        <v>3G</v>
      </c>
      <c r="J1723" t="str">
        <f>IFERROR(VLOOKUP(Logs_reseau[[#This Row],[Cell_ID]],'[1]Registre_Maintenance_combine '!A:F,6,FALSE),"Non trouvé")</f>
        <v>Ericsson</v>
      </c>
    </row>
    <row r="1724" spans="1:10" x14ac:dyDescent="0.25">
      <c r="A1724" t="str">
        <f>IFERROR(VLOOKUP(Logs_reseau[[#This Row],[Cell_ID]],'[1]Registre_Maintenance_combine '!A:B,2,FALSE),"Non trouvé")</f>
        <v>Non trouvé</v>
      </c>
      <c r="B1724" t="s">
        <v>672</v>
      </c>
      <c r="C1724" s="3">
        <v>45223.568055555559</v>
      </c>
      <c r="D1724" s="11">
        <f>Logs_reseau[[#This Row],[Duree_Panne_Min]]/1440</f>
        <v>1.4583333333333334E-2</v>
      </c>
      <c r="E1724">
        <v>21</v>
      </c>
      <c r="F1724" t="s">
        <v>1</v>
      </c>
      <c r="G1724" t="str">
        <f>IFERROR(VLOOKUP(Logs_reseau[[#This Row],[Cell_ID]],'[1]Registre_Maintenance_combine '!A:C,3,FALSE),"Non trouvé")</f>
        <v>Non trouvé</v>
      </c>
      <c r="H1724" t="str">
        <f>IFERROR(VLOOKUP(Logs_reseau[[#This Row],[Cell_ID]],'[1]Registre_Maintenance_combine '!A:D,4,FALSE),"Non trouvé")</f>
        <v>Non trouvé</v>
      </c>
      <c r="I1724" t="str">
        <f>IFERROR(VLOOKUP(Logs_reseau[[#This Row],[Cell_ID]],'[1]Registre_Maintenance_combine '!A:E,5,FALSE),"Non trouvé")</f>
        <v>Non trouvé</v>
      </c>
      <c r="J1724" t="str">
        <f>IFERROR(VLOOKUP(Logs_reseau[[#This Row],[Cell_ID]],'[1]Registre_Maintenance_combine '!A:F,6,FALSE),"Non trouvé")</f>
        <v>Non trouvé</v>
      </c>
    </row>
    <row r="1725" spans="1:10" x14ac:dyDescent="0.25">
      <c r="A1725" t="str">
        <f>IFERROR(VLOOKUP(Logs_reseau[[#This Row],[Cell_ID]],'[1]Registre_Maintenance_combine '!A:B,2,FALSE),"Non trouvé")</f>
        <v>Non trouvé</v>
      </c>
      <c r="B1725" t="s">
        <v>213</v>
      </c>
      <c r="C1725" s="3">
        <v>45220.091666666667</v>
      </c>
      <c r="D1725" s="11">
        <f>Logs_reseau[[#This Row],[Duree_Panne_Min]]/1440</f>
        <v>6.0416666666666667E-2</v>
      </c>
      <c r="E1725">
        <v>87</v>
      </c>
      <c r="F1725" t="s">
        <v>2</v>
      </c>
      <c r="G1725" t="str">
        <f>IFERROR(VLOOKUP(Logs_reseau[[#This Row],[Cell_ID]],'[1]Registre_Maintenance_combine '!A:C,3,FALSE),"Non trouvé")</f>
        <v>Non trouvé</v>
      </c>
      <c r="H1725" t="str">
        <f>IFERROR(VLOOKUP(Logs_reseau[[#This Row],[Cell_ID]],'[1]Registre_Maintenance_combine '!A:D,4,FALSE),"Non trouvé")</f>
        <v>Non trouvé</v>
      </c>
      <c r="I1725" t="str">
        <f>IFERROR(VLOOKUP(Logs_reseau[[#This Row],[Cell_ID]],'[1]Registre_Maintenance_combine '!A:E,5,FALSE),"Non trouvé")</f>
        <v>Non trouvé</v>
      </c>
      <c r="J1725" t="str">
        <f>IFERROR(VLOOKUP(Logs_reseau[[#This Row],[Cell_ID]],'[1]Registre_Maintenance_combine '!A:F,6,FALSE),"Non trouvé")</f>
        <v>Non trouvé</v>
      </c>
    </row>
    <row r="1726" spans="1:10" x14ac:dyDescent="0.25">
      <c r="A1726" t="str">
        <f>IFERROR(VLOOKUP(Logs_reseau[[#This Row],[Cell_ID]],'[1]Registre_Maintenance_combine '!A:B,2,FALSE),"Non trouvé")</f>
        <v>Equateur</v>
      </c>
      <c r="B1726" t="s">
        <v>555</v>
      </c>
      <c r="C1726" s="3">
        <v>45214.290277777778</v>
      </c>
      <c r="D1726" s="11">
        <f>Logs_reseau[[#This Row],[Duree_Panne_Min]]/1440</f>
        <v>1.8749999999999999E-2</v>
      </c>
      <c r="E1726">
        <v>27</v>
      </c>
      <c r="F1726" t="s">
        <v>2</v>
      </c>
      <c r="G1726">
        <f>IFERROR(VLOOKUP(Logs_reseau[[#This Row],[Cell_ID]],'[1]Registre_Maintenance_combine '!A:C,3,FALSE),"Non trouvé")</f>
        <v>-12.839263000000001</v>
      </c>
      <c r="H1726">
        <f>IFERROR(VLOOKUP(Logs_reseau[[#This Row],[Cell_ID]],'[1]Registre_Maintenance_combine '!A:D,4,FALSE),"Non trouvé")</f>
        <v>12.355677</v>
      </c>
      <c r="I1726" t="str">
        <f>IFERROR(VLOOKUP(Logs_reseau[[#This Row],[Cell_ID]],'[1]Registre_Maintenance_combine '!A:E,5,FALSE),"Non trouvé")</f>
        <v>3G</v>
      </c>
      <c r="J1726" t="str">
        <f>IFERROR(VLOOKUP(Logs_reseau[[#This Row],[Cell_ID]],'[1]Registre_Maintenance_combine '!A:F,6,FALSE),"Non trouvé")</f>
        <v>Huawei</v>
      </c>
    </row>
    <row r="1727" spans="1:10" x14ac:dyDescent="0.25">
      <c r="A1727" t="str">
        <f>IFERROR(VLOOKUP(Logs_reseau[[#This Row],[Cell_ID]],'[1]Registre_Maintenance_combine '!A:B,2,FALSE),"Non trouvé")</f>
        <v>Non trouvé</v>
      </c>
      <c r="B1727" t="s">
        <v>112</v>
      </c>
      <c r="C1727" s="3">
        <v>45226.574305555558</v>
      </c>
      <c r="D1727" s="11">
        <f>Logs_reseau[[#This Row],[Duree_Panne_Min]]/1440</f>
        <v>5.6250000000000001E-2</v>
      </c>
      <c r="E1727">
        <v>81</v>
      </c>
      <c r="F1727" t="s">
        <v>2</v>
      </c>
      <c r="G1727" t="str">
        <f>IFERROR(VLOOKUP(Logs_reseau[[#This Row],[Cell_ID]],'[1]Registre_Maintenance_combine '!A:C,3,FALSE),"Non trouvé")</f>
        <v>Non trouvé</v>
      </c>
      <c r="H1727" t="str">
        <f>IFERROR(VLOOKUP(Logs_reseau[[#This Row],[Cell_ID]],'[1]Registre_Maintenance_combine '!A:D,4,FALSE),"Non trouvé")</f>
        <v>Non trouvé</v>
      </c>
      <c r="I1727" t="str">
        <f>IFERROR(VLOOKUP(Logs_reseau[[#This Row],[Cell_ID]],'[1]Registre_Maintenance_combine '!A:E,5,FALSE),"Non trouvé")</f>
        <v>Non trouvé</v>
      </c>
      <c r="J1727" t="str">
        <f>IFERROR(VLOOKUP(Logs_reseau[[#This Row],[Cell_ID]],'[1]Registre_Maintenance_combine '!A:F,6,FALSE),"Non trouvé")</f>
        <v>Non trouvé</v>
      </c>
    </row>
    <row r="1728" spans="1:10" x14ac:dyDescent="0.25">
      <c r="A1728" t="str">
        <f>IFERROR(VLOOKUP(Logs_reseau[[#This Row],[Cell_ID]],'[1]Registre_Maintenance_combine '!A:B,2,FALSE),"Non trouvé")</f>
        <v>Kongo-Central</v>
      </c>
      <c r="B1728" t="s">
        <v>394</v>
      </c>
      <c r="C1728" s="3">
        <v>45215.704861111109</v>
      </c>
      <c r="D1728" s="11">
        <f>Logs_reseau[[#This Row],[Duree_Panne_Min]]/1440</f>
        <v>7.4305555555555555E-2</v>
      </c>
      <c r="E1728">
        <v>107</v>
      </c>
      <c r="F1728" t="s">
        <v>1</v>
      </c>
      <c r="G1728">
        <f>IFERROR(VLOOKUP(Logs_reseau[[#This Row],[Cell_ID]],'[1]Registre_Maintenance_combine '!A:C,3,FALSE),"Non trouvé")</f>
        <v>-12.564277000000001</v>
      </c>
      <c r="H1728">
        <f>IFERROR(VLOOKUP(Logs_reseau[[#This Row],[Cell_ID]],'[1]Registre_Maintenance_combine '!A:D,4,FALSE),"Non trouvé")</f>
        <v>28.480798</v>
      </c>
      <c r="I1728" t="str">
        <f>IFERROR(VLOOKUP(Logs_reseau[[#This Row],[Cell_ID]],'[1]Registre_Maintenance_combine '!A:E,5,FALSE),"Non trouvé")</f>
        <v>5G</v>
      </c>
      <c r="J1728" t="str">
        <f>IFERROR(VLOOKUP(Logs_reseau[[#This Row],[Cell_ID]],'[1]Registre_Maintenance_combine '!A:F,6,FALSE),"Non trouvé")</f>
        <v>ZTE</v>
      </c>
    </row>
    <row r="1729" spans="1:10" x14ac:dyDescent="0.25">
      <c r="A1729" t="str">
        <f>IFERROR(VLOOKUP(Logs_reseau[[#This Row],[Cell_ID]],'[1]Registre_Maintenance_combine '!A:B,2,FALSE),"Non trouvé")</f>
        <v>Kasai-Oriental</v>
      </c>
      <c r="B1729" t="s">
        <v>67</v>
      </c>
      <c r="C1729" s="3">
        <v>45211.063888888886</v>
      </c>
      <c r="D1729" s="11">
        <f>Logs_reseau[[#This Row],[Duree_Panne_Min]]/1440</f>
        <v>4.1666666666666666E-3</v>
      </c>
      <c r="E1729">
        <v>6</v>
      </c>
      <c r="F1729" t="s">
        <v>4</v>
      </c>
      <c r="G1729">
        <f>IFERROR(VLOOKUP(Logs_reseau[[#This Row],[Cell_ID]],'[1]Registre_Maintenance_combine '!A:C,3,FALSE),"Non trouvé")</f>
        <v>1.7832440000000001</v>
      </c>
      <c r="H1729">
        <f>IFERROR(VLOOKUP(Logs_reseau[[#This Row],[Cell_ID]],'[1]Registre_Maintenance_combine '!A:D,4,FALSE),"Non trouvé")</f>
        <v>25.477405999999998</v>
      </c>
      <c r="I1729" t="str">
        <f>IFERROR(VLOOKUP(Logs_reseau[[#This Row],[Cell_ID]],'[1]Registre_Maintenance_combine '!A:E,5,FALSE),"Non trouvé")</f>
        <v>5G</v>
      </c>
      <c r="J1729" t="str">
        <f>IFERROR(VLOOKUP(Logs_reseau[[#This Row],[Cell_ID]],'[1]Registre_Maintenance_combine '!A:F,6,FALSE),"Non trouvé")</f>
        <v>Huawei</v>
      </c>
    </row>
    <row r="1730" spans="1:10" x14ac:dyDescent="0.25">
      <c r="A1730" t="str">
        <f>IFERROR(VLOOKUP(Logs_reseau[[#This Row],[Cell_ID]],'[1]Registre_Maintenance_combine '!A:B,2,FALSE),"Non trouvé")</f>
        <v>Non trouvé</v>
      </c>
      <c r="B1730" t="s">
        <v>673</v>
      </c>
      <c r="C1730" s="3">
        <v>45225.211111111108</v>
      </c>
      <c r="D1730" s="11">
        <f>Logs_reseau[[#This Row],[Duree_Panne_Min]]/1440</f>
        <v>2.2916666666666665E-2</v>
      </c>
      <c r="E1730">
        <v>33</v>
      </c>
      <c r="F1730" t="s">
        <v>2</v>
      </c>
      <c r="G1730" t="str">
        <f>IFERROR(VLOOKUP(Logs_reseau[[#This Row],[Cell_ID]],'[1]Registre_Maintenance_combine '!A:C,3,FALSE),"Non trouvé")</f>
        <v>Non trouvé</v>
      </c>
      <c r="H1730" t="str">
        <f>IFERROR(VLOOKUP(Logs_reseau[[#This Row],[Cell_ID]],'[1]Registre_Maintenance_combine '!A:D,4,FALSE),"Non trouvé")</f>
        <v>Non trouvé</v>
      </c>
      <c r="I1730" t="str">
        <f>IFERROR(VLOOKUP(Logs_reseau[[#This Row],[Cell_ID]],'[1]Registre_Maintenance_combine '!A:E,5,FALSE),"Non trouvé")</f>
        <v>Non trouvé</v>
      </c>
      <c r="J1730" t="str">
        <f>IFERROR(VLOOKUP(Logs_reseau[[#This Row],[Cell_ID]],'[1]Registre_Maintenance_combine '!A:F,6,FALSE),"Non trouvé")</f>
        <v>Non trouvé</v>
      </c>
    </row>
    <row r="1731" spans="1:10" x14ac:dyDescent="0.25">
      <c r="A1731" t="str">
        <f>IFERROR(VLOOKUP(Logs_reseau[[#This Row],[Cell_ID]],'[1]Registre_Maintenance_combine '!A:B,2,FALSE),"Non trouvé")</f>
        <v>Haut-Katanga</v>
      </c>
      <c r="B1731" t="s">
        <v>246</v>
      </c>
      <c r="C1731" s="3">
        <v>45209.938888888886</v>
      </c>
      <c r="D1731" s="11">
        <f>Logs_reseau[[#This Row],[Duree_Panne_Min]]/1440</f>
        <v>2.5694444444444443E-2</v>
      </c>
      <c r="E1731">
        <v>37</v>
      </c>
      <c r="F1731" t="s">
        <v>2</v>
      </c>
      <c r="G1731">
        <f>IFERROR(VLOOKUP(Logs_reseau[[#This Row],[Cell_ID]],'[1]Registre_Maintenance_combine '!A:C,3,FALSE),"Non trouvé")</f>
        <v>-5.5445120000000001</v>
      </c>
      <c r="H1731">
        <f>IFERROR(VLOOKUP(Logs_reseau[[#This Row],[Cell_ID]],'[1]Registre_Maintenance_combine '!A:D,4,FALSE),"Non trouvé")</f>
        <v>27.547335</v>
      </c>
      <c r="I1731" t="str">
        <f>IFERROR(VLOOKUP(Logs_reseau[[#This Row],[Cell_ID]],'[1]Registre_Maintenance_combine '!A:E,5,FALSE),"Non trouvé")</f>
        <v>4G</v>
      </c>
      <c r="J1731" t="str">
        <f>IFERROR(VLOOKUP(Logs_reseau[[#This Row],[Cell_ID]],'[1]Registre_Maintenance_combine '!A:F,6,FALSE),"Non trouvé")</f>
        <v>Ericsson</v>
      </c>
    </row>
    <row r="1732" spans="1:10" x14ac:dyDescent="0.25">
      <c r="A1732" t="str">
        <f>IFERROR(VLOOKUP(Logs_reseau[[#This Row],[Cell_ID]],'[1]Registre_Maintenance_combine '!A:B,2,FALSE),"Non trouvé")</f>
        <v>Non trouvé</v>
      </c>
      <c r="B1732" t="s">
        <v>410</v>
      </c>
      <c r="C1732" s="3">
        <v>45212.200694444444</v>
      </c>
      <c r="D1732" s="11">
        <f>Logs_reseau[[#This Row],[Duree_Panne_Min]]/1440</f>
        <v>5.6944444444444443E-2</v>
      </c>
      <c r="E1732">
        <v>82</v>
      </c>
      <c r="F1732" t="s">
        <v>1</v>
      </c>
      <c r="G1732" t="str">
        <f>IFERROR(VLOOKUP(Logs_reseau[[#This Row],[Cell_ID]],'[1]Registre_Maintenance_combine '!A:C,3,FALSE),"Non trouvé")</f>
        <v>Non trouvé</v>
      </c>
      <c r="H1732" t="str">
        <f>IFERROR(VLOOKUP(Logs_reseau[[#This Row],[Cell_ID]],'[1]Registre_Maintenance_combine '!A:D,4,FALSE),"Non trouvé")</f>
        <v>Non trouvé</v>
      </c>
      <c r="I1732" t="str">
        <f>IFERROR(VLOOKUP(Logs_reseau[[#This Row],[Cell_ID]],'[1]Registre_Maintenance_combine '!A:E,5,FALSE),"Non trouvé")</f>
        <v>Non trouvé</v>
      </c>
      <c r="J1732" t="str">
        <f>IFERROR(VLOOKUP(Logs_reseau[[#This Row],[Cell_ID]],'[1]Registre_Maintenance_combine '!A:F,6,FALSE),"Non trouvé")</f>
        <v>Non trouvé</v>
      </c>
    </row>
    <row r="1733" spans="1:10" x14ac:dyDescent="0.25">
      <c r="A1733" t="str">
        <f>IFERROR(VLOOKUP(Logs_reseau[[#This Row],[Cell_ID]],'[1]Registre_Maintenance_combine '!A:B,2,FALSE),"Non trouvé")</f>
        <v>Non trouvé</v>
      </c>
      <c r="B1733" t="s">
        <v>405</v>
      </c>
      <c r="C1733" s="3">
        <v>45227.705555555556</v>
      </c>
      <c r="D1733" s="11">
        <f>Logs_reseau[[#This Row],[Duree_Panne_Min]]/1440</f>
        <v>7.4999999999999997E-2</v>
      </c>
      <c r="E1733">
        <v>108</v>
      </c>
      <c r="F1733" t="s">
        <v>2</v>
      </c>
      <c r="G1733" t="str">
        <f>IFERROR(VLOOKUP(Logs_reseau[[#This Row],[Cell_ID]],'[1]Registre_Maintenance_combine '!A:C,3,FALSE),"Non trouvé")</f>
        <v>Non trouvé</v>
      </c>
      <c r="H1733" t="str">
        <f>IFERROR(VLOOKUP(Logs_reseau[[#This Row],[Cell_ID]],'[1]Registre_Maintenance_combine '!A:D,4,FALSE),"Non trouvé")</f>
        <v>Non trouvé</v>
      </c>
      <c r="I1733" t="str">
        <f>IFERROR(VLOOKUP(Logs_reseau[[#This Row],[Cell_ID]],'[1]Registre_Maintenance_combine '!A:E,5,FALSE),"Non trouvé")</f>
        <v>Non trouvé</v>
      </c>
      <c r="J1733" t="str">
        <f>IFERROR(VLOOKUP(Logs_reseau[[#This Row],[Cell_ID]],'[1]Registre_Maintenance_combine '!A:F,6,FALSE),"Non trouvé")</f>
        <v>Non trouvé</v>
      </c>
    </row>
    <row r="1734" spans="1:10" x14ac:dyDescent="0.25">
      <c r="A1734" t="str">
        <f>IFERROR(VLOOKUP(Logs_reseau[[#This Row],[Cell_ID]],'[1]Registre_Maintenance_combine '!A:B,2,FALSE),"Non trouvé")</f>
        <v>Sud-Kivu</v>
      </c>
      <c r="B1734" t="s">
        <v>286</v>
      </c>
      <c r="C1734" s="3">
        <v>45218.007638888892</v>
      </c>
      <c r="D1734" s="11">
        <f>Logs_reseau[[#This Row],[Duree_Panne_Min]]/1440</f>
        <v>3.0555555555555555E-2</v>
      </c>
      <c r="E1734">
        <v>44</v>
      </c>
      <c r="F1734" t="s">
        <v>2</v>
      </c>
      <c r="G1734">
        <f>IFERROR(VLOOKUP(Logs_reseau[[#This Row],[Cell_ID]],'[1]Registre_Maintenance_combine '!A:C,3,FALSE),"Non trouvé")</f>
        <v>-9.4702129999999993</v>
      </c>
      <c r="H1734">
        <f>IFERROR(VLOOKUP(Logs_reseau[[#This Row],[Cell_ID]],'[1]Registre_Maintenance_combine '!A:D,4,FALSE),"Non trouvé")</f>
        <v>12.826158</v>
      </c>
      <c r="I1734" t="str">
        <f>IFERROR(VLOOKUP(Logs_reseau[[#This Row],[Cell_ID]],'[1]Registre_Maintenance_combine '!A:E,5,FALSE),"Non trouvé")</f>
        <v>3G</v>
      </c>
      <c r="J1734" t="str">
        <f>IFERROR(VLOOKUP(Logs_reseau[[#This Row],[Cell_ID]],'[1]Registre_Maintenance_combine '!A:F,6,FALSE),"Non trouvé")</f>
        <v>Ericsson</v>
      </c>
    </row>
    <row r="1735" spans="1:10" x14ac:dyDescent="0.25">
      <c r="A1735" t="str">
        <f>IFERROR(VLOOKUP(Logs_reseau[[#This Row],[Cell_ID]],'[1]Registre_Maintenance_combine '!A:B,2,FALSE),"Non trouvé")</f>
        <v>Haut-Katanga</v>
      </c>
      <c r="B1735" t="s">
        <v>246</v>
      </c>
      <c r="C1735" s="3">
        <v>45206.286805555559</v>
      </c>
      <c r="D1735" s="11">
        <f>Logs_reseau[[#This Row],[Duree_Panne_Min]]/1440</f>
        <v>6.6666666666666666E-2</v>
      </c>
      <c r="E1735">
        <v>96</v>
      </c>
      <c r="F1735" t="s">
        <v>2</v>
      </c>
      <c r="G1735">
        <f>IFERROR(VLOOKUP(Logs_reseau[[#This Row],[Cell_ID]],'[1]Registre_Maintenance_combine '!A:C,3,FALSE),"Non trouvé")</f>
        <v>-5.5445120000000001</v>
      </c>
      <c r="H1735">
        <f>IFERROR(VLOOKUP(Logs_reseau[[#This Row],[Cell_ID]],'[1]Registre_Maintenance_combine '!A:D,4,FALSE),"Non trouvé")</f>
        <v>27.547335</v>
      </c>
      <c r="I1735" t="str">
        <f>IFERROR(VLOOKUP(Logs_reseau[[#This Row],[Cell_ID]],'[1]Registre_Maintenance_combine '!A:E,5,FALSE),"Non trouvé")</f>
        <v>4G</v>
      </c>
      <c r="J1735" t="str">
        <f>IFERROR(VLOOKUP(Logs_reseau[[#This Row],[Cell_ID]],'[1]Registre_Maintenance_combine '!A:F,6,FALSE),"Non trouvé")</f>
        <v>Ericsson</v>
      </c>
    </row>
    <row r="1736" spans="1:10" x14ac:dyDescent="0.25">
      <c r="A1736" t="str">
        <f>IFERROR(VLOOKUP(Logs_reseau[[#This Row],[Cell_ID]],'[1]Registre_Maintenance_combine '!A:B,2,FALSE),"Non trouvé")</f>
        <v>Lomami</v>
      </c>
      <c r="B1736" t="s">
        <v>631</v>
      </c>
      <c r="C1736" s="3">
        <v>45201.293055555558</v>
      </c>
      <c r="D1736" s="11">
        <f>Logs_reseau[[#This Row],[Duree_Panne_Min]]/1440</f>
        <v>6.5972222222222224E-2</v>
      </c>
      <c r="E1736">
        <v>95</v>
      </c>
      <c r="F1736" t="s">
        <v>4</v>
      </c>
      <c r="G1736">
        <f>IFERROR(VLOOKUP(Logs_reseau[[#This Row],[Cell_ID]],'[1]Registre_Maintenance_combine '!A:C,3,FALSE),"Non trouvé")</f>
        <v>-9.5619429999999994</v>
      </c>
      <c r="H1736">
        <f>IFERROR(VLOOKUP(Logs_reseau[[#This Row],[Cell_ID]],'[1]Registre_Maintenance_combine '!A:D,4,FALSE),"Non trouvé")</f>
        <v>21.445726000000001</v>
      </c>
      <c r="I1736" t="str">
        <f>IFERROR(VLOOKUP(Logs_reseau[[#This Row],[Cell_ID]],'[1]Registre_Maintenance_combine '!A:E,5,FALSE),"Non trouvé")</f>
        <v>4G</v>
      </c>
      <c r="J1736" t="str">
        <f>IFERROR(VLOOKUP(Logs_reseau[[#This Row],[Cell_ID]],'[1]Registre_Maintenance_combine '!A:F,6,FALSE),"Non trouvé")</f>
        <v>Nokia</v>
      </c>
    </row>
    <row r="1737" spans="1:10" x14ac:dyDescent="0.25">
      <c r="A1737" t="str">
        <f>IFERROR(VLOOKUP(Logs_reseau[[#This Row],[Cell_ID]],'[1]Registre_Maintenance_combine '!A:B,2,FALSE),"Non trouvé")</f>
        <v>Non trouvé</v>
      </c>
      <c r="B1737" t="s">
        <v>674</v>
      </c>
      <c r="C1737" s="3">
        <v>45214.081944444442</v>
      </c>
      <c r="D1737" s="11">
        <f>Logs_reseau[[#This Row],[Duree_Panne_Min]]/1440</f>
        <v>6.0416666666666667E-2</v>
      </c>
      <c r="E1737">
        <v>87</v>
      </c>
      <c r="F1737" t="s">
        <v>2</v>
      </c>
      <c r="G1737" t="str">
        <f>IFERROR(VLOOKUP(Logs_reseau[[#This Row],[Cell_ID]],'[1]Registre_Maintenance_combine '!A:C,3,FALSE),"Non trouvé")</f>
        <v>Non trouvé</v>
      </c>
      <c r="H1737" t="str">
        <f>IFERROR(VLOOKUP(Logs_reseau[[#This Row],[Cell_ID]],'[1]Registre_Maintenance_combine '!A:D,4,FALSE),"Non trouvé")</f>
        <v>Non trouvé</v>
      </c>
      <c r="I1737" t="str">
        <f>IFERROR(VLOOKUP(Logs_reseau[[#This Row],[Cell_ID]],'[1]Registre_Maintenance_combine '!A:E,5,FALSE),"Non trouvé")</f>
        <v>Non trouvé</v>
      </c>
      <c r="J1737" t="str">
        <f>IFERROR(VLOOKUP(Logs_reseau[[#This Row],[Cell_ID]],'[1]Registre_Maintenance_combine '!A:F,6,FALSE),"Non trouvé")</f>
        <v>Non trouvé</v>
      </c>
    </row>
    <row r="1738" spans="1:10" x14ac:dyDescent="0.25">
      <c r="A1738" t="str">
        <f>IFERROR(VLOOKUP(Logs_reseau[[#This Row],[Cell_ID]],'[1]Registre_Maintenance_combine '!A:B,2,FALSE),"Non trouvé")</f>
        <v>Non trouvé</v>
      </c>
      <c r="B1738" t="s">
        <v>318</v>
      </c>
      <c r="C1738" s="3">
        <v>45211.925000000003</v>
      </c>
      <c r="D1738" s="11">
        <f>Logs_reseau[[#This Row],[Duree_Panne_Min]]/1440</f>
        <v>2.7777777777777776E-2</v>
      </c>
      <c r="E1738">
        <v>40</v>
      </c>
      <c r="F1738" t="s">
        <v>4</v>
      </c>
      <c r="G1738" t="str">
        <f>IFERROR(VLOOKUP(Logs_reseau[[#This Row],[Cell_ID]],'[1]Registre_Maintenance_combine '!A:C,3,FALSE),"Non trouvé")</f>
        <v>Non trouvé</v>
      </c>
      <c r="H1738" t="str">
        <f>IFERROR(VLOOKUP(Logs_reseau[[#This Row],[Cell_ID]],'[1]Registre_Maintenance_combine '!A:D,4,FALSE),"Non trouvé")</f>
        <v>Non trouvé</v>
      </c>
      <c r="I1738" t="str">
        <f>IFERROR(VLOOKUP(Logs_reseau[[#This Row],[Cell_ID]],'[1]Registre_Maintenance_combine '!A:E,5,FALSE),"Non trouvé")</f>
        <v>Non trouvé</v>
      </c>
      <c r="J1738" t="str">
        <f>IFERROR(VLOOKUP(Logs_reseau[[#This Row],[Cell_ID]],'[1]Registre_Maintenance_combine '!A:F,6,FALSE),"Non trouvé")</f>
        <v>Non trouvé</v>
      </c>
    </row>
    <row r="1739" spans="1:10" x14ac:dyDescent="0.25">
      <c r="A1739" t="str">
        <f>IFERROR(VLOOKUP(Logs_reseau[[#This Row],[Cell_ID]],'[1]Registre_Maintenance_combine '!A:B,2,FALSE),"Non trouvé")</f>
        <v>Non trouvé</v>
      </c>
      <c r="B1739" t="s">
        <v>470</v>
      </c>
      <c r="C1739" s="3">
        <v>45208.494444444441</v>
      </c>
      <c r="D1739" s="11">
        <f>Logs_reseau[[#This Row],[Duree_Panne_Min]]/1440</f>
        <v>4.0972222222222222E-2</v>
      </c>
      <c r="E1739">
        <v>59</v>
      </c>
      <c r="F1739" t="s">
        <v>2</v>
      </c>
      <c r="G1739" t="str">
        <f>IFERROR(VLOOKUP(Logs_reseau[[#This Row],[Cell_ID]],'[1]Registre_Maintenance_combine '!A:C,3,FALSE),"Non trouvé")</f>
        <v>Non trouvé</v>
      </c>
      <c r="H1739" t="str">
        <f>IFERROR(VLOOKUP(Logs_reseau[[#This Row],[Cell_ID]],'[1]Registre_Maintenance_combine '!A:D,4,FALSE),"Non trouvé")</f>
        <v>Non trouvé</v>
      </c>
      <c r="I1739" t="str">
        <f>IFERROR(VLOOKUP(Logs_reseau[[#This Row],[Cell_ID]],'[1]Registre_Maintenance_combine '!A:E,5,FALSE),"Non trouvé")</f>
        <v>Non trouvé</v>
      </c>
      <c r="J1739" t="str">
        <f>IFERROR(VLOOKUP(Logs_reseau[[#This Row],[Cell_ID]],'[1]Registre_Maintenance_combine '!A:F,6,FALSE),"Non trouvé")</f>
        <v>Non trouvé</v>
      </c>
    </row>
    <row r="1740" spans="1:10" x14ac:dyDescent="0.25">
      <c r="A1740" t="str">
        <f>IFERROR(VLOOKUP(Logs_reseau[[#This Row],[Cell_ID]],'[1]Registre_Maintenance_combine '!A:B,2,FALSE),"Non trouvé")</f>
        <v>Lomami</v>
      </c>
      <c r="B1740" t="s">
        <v>277</v>
      </c>
      <c r="C1740" s="3">
        <v>45214.684027777781</v>
      </c>
      <c r="D1740" s="11">
        <f>Logs_reseau[[#This Row],[Duree_Panne_Min]]/1440</f>
        <v>8.2638888888888887E-2</v>
      </c>
      <c r="E1740">
        <v>119</v>
      </c>
      <c r="F1740" t="s">
        <v>4</v>
      </c>
      <c r="G1740">
        <f>IFERROR(VLOOKUP(Logs_reseau[[#This Row],[Cell_ID]],'[1]Registre_Maintenance_combine '!A:C,3,FALSE),"Non trouvé")</f>
        <v>-11.218453999999999</v>
      </c>
      <c r="H1740">
        <f>IFERROR(VLOOKUP(Logs_reseau[[#This Row],[Cell_ID]],'[1]Registre_Maintenance_combine '!A:D,4,FALSE),"Non trouvé")</f>
        <v>28.230025000000001</v>
      </c>
      <c r="I1740" t="str">
        <f>IFERROR(VLOOKUP(Logs_reseau[[#This Row],[Cell_ID]],'[1]Registre_Maintenance_combine '!A:E,5,FALSE),"Non trouvé")</f>
        <v>5G</v>
      </c>
      <c r="J1740" t="str">
        <f>IFERROR(VLOOKUP(Logs_reseau[[#This Row],[Cell_ID]],'[1]Registre_Maintenance_combine '!A:F,6,FALSE),"Non trouvé")</f>
        <v>ZTE</v>
      </c>
    </row>
    <row r="1741" spans="1:10" x14ac:dyDescent="0.25">
      <c r="A1741" t="str">
        <f>IFERROR(VLOOKUP(Logs_reseau[[#This Row],[Cell_ID]],'[1]Registre_Maintenance_combine '!A:B,2,FALSE),"Non trouvé")</f>
        <v>Kongo-Central</v>
      </c>
      <c r="B1741" t="s">
        <v>511</v>
      </c>
      <c r="C1741" s="3">
        <v>45220.154861111114</v>
      </c>
      <c r="D1741" s="11">
        <f>Logs_reseau[[#This Row],[Duree_Panne_Min]]/1440</f>
        <v>3.6805555555555557E-2</v>
      </c>
      <c r="E1741">
        <v>53</v>
      </c>
      <c r="F1741" t="s">
        <v>1</v>
      </c>
      <c r="G1741">
        <f>IFERROR(VLOOKUP(Logs_reseau[[#This Row],[Cell_ID]],'[1]Registre_Maintenance_combine '!A:C,3,FALSE),"Non trouvé")</f>
        <v>-9.8208710000000004</v>
      </c>
      <c r="H1741">
        <f>IFERROR(VLOOKUP(Logs_reseau[[#This Row],[Cell_ID]],'[1]Registre_Maintenance_combine '!A:D,4,FALSE),"Non trouvé")</f>
        <v>23.229807000000001</v>
      </c>
      <c r="I1741" t="str">
        <f>IFERROR(VLOOKUP(Logs_reseau[[#This Row],[Cell_ID]],'[1]Registre_Maintenance_combine '!A:E,5,FALSE),"Non trouvé")</f>
        <v>5G</v>
      </c>
      <c r="J1741" t="str">
        <f>IFERROR(VLOOKUP(Logs_reseau[[#This Row],[Cell_ID]],'[1]Registre_Maintenance_combine '!A:F,6,FALSE),"Non trouvé")</f>
        <v>Nokia</v>
      </c>
    </row>
    <row r="1742" spans="1:10" x14ac:dyDescent="0.25">
      <c r="A1742" t="str">
        <f>IFERROR(VLOOKUP(Logs_reseau[[#This Row],[Cell_ID]],'[1]Registre_Maintenance_combine '!A:B,2,FALSE),"Non trouvé")</f>
        <v>Non trouvé</v>
      </c>
      <c r="B1742" t="s">
        <v>213</v>
      </c>
      <c r="C1742" s="3">
        <v>45200.307638888888</v>
      </c>
      <c r="D1742" s="11">
        <f>Logs_reseau[[#This Row],[Duree_Panne_Min]]/1440</f>
        <v>7.9166666666666663E-2</v>
      </c>
      <c r="E1742">
        <v>114</v>
      </c>
      <c r="F1742" t="s">
        <v>2</v>
      </c>
      <c r="G1742" t="str">
        <f>IFERROR(VLOOKUP(Logs_reseau[[#This Row],[Cell_ID]],'[1]Registre_Maintenance_combine '!A:C,3,FALSE),"Non trouvé")</f>
        <v>Non trouvé</v>
      </c>
      <c r="H1742" t="str">
        <f>IFERROR(VLOOKUP(Logs_reseau[[#This Row],[Cell_ID]],'[1]Registre_Maintenance_combine '!A:D,4,FALSE),"Non trouvé")</f>
        <v>Non trouvé</v>
      </c>
      <c r="I1742" t="str">
        <f>IFERROR(VLOOKUP(Logs_reseau[[#This Row],[Cell_ID]],'[1]Registre_Maintenance_combine '!A:E,5,FALSE),"Non trouvé")</f>
        <v>Non trouvé</v>
      </c>
      <c r="J1742" t="str">
        <f>IFERROR(VLOOKUP(Logs_reseau[[#This Row],[Cell_ID]],'[1]Registre_Maintenance_combine '!A:F,6,FALSE),"Non trouvé")</f>
        <v>Non trouvé</v>
      </c>
    </row>
    <row r="1743" spans="1:10" x14ac:dyDescent="0.25">
      <c r="A1743" t="str">
        <f>IFERROR(VLOOKUP(Logs_reseau[[#This Row],[Cell_ID]],'[1]Registre_Maintenance_combine '!A:B,2,FALSE),"Non trouvé")</f>
        <v>Non trouvé</v>
      </c>
      <c r="B1743" t="s">
        <v>192</v>
      </c>
      <c r="C1743" s="3">
        <v>45215.811111111114</v>
      </c>
      <c r="D1743" s="11">
        <f>Logs_reseau[[#This Row],[Duree_Panne_Min]]/1440</f>
        <v>3.4027777777777775E-2</v>
      </c>
      <c r="E1743">
        <v>49</v>
      </c>
      <c r="F1743" t="s">
        <v>2</v>
      </c>
      <c r="G1743" t="str">
        <f>IFERROR(VLOOKUP(Logs_reseau[[#This Row],[Cell_ID]],'[1]Registre_Maintenance_combine '!A:C,3,FALSE),"Non trouvé")</f>
        <v>Non trouvé</v>
      </c>
      <c r="H1743" t="str">
        <f>IFERROR(VLOOKUP(Logs_reseau[[#This Row],[Cell_ID]],'[1]Registre_Maintenance_combine '!A:D,4,FALSE),"Non trouvé")</f>
        <v>Non trouvé</v>
      </c>
      <c r="I1743" t="str">
        <f>IFERROR(VLOOKUP(Logs_reseau[[#This Row],[Cell_ID]],'[1]Registre_Maintenance_combine '!A:E,5,FALSE),"Non trouvé")</f>
        <v>Non trouvé</v>
      </c>
      <c r="J1743" t="str">
        <f>IFERROR(VLOOKUP(Logs_reseau[[#This Row],[Cell_ID]],'[1]Registre_Maintenance_combine '!A:F,6,FALSE),"Non trouvé")</f>
        <v>Non trouvé</v>
      </c>
    </row>
    <row r="1744" spans="1:10" x14ac:dyDescent="0.25">
      <c r="A1744" t="str">
        <f>IFERROR(VLOOKUP(Logs_reseau[[#This Row],[Cell_ID]],'[1]Registre_Maintenance_combine '!A:B,2,FALSE),"Non trouvé")</f>
        <v>Kongo-Central</v>
      </c>
      <c r="B1744" t="s">
        <v>155</v>
      </c>
      <c r="C1744" s="3">
        <v>45205.650694444441</v>
      </c>
      <c r="D1744" s="11">
        <f>Logs_reseau[[#This Row],[Duree_Panne_Min]]/1440</f>
        <v>4.3749999999999997E-2</v>
      </c>
      <c r="E1744">
        <v>63</v>
      </c>
      <c r="F1744" t="s">
        <v>1</v>
      </c>
      <c r="G1744">
        <f>IFERROR(VLOOKUP(Logs_reseau[[#This Row],[Cell_ID]],'[1]Registre_Maintenance_combine '!A:C,3,FALSE),"Non trouvé")</f>
        <v>-10.977309</v>
      </c>
      <c r="H1744">
        <f>IFERROR(VLOOKUP(Logs_reseau[[#This Row],[Cell_ID]],'[1]Registre_Maintenance_combine '!A:D,4,FALSE),"Non trouvé")</f>
        <v>12.408281000000001</v>
      </c>
      <c r="I1744" t="str">
        <f>IFERROR(VLOOKUP(Logs_reseau[[#This Row],[Cell_ID]],'[1]Registre_Maintenance_combine '!A:E,5,FALSE),"Non trouvé")</f>
        <v>5G</v>
      </c>
      <c r="J1744" t="str">
        <f>IFERROR(VLOOKUP(Logs_reseau[[#This Row],[Cell_ID]],'[1]Registre_Maintenance_combine '!A:F,6,FALSE),"Non trouvé")</f>
        <v>ZTE</v>
      </c>
    </row>
    <row r="1745" spans="1:10" x14ac:dyDescent="0.25">
      <c r="A1745" t="str">
        <f>IFERROR(VLOOKUP(Logs_reseau[[#This Row],[Cell_ID]],'[1]Registre_Maintenance_combine '!A:B,2,FALSE),"Non trouvé")</f>
        <v>Kwilu</v>
      </c>
      <c r="B1745" t="s">
        <v>309</v>
      </c>
      <c r="C1745" s="3">
        <v>45217.473611111112</v>
      </c>
      <c r="D1745" s="11">
        <f>Logs_reseau[[#This Row],[Duree_Panne_Min]]/1440</f>
        <v>2.5694444444444443E-2</v>
      </c>
      <c r="E1745">
        <v>37</v>
      </c>
      <c r="F1745" t="s">
        <v>4</v>
      </c>
      <c r="G1745">
        <f>IFERROR(VLOOKUP(Logs_reseau[[#This Row],[Cell_ID]],'[1]Registre_Maintenance_combine '!A:C,3,FALSE),"Non trouvé")</f>
        <v>-8.5675749999999997</v>
      </c>
      <c r="H1745">
        <f>IFERROR(VLOOKUP(Logs_reseau[[#This Row],[Cell_ID]],'[1]Registre_Maintenance_combine '!A:D,4,FALSE),"Non trouvé")</f>
        <v>26.994581</v>
      </c>
      <c r="I1745" t="str">
        <f>IFERROR(VLOOKUP(Logs_reseau[[#This Row],[Cell_ID]],'[1]Registre_Maintenance_combine '!A:E,5,FALSE),"Non trouvé")</f>
        <v>3G</v>
      </c>
      <c r="J1745" t="str">
        <f>IFERROR(VLOOKUP(Logs_reseau[[#This Row],[Cell_ID]],'[1]Registre_Maintenance_combine '!A:F,6,FALSE),"Non trouvé")</f>
        <v>Nokia</v>
      </c>
    </row>
    <row r="1746" spans="1:10" x14ac:dyDescent="0.25">
      <c r="A1746" t="str">
        <f>IFERROR(VLOOKUP(Logs_reseau[[#This Row],[Cell_ID]],'[1]Registre_Maintenance_combine '!A:B,2,FALSE),"Non trouvé")</f>
        <v>Non trouvé</v>
      </c>
      <c r="B1746" t="s">
        <v>534</v>
      </c>
      <c r="C1746" s="3">
        <v>45205.365972222222</v>
      </c>
      <c r="D1746" s="11">
        <f>Logs_reseau[[#This Row],[Duree_Panne_Min]]/1440</f>
        <v>2.2222222222222223E-2</v>
      </c>
      <c r="E1746">
        <v>32</v>
      </c>
      <c r="F1746" t="s">
        <v>1</v>
      </c>
      <c r="G1746" t="str">
        <f>IFERROR(VLOOKUP(Logs_reseau[[#This Row],[Cell_ID]],'[1]Registre_Maintenance_combine '!A:C,3,FALSE),"Non trouvé")</f>
        <v>Non trouvé</v>
      </c>
      <c r="H1746" t="str">
        <f>IFERROR(VLOOKUP(Logs_reseau[[#This Row],[Cell_ID]],'[1]Registre_Maintenance_combine '!A:D,4,FALSE),"Non trouvé")</f>
        <v>Non trouvé</v>
      </c>
      <c r="I1746" t="str">
        <f>IFERROR(VLOOKUP(Logs_reseau[[#This Row],[Cell_ID]],'[1]Registre_Maintenance_combine '!A:E,5,FALSE),"Non trouvé")</f>
        <v>Non trouvé</v>
      </c>
      <c r="J1746" t="str">
        <f>IFERROR(VLOOKUP(Logs_reseau[[#This Row],[Cell_ID]],'[1]Registre_Maintenance_combine '!A:F,6,FALSE),"Non trouvé")</f>
        <v>Non trouvé</v>
      </c>
    </row>
    <row r="1747" spans="1:10" x14ac:dyDescent="0.25">
      <c r="A1747" t="str">
        <f>IFERROR(VLOOKUP(Logs_reseau[[#This Row],[Cell_ID]],'[1]Registre_Maintenance_combine '!A:B,2,FALSE),"Non trouvé")</f>
        <v>Non trouvé</v>
      </c>
      <c r="B1747" t="s">
        <v>233</v>
      </c>
      <c r="C1747" s="3">
        <v>45226.920138888891</v>
      </c>
      <c r="D1747" s="11">
        <f>Logs_reseau[[#This Row],[Duree_Panne_Min]]/1440</f>
        <v>4.4444444444444446E-2</v>
      </c>
      <c r="E1747">
        <v>64</v>
      </c>
      <c r="F1747" t="s">
        <v>4</v>
      </c>
      <c r="G1747" t="str">
        <f>IFERROR(VLOOKUP(Logs_reseau[[#This Row],[Cell_ID]],'[1]Registre_Maintenance_combine '!A:C,3,FALSE),"Non trouvé")</f>
        <v>Non trouvé</v>
      </c>
      <c r="H1747" t="str">
        <f>IFERROR(VLOOKUP(Logs_reseau[[#This Row],[Cell_ID]],'[1]Registre_Maintenance_combine '!A:D,4,FALSE),"Non trouvé")</f>
        <v>Non trouvé</v>
      </c>
      <c r="I1747" t="str">
        <f>IFERROR(VLOOKUP(Logs_reseau[[#This Row],[Cell_ID]],'[1]Registre_Maintenance_combine '!A:E,5,FALSE),"Non trouvé")</f>
        <v>Non trouvé</v>
      </c>
      <c r="J1747" t="str">
        <f>IFERROR(VLOOKUP(Logs_reseau[[#This Row],[Cell_ID]],'[1]Registre_Maintenance_combine '!A:F,6,FALSE),"Non trouvé")</f>
        <v>Non trouvé</v>
      </c>
    </row>
    <row r="1748" spans="1:10" x14ac:dyDescent="0.25">
      <c r="A1748" t="str">
        <f>IFERROR(VLOOKUP(Logs_reseau[[#This Row],[Cell_ID]],'[1]Registre_Maintenance_combine '!A:B,2,FALSE),"Non trouvé")</f>
        <v>Non trouvé</v>
      </c>
      <c r="B1748" t="s">
        <v>675</v>
      </c>
      <c r="C1748" s="3">
        <v>45209.01666666667</v>
      </c>
      <c r="D1748" s="11">
        <f>Logs_reseau[[#This Row],[Duree_Panne_Min]]/1440</f>
        <v>2.9861111111111113E-2</v>
      </c>
      <c r="E1748">
        <v>43</v>
      </c>
      <c r="F1748" t="s">
        <v>1</v>
      </c>
      <c r="G1748" t="str">
        <f>IFERROR(VLOOKUP(Logs_reseau[[#This Row],[Cell_ID]],'[1]Registre_Maintenance_combine '!A:C,3,FALSE),"Non trouvé")</f>
        <v>Non trouvé</v>
      </c>
      <c r="H1748" t="str">
        <f>IFERROR(VLOOKUP(Logs_reseau[[#This Row],[Cell_ID]],'[1]Registre_Maintenance_combine '!A:D,4,FALSE),"Non trouvé")</f>
        <v>Non trouvé</v>
      </c>
      <c r="I1748" t="str">
        <f>IFERROR(VLOOKUP(Logs_reseau[[#This Row],[Cell_ID]],'[1]Registre_Maintenance_combine '!A:E,5,FALSE),"Non trouvé")</f>
        <v>Non trouvé</v>
      </c>
      <c r="J1748" t="str">
        <f>IFERROR(VLOOKUP(Logs_reseau[[#This Row],[Cell_ID]],'[1]Registre_Maintenance_combine '!A:F,6,FALSE),"Non trouvé")</f>
        <v>Non trouvé</v>
      </c>
    </row>
    <row r="1749" spans="1:10" x14ac:dyDescent="0.25">
      <c r="A1749" t="str">
        <f>IFERROR(VLOOKUP(Logs_reseau[[#This Row],[Cell_ID]],'[1]Registre_Maintenance_combine '!A:B,2,FALSE),"Non trouvé")</f>
        <v>Ituri</v>
      </c>
      <c r="B1749" t="s">
        <v>60</v>
      </c>
      <c r="C1749" s="3">
        <v>45201.245833333334</v>
      </c>
      <c r="D1749" s="11">
        <f>Logs_reseau[[#This Row],[Duree_Panne_Min]]/1440</f>
        <v>6.3194444444444442E-2</v>
      </c>
      <c r="E1749">
        <v>91</v>
      </c>
      <c r="F1749" t="s">
        <v>2</v>
      </c>
      <c r="G1749">
        <f>IFERROR(VLOOKUP(Logs_reseau[[#This Row],[Cell_ID]],'[1]Registre_Maintenance_combine '!A:C,3,FALSE),"Non trouvé")</f>
        <v>-0.34051900000000002</v>
      </c>
      <c r="H1749">
        <f>IFERROR(VLOOKUP(Logs_reseau[[#This Row],[Cell_ID]],'[1]Registre_Maintenance_combine '!A:D,4,FALSE),"Non trouvé")</f>
        <v>17.079799000000001</v>
      </c>
      <c r="I1749" t="str">
        <f>IFERROR(VLOOKUP(Logs_reseau[[#This Row],[Cell_ID]],'[1]Registre_Maintenance_combine '!A:E,5,FALSE),"Non trouvé")</f>
        <v>5G</v>
      </c>
      <c r="J1749" t="str">
        <f>IFERROR(VLOOKUP(Logs_reseau[[#This Row],[Cell_ID]],'[1]Registre_Maintenance_combine '!A:F,6,FALSE),"Non trouvé")</f>
        <v>Ericsson</v>
      </c>
    </row>
    <row r="1750" spans="1:10" x14ac:dyDescent="0.25">
      <c r="A1750" t="str">
        <f>IFERROR(VLOOKUP(Logs_reseau[[#This Row],[Cell_ID]],'[1]Registre_Maintenance_combine '!A:B,2,FALSE),"Non trouvé")</f>
        <v>Non trouvé</v>
      </c>
      <c r="B1750" t="s">
        <v>676</v>
      </c>
      <c r="C1750" s="3">
        <v>45218.287499999999</v>
      </c>
      <c r="D1750" s="11">
        <f>Logs_reseau[[#This Row],[Duree_Panne_Min]]/1440</f>
        <v>4.9305555555555554E-2</v>
      </c>
      <c r="E1750">
        <v>71</v>
      </c>
      <c r="F1750" t="s">
        <v>4</v>
      </c>
      <c r="G1750" t="str">
        <f>IFERROR(VLOOKUP(Logs_reseau[[#This Row],[Cell_ID]],'[1]Registre_Maintenance_combine '!A:C,3,FALSE),"Non trouvé")</f>
        <v>Non trouvé</v>
      </c>
      <c r="H1750" t="str">
        <f>IFERROR(VLOOKUP(Logs_reseau[[#This Row],[Cell_ID]],'[1]Registre_Maintenance_combine '!A:D,4,FALSE),"Non trouvé")</f>
        <v>Non trouvé</v>
      </c>
      <c r="I1750" t="str">
        <f>IFERROR(VLOOKUP(Logs_reseau[[#This Row],[Cell_ID]],'[1]Registre_Maintenance_combine '!A:E,5,FALSE),"Non trouvé")</f>
        <v>Non trouvé</v>
      </c>
      <c r="J1750" t="str">
        <f>IFERROR(VLOOKUP(Logs_reseau[[#This Row],[Cell_ID]],'[1]Registre_Maintenance_combine '!A:F,6,FALSE),"Non trouvé")</f>
        <v>Non trouvé</v>
      </c>
    </row>
    <row r="1751" spans="1:10" x14ac:dyDescent="0.25">
      <c r="A1751" t="str">
        <f>IFERROR(VLOOKUP(Logs_reseau[[#This Row],[Cell_ID]],'[1]Registre_Maintenance_combine '!A:B,2,FALSE),"Non trouvé")</f>
        <v>Non trouvé</v>
      </c>
      <c r="B1751" t="s">
        <v>23</v>
      </c>
      <c r="C1751" s="3">
        <v>45220.093055555553</v>
      </c>
      <c r="D1751" s="11">
        <f>Logs_reseau[[#This Row],[Duree_Panne_Min]]/1440</f>
        <v>3.3333333333333333E-2</v>
      </c>
      <c r="E1751">
        <v>48</v>
      </c>
      <c r="F1751" t="s">
        <v>1</v>
      </c>
      <c r="G1751" t="str">
        <f>IFERROR(VLOOKUP(Logs_reseau[[#This Row],[Cell_ID]],'[1]Registre_Maintenance_combine '!A:C,3,FALSE),"Non trouvé")</f>
        <v>Non trouvé</v>
      </c>
      <c r="H1751" t="str">
        <f>IFERROR(VLOOKUP(Logs_reseau[[#This Row],[Cell_ID]],'[1]Registre_Maintenance_combine '!A:D,4,FALSE),"Non trouvé")</f>
        <v>Non trouvé</v>
      </c>
      <c r="I1751" t="str">
        <f>IFERROR(VLOOKUP(Logs_reseau[[#This Row],[Cell_ID]],'[1]Registre_Maintenance_combine '!A:E,5,FALSE),"Non trouvé")</f>
        <v>Non trouvé</v>
      </c>
      <c r="J1751" t="str">
        <f>IFERROR(VLOOKUP(Logs_reseau[[#This Row],[Cell_ID]],'[1]Registre_Maintenance_combine '!A:F,6,FALSE),"Non trouvé")</f>
        <v>Non trouvé</v>
      </c>
    </row>
    <row r="1752" spans="1:10" x14ac:dyDescent="0.25">
      <c r="A1752" t="str">
        <f>IFERROR(VLOOKUP(Logs_reseau[[#This Row],[Cell_ID]],'[1]Registre_Maintenance_combine '!A:B,2,FALSE),"Non trouvé")</f>
        <v>Non trouvé</v>
      </c>
      <c r="B1752" t="s">
        <v>51</v>
      </c>
      <c r="C1752" s="3">
        <v>45211.324305555558</v>
      </c>
      <c r="D1752" s="11">
        <f>Logs_reseau[[#This Row],[Duree_Panne_Min]]/1440</f>
        <v>8.3333333333333329E-2</v>
      </c>
      <c r="E1752">
        <v>120</v>
      </c>
      <c r="F1752" t="s">
        <v>4</v>
      </c>
      <c r="G1752" t="str">
        <f>IFERROR(VLOOKUP(Logs_reseau[[#This Row],[Cell_ID]],'[1]Registre_Maintenance_combine '!A:C,3,FALSE),"Non trouvé")</f>
        <v>Non trouvé</v>
      </c>
      <c r="H1752" t="str">
        <f>IFERROR(VLOOKUP(Logs_reseau[[#This Row],[Cell_ID]],'[1]Registre_Maintenance_combine '!A:D,4,FALSE),"Non trouvé")</f>
        <v>Non trouvé</v>
      </c>
      <c r="I1752" t="str">
        <f>IFERROR(VLOOKUP(Logs_reseau[[#This Row],[Cell_ID]],'[1]Registre_Maintenance_combine '!A:E,5,FALSE),"Non trouvé")</f>
        <v>Non trouvé</v>
      </c>
      <c r="J1752" t="str">
        <f>IFERROR(VLOOKUP(Logs_reseau[[#This Row],[Cell_ID]],'[1]Registre_Maintenance_combine '!A:F,6,FALSE),"Non trouvé")</f>
        <v>Non trouvé</v>
      </c>
    </row>
    <row r="1753" spans="1:10" x14ac:dyDescent="0.25">
      <c r="A1753" t="str">
        <f>IFERROR(VLOOKUP(Logs_reseau[[#This Row],[Cell_ID]],'[1]Registre_Maintenance_combine '!A:B,2,FALSE),"Non trouvé")</f>
        <v>Non trouvé</v>
      </c>
      <c r="B1753" t="s">
        <v>416</v>
      </c>
      <c r="C1753" s="3">
        <v>45227.393055555556</v>
      </c>
      <c r="D1753" s="11">
        <f>Logs_reseau[[#This Row],[Duree_Panne_Min]]/1440</f>
        <v>4.6527777777777779E-2</v>
      </c>
      <c r="E1753">
        <v>67</v>
      </c>
      <c r="F1753" t="s">
        <v>1</v>
      </c>
      <c r="G1753" t="str">
        <f>IFERROR(VLOOKUP(Logs_reseau[[#This Row],[Cell_ID]],'[1]Registre_Maintenance_combine '!A:C,3,FALSE),"Non trouvé")</f>
        <v>Non trouvé</v>
      </c>
      <c r="H1753" t="str">
        <f>IFERROR(VLOOKUP(Logs_reseau[[#This Row],[Cell_ID]],'[1]Registre_Maintenance_combine '!A:D,4,FALSE),"Non trouvé")</f>
        <v>Non trouvé</v>
      </c>
      <c r="I1753" t="str">
        <f>IFERROR(VLOOKUP(Logs_reseau[[#This Row],[Cell_ID]],'[1]Registre_Maintenance_combine '!A:E,5,FALSE),"Non trouvé")</f>
        <v>Non trouvé</v>
      </c>
      <c r="J1753" t="str">
        <f>IFERROR(VLOOKUP(Logs_reseau[[#This Row],[Cell_ID]],'[1]Registre_Maintenance_combine '!A:F,6,FALSE),"Non trouvé")</f>
        <v>Non trouvé</v>
      </c>
    </row>
    <row r="1754" spans="1:10" x14ac:dyDescent="0.25">
      <c r="A1754" t="str">
        <f>IFERROR(VLOOKUP(Logs_reseau[[#This Row],[Cell_ID]],'[1]Registre_Maintenance_combine '!A:B,2,FALSE),"Non trouvé")</f>
        <v>Non trouvé</v>
      </c>
      <c r="B1754" t="s">
        <v>120</v>
      </c>
      <c r="C1754" s="3">
        <v>45225.432638888888</v>
      </c>
      <c r="D1754" s="11">
        <f>Logs_reseau[[#This Row],[Duree_Panne_Min]]/1440</f>
        <v>3.4722222222222224E-2</v>
      </c>
      <c r="E1754">
        <v>50</v>
      </c>
      <c r="F1754" t="s">
        <v>2</v>
      </c>
      <c r="G1754" t="str">
        <f>IFERROR(VLOOKUP(Logs_reseau[[#This Row],[Cell_ID]],'[1]Registre_Maintenance_combine '!A:C,3,FALSE),"Non trouvé")</f>
        <v>Non trouvé</v>
      </c>
      <c r="H1754" t="str">
        <f>IFERROR(VLOOKUP(Logs_reseau[[#This Row],[Cell_ID]],'[1]Registre_Maintenance_combine '!A:D,4,FALSE),"Non trouvé")</f>
        <v>Non trouvé</v>
      </c>
      <c r="I1754" t="str">
        <f>IFERROR(VLOOKUP(Logs_reseau[[#This Row],[Cell_ID]],'[1]Registre_Maintenance_combine '!A:E,5,FALSE),"Non trouvé")</f>
        <v>Non trouvé</v>
      </c>
      <c r="J1754" t="str">
        <f>IFERROR(VLOOKUP(Logs_reseau[[#This Row],[Cell_ID]],'[1]Registre_Maintenance_combine '!A:F,6,FALSE),"Non trouvé")</f>
        <v>Non trouvé</v>
      </c>
    </row>
    <row r="1755" spans="1:10" x14ac:dyDescent="0.25">
      <c r="A1755" t="str">
        <f>IFERROR(VLOOKUP(Logs_reseau[[#This Row],[Cell_ID]],'[1]Registre_Maintenance_combine '!A:B,2,FALSE),"Non trouvé")</f>
        <v>Non trouvé</v>
      </c>
      <c r="B1755" t="s">
        <v>677</v>
      </c>
      <c r="C1755" s="3">
        <v>45208.762499999997</v>
      </c>
      <c r="D1755" s="11">
        <f>Logs_reseau[[#This Row],[Duree_Panne_Min]]/1440</f>
        <v>7.013888888888889E-2</v>
      </c>
      <c r="E1755">
        <v>101</v>
      </c>
      <c r="F1755" t="s">
        <v>1</v>
      </c>
      <c r="G1755" t="str">
        <f>IFERROR(VLOOKUP(Logs_reseau[[#This Row],[Cell_ID]],'[1]Registre_Maintenance_combine '!A:C,3,FALSE),"Non trouvé")</f>
        <v>Non trouvé</v>
      </c>
      <c r="H1755" t="str">
        <f>IFERROR(VLOOKUP(Logs_reseau[[#This Row],[Cell_ID]],'[1]Registre_Maintenance_combine '!A:D,4,FALSE),"Non trouvé")</f>
        <v>Non trouvé</v>
      </c>
      <c r="I1755" t="str">
        <f>IFERROR(VLOOKUP(Logs_reseau[[#This Row],[Cell_ID]],'[1]Registre_Maintenance_combine '!A:E,5,FALSE),"Non trouvé")</f>
        <v>Non trouvé</v>
      </c>
      <c r="J1755" t="str">
        <f>IFERROR(VLOOKUP(Logs_reseau[[#This Row],[Cell_ID]],'[1]Registre_Maintenance_combine '!A:F,6,FALSE),"Non trouvé")</f>
        <v>Non trouvé</v>
      </c>
    </row>
    <row r="1756" spans="1:10" x14ac:dyDescent="0.25">
      <c r="A1756" t="str">
        <f>IFERROR(VLOOKUP(Logs_reseau[[#This Row],[Cell_ID]],'[1]Registre_Maintenance_combine '!A:B,2,FALSE),"Non trouvé")</f>
        <v>Non trouvé</v>
      </c>
      <c r="B1756" t="s">
        <v>398</v>
      </c>
      <c r="C1756" s="3">
        <v>45214.145833333336</v>
      </c>
      <c r="D1756" s="11">
        <f>Logs_reseau[[#This Row],[Duree_Panne_Min]]/1440</f>
        <v>2.013888888888889E-2</v>
      </c>
      <c r="E1756">
        <v>29</v>
      </c>
      <c r="F1756" t="s">
        <v>4</v>
      </c>
      <c r="G1756" t="str">
        <f>IFERROR(VLOOKUP(Logs_reseau[[#This Row],[Cell_ID]],'[1]Registre_Maintenance_combine '!A:C,3,FALSE),"Non trouvé")</f>
        <v>Non trouvé</v>
      </c>
      <c r="H1756" t="str">
        <f>IFERROR(VLOOKUP(Logs_reseau[[#This Row],[Cell_ID]],'[1]Registre_Maintenance_combine '!A:D,4,FALSE),"Non trouvé")</f>
        <v>Non trouvé</v>
      </c>
      <c r="I1756" t="str">
        <f>IFERROR(VLOOKUP(Logs_reseau[[#This Row],[Cell_ID]],'[1]Registre_Maintenance_combine '!A:E,5,FALSE),"Non trouvé")</f>
        <v>Non trouvé</v>
      </c>
      <c r="J1756" t="str">
        <f>IFERROR(VLOOKUP(Logs_reseau[[#This Row],[Cell_ID]],'[1]Registre_Maintenance_combine '!A:F,6,FALSE),"Non trouvé")</f>
        <v>Non trouvé</v>
      </c>
    </row>
    <row r="1757" spans="1:10" x14ac:dyDescent="0.25">
      <c r="A1757" t="str">
        <f>IFERROR(VLOOKUP(Logs_reseau[[#This Row],[Cell_ID]],'[1]Registre_Maintenance_combine '!A:B,2,FALSE),"Non trouvé")</f>
        <v>Non trouvé</v>
      </c>
      <c r="B1757" t="s">
        <v>678</v>
      </c>
      <c r="C1757" s="3">
        <v>45201.859027777777</v>
      </c>
      <c r="D1757" s="11">
        <f>Logs_reseau[[#This Row],[Duree_Panne_Min]]/1440</f>
        <v>1.8055555555555554E-2</v>
      </c>
      <c r="E1757">
        <v>26</v>
      </c>
      <c r="F1757" t="s">
        <v>2</v>
      </c>
      <c r="G1757" t="str">
        <f>IFERROR(VLOOKUP(Logs_reseau[[#This Row],[Cell_ID]],'[1]Registre_Maintenance_combine '!A:C,3,FALSE),"Non trouvé")</f>
        <v>Non trouvé</v>
      </c>
      <c r="H1757" t="str">
        <f>IFERROR(VLOOKUP(Logs_reseau[[#This Row],[Cell_ID]],'[1]Registre_Maintenance_combine '!A:D,4,FALSE),"Non trouvé")</f>
        <v>Non trouvé</v>
      </c>
      <c r="I1757" t="str">
        <f>IFERROR(VLOOKUP(Logs_reseau[[#This Row],[Cell_ID]],'[1]Registre_Maintenance_combine '!A:E,5,FALSE),"Non trouvé")</f>
        <v>Non trouvé</v>
      </c>
      <c r="J1757" t="str">
        <f>IFERROR(VLOOKUP(Logs_reseau[[#This Row],[Cell_ID]],'[1]Registre_Maintenance_combine '!A:F,6,FALSE),"Non trouvé")</f>
        <v>Non trouvé</v>
      </c>
    </row>
    <row r="1758" spans="1:10" x14ac:dyDescent="0.25">
      <c r="A1758" t="str">
        <f>IFERROR(VLOOKUP(Logs_reseau[[#This Row],[Cell_ID]],'[1]Registre_Maintenance_combine '!A:B,2,FALSE),"Non trouvé")</f>
        <v>Non trouvé</v>
      </c>
      <c r="B1758" t="s">
        <v>128</v>
      </c>
      <c r="C1758" s="3">
        <v>45218.794444444444</v>
      </c>
      <c r="D1758" s="11">
        <f>Logs_reseau[[#This Row],[Duree_Panne_Min]]/1440</f>
        <v>7.4999999999999997E-2</v>
      </c>
      <c r="E1758">
        <v>108</v>
      </c>
      <c r="F1758" t="s">
        <v>1</v>
      </c>
      <c r="G1758" t="str">
        <f>IFERROR(VLOOKUP(Logs_reseau[[#This Row],[Cell_ID]],'[1]Registre_Maintenance_combine '!A:C,3,FALSE),"Non trouvé")</f>
        <v>Non trouvé</v>
      </c>
      <c r="H1758" t="str">
        <f>IFERROR(VLOOKUP(Logs_reseau[[#This Row],[Cell_ID]],'[1]Registre_Maintenance_combine '!A:D,4,FALSE),"Non trouvé")</f>
        <v>Non trouvé</v>
      </c>
      <c r="I1758" t="str">
        <f>IFERROR(VLOOKUP(Logs_reseau[[#This Row],[Cell_ID]],'[1]Registre_Maintenance_combine '!A:E,5,FALSE),"Non trouvé")</f>
        <v>Non trouvé</v>
      </c>
      <c r="J1758" t="str">
        <f>IFERROR(VLOOKUP(Logs_reseau[[#This Row],[Cell_ID]],'[1]Registre_Maintenance_combine '!A:F,6,FALSE),"Non trouvé")</f>
        <v>Non trouvé</v>
      </c>
    </row>
    <row r="1759" spans="1:10" x14ac:dyDescent="0.25">
      <c r="A1759" t="str">
        <f>IFERROR(VLOOKUP(Logs_reseau[[#This Row],[Cell_ID]],'[1]Registre_Maintenance_combine '!A:B,2,FALSE),"Non trouvé")</f>
        <v>Non trouvé</v>
      </c>
      <c r="B1759" t="s">
        <v>679</v>
      </c>
      <c r="C1759" s="3">
        <v>45215.272222222222</v>
      </c>
      <c r="D1759" s="11">
        <f>Logs_reseau[[#This Row],[Duree_Panne_Min]]/1440</f>
        <v>3.888888888888889E-2</v>
      </c>
      <c r="E1759">
        <v>56</v>
      </c>
      <c r="F1759" t="s">
        <v>4</v>
      </c>
      <c r="G1759" t="str">
        <f>IFERROR(VLOOKUP(Logs_reseau[[#This Row],[Cell_ID]],'[1]Registre_Maintenance_combine '!A:C,3,FALSE),"Non trouvé")</f>
        <v>Non trouvé</v>
      </c>
      <c r="H1759" t="str">
        <f>IFERROR(VLOOKUP(Logs_reseau[[#This Row],[Cell_ID]],'[1]Registre_Maintenance_combine '!A:D,4,FALSE),"Non trouvé")</f>
        <v>Non trouvé</v>
      </c>
      <c r="I1759" t="str">
        <f>IFERROR(VLOOKUP(Logs_reseau[[#This Row],[Cell_ID]],'[1]Registre_Maintenance_combine '!A:E,5,FALSE),"Non trouvé")</f>
        <v>Non trouvé</v>
      </c>
      <c r="J1759" t="str">
        <f>IFERROR(VLOOKUP(Logs_reseau[[#This Row],[Cell_ID]],'[1]Registre_Maintenance_combine '!A:F,6,FALSE),"Non trouvé")</f>
        <v>Non trouvé</v>
      </c>
    </row>
    <row r="1760" spans="1:10" x14ac:dyDescent="0.25">
      <c r="A1760" t="str">
        <f>IFERROR(VLOOKUP(Logs_reseau[[#This Row],[Cell_ID]],'[1]Registre_Maintenance_combine '!A:B,2,FALSE),"Non trouvé")</f>
        <v>Non trouvé</v>
      </c>
      <c r="B1760" t="s">
        <v>338</v>
      </c>
      <c r="C1760" s="3">
        <v>45203.89166666667</v>
      </c>
      <c r="D1760" s="11">
        <f>Logs_reseau[[#This Row],[Duree_Panne_Min]]/1440</f>
        <v>4.8611111111111112E-3</v>
      </c>
      <c r="E1760">
        <v>7</v>
      </c>
      <c r="F1760" t="s">
        <v>2</v>
      </c>
      <c r="G1760" t="str">
        <f>IFERROR(VLOOKUP(Logs_reseau[[#This Row],[Cell_ID]],'[1]Registre_Maintenance_combine '!A:C,3,FALSE),"Non trouvé")</f>
        <v>Non trouvé</v>
      </c>
      <c r="H1760" t="str">
        <f>IFERROR(VLOOKUP(Logs_reseau[[#This Row],[Cell_ID]],'[1]Registre_Maintenance_combine '!A:D,4,FALSE),"Non trouvé")</f>
        <v>Non trouvé</v>
      </c>
      <c r="I1760" t="str">
        <f>IFERROR(VLOOKUP(Logs_reseau[[#This Row],[Cell_ID]],'[1]Registre_Maintenance_combine '!A:E,5,FALSE),"Non trouvé")</f>
        <v>Non trouvé</v>
      </c>
      <c r="J1760" t="str">
        <f>IFERROR(VLOOKUP(Logs_reseau[[#This Row],[Cell_ID]],'[1]Registre_Maintenance_combine '!A:F,6,FALSE),"Non trouvé")</f>
        <v>Non trouvé</v>
      </c>
    </row>
    <row r="1761" spans="1:10" x14ac:dyDescent="0.25">
      <c r="A1761" t="str">
        <f>IFERROR(VLOOKUP(Logs_reseau[[#This Row],[Cell_ID]],'[1]Registre_Maintenance_combine '!A:B,2,FALSE),"Non trouvé")</f>
        <v>Non trouvé</v>
      </c>
      <c r="B1761" t="s">
        <v>680</v>
      </c>
      <c r="C1761" s="3">
        <v>45216.393055555556</v>
      </c>
      <c r="D1761" s="11">
        <f>Logs_reseau[[#This Row],[Duree_Panne_Min]]/1440</f>
        <v>2.361111111111111E-2</v>
      </c>
      <c r="E1761">
        <v>34</v>
      </c>
      <c r="F1761" t="s">
        <v>4</v>
      </c>
      <c r="G1761" t="str">
        <f>IFERROR(VLOOKUP(Logs_reseau[[#This Row],[Cell_ID]],'[1]Registre_Maintenance_combine '!A:C,3,FALSE),"Non trouvé")</f>
        <v>Non trouvé</v>
      </c>
      <c r="H1761" t="str">
        <f>IFERROR(VLOOKUP(Logs_reseau[[#This Row],[Cell_ID]],'[1]Registre_Maintenance_combine '!A:D,4,FALSE),"Non trouvé")</f>
        <v>Non trouvé</v>
      </c>
      <c r="I1761" t="str">
        <f>IFERROR(VLOOKUP(Logs_reseau[[#This Row],[Cell_ID]],'[1]Registre_Maintenance_combine '!A:E,5,FALSE),"Non trouvé")</f>
        <v>Non trouvé</v>
      </c>
      <c r="J1761" t="str">
        <f>IFERROR(VLOOKUP(Logs_reseau[[#This Row],[Cell_ID]],'[1]Registre_Maintenance_combine '!A:F,6,FALSE),"Non trouvé")</f>
        <v>Non trouvé</v>
      </c>
    </row>
    <row r="1762" spans="1:10" x14ac:dyDescent="0.25">
      <c r="A1762" t="str">
        <f>IFERROR(VLOOKUP(Logs_reseau[[#This Row],[Cell_ID]],'[1]Registre_Maintenance_combine '!A:B,2,FALSE),"Non trouvé")</f>
        <v>Nord-Ubangi</v>
      </c>
      <c r="B1762" t="s">
        <v>306</v>
      </c>
      <c r="C1762" s="3">
        <v>45201.172222222223</v>
      </c>
      <c r="D1762" s="11">
        <f>Logs_reseau[[#This Row],[Duree_Panne_Min]]/1440</f>
        <v>2.2916666666666665E-2</v>
      </c>
      <c r="E1762">
        <v>33</v>
      </c>
      <c r="F1762" t="s">
        <v>4</v>
      </c>
      <c r="G1762">
        <f>IFERROR(VLOOKUP(Logs_reseau[[#This Row],[Cell_ID]],'[1]Registre_Maintenance_combine '!A:C,3,FALSE),"Non trouvé")</f>
        <v>-7.9987219999999999</v>
      </c>
      <c r="H1762">
        <f>IFERROR(VLOOKUP(Logs_reseau[[#This Row],[Cell_ID]],'[1]Registre_Maintenance_combine '!A:D,4,FALSE),"Non trouvé")</f>
        <v>12.779335</v>
      </c>
      <c r="I1762" t="str">
        <f>IFERROR(VLOOKUP(Logs_reseau[[#This Row],[Cell_ID]],'[1]Registre_Maintenance_combine '!A:E,5,FALSE),"Non trouvé")</f>
        <v>5G</v>
      </c>
      <c r="J1762" t="str">
        <f>IFERROR(VLOOKUP(Logs_reseau[[#This Row],[Cell_ID]],'[1]Registre_Maintenance_combine '!A:F,6,FALSE),"Non trouvé")</f>
        <v>Nokia</v>
      </c>
    </row>
    <row r="1763" spans="1:10" x14ac:dyDescent="0.25">
      <c r="A1763" t="str">
        <f>IFERROR(VLOOKUP(Logs_reseau[[#This Row],[Cell_ID]],'[1]Registre_Maintenance_combine '!A:B,2,FALSE),"Non trouvé")</f>
        <v>Non trouvé</v>
      </c>
      <c r="B1763" t="s">
        <v>157</v>
      </c>
      <c r="C1763" s="3">
        <v>45206.43472222222</v>
      </c>
      <c r="D1763" s="11">
        <f>Logs_reseau[[#This Row],[Duree_Panne_Min]]/1440</f>
        <v>6.805555555555555E-2</v>
      </c>
      <c r="E1763">
        <v>98</v>
      </c>
      <c r="F1763" t="s">
        <v>1</v>
      </c>
      <c r="G1763" t="str">
        <f>IFERROR(VLOOKUP(Logs_reseau[[#This Row],[Cell_ID]],'[1]Registre_Maintenance_combine '!A:C,3,FALSE),"Non trouvé")</f>
        <v>Non trouvé</v>
      </c>
      <c r="H1763" t="str">
        <f>IFERROR(VLOOKUP(Logs_reseau[[#This Row],[Cell_ID]],'[1]Registre_Maintenance_combine '!A:D,4,FALSE),"Non trouvé")</f>
        <v>Non trouvé</v>
      </c>
      <c r="I1763" t="str">
        <f>IFERROR(VLOOKUP(Logs_reseau[[#This Row],[Cell_ID]],'[1]Registre_Maintenance_combine '!A:E,5,FALSE),"Non trouvé")</f>
        <v>Non trouvé</v>
      </c>
      <c r="J1763" t="str">
        <f>IFERROR(VLOOKUP(Logs_reseau[[#This Row],[Cell_ID]],'[1]Registre_Maintenance_combine '!A:F,6,FALSE),"Non trouvé")</f>
        <v>Non trouvé</v>
      </c>
    </row>
    <row r="1764" spans="1:10" x14ac:dyDescent="0.25">
      <c r="A1764" t="str">
        <f>IFERROR(VLOOKUP(Logs_reseau[[#This Row],[Cell_ID]],'[1]Registre_Maintenance_combine '!A:B,2,FALSE),"Non trouvé")</f>
        <v>Sud-Kivu</v>
      </c>
      <c r="B1764" t="s">
        <v>599</v>
      </c>
      <c r="C1764" s="3">
        <v>45218.589583333334</v>
      </c>
      <c r="D1764" s="11">
        <f>Logs_reseau[[#This Row],[Duree_Panne_Min]]/1440</f>
        <v>1.4583333333333334E-2</v>
      </c>
      <c r="E1764">
        <v>21</v>
      </c>
      <c r="F1764" t="s">
        <v>1</v>
      </c>
      <c r="G1764">
        <f>IFERROR(VLOOKUP(Logs_reseau[[#This Row],[Cell_ID]],'[1]Registre_Maintenance_combine '!A:C,3,FALSE),"Non trouvé")</f>
        <v>-11.514817000000001</v>
      </c>
      <c r="H1764">
        <f>IFERROR(VLOOKUP(Logs_reseau[[#This Row],[Cell_ID]],'[1]Registre_Maintenance_combine '!A:D,4,FALSE),"Non trouvé")</f>
        <v>24.891375</v>
      </c>
      <c r="I1764" t="str">
        <f>IFERROR(VLOOKUP(Logs_reseau[[#This Row],[Cell_ID]],'[1]Registre_Maintenance_combine '!A:E,5,FALSE),"Non trouvé")</f>
        <v>3G</v>
      </c>
      <c r="J1764" t="str">
        <f>IFERROR(VLOOKUP(Logs_reseau[[#This Row],[Cell_ID]],'[1]Registre_Maintenance_combine '!A:F,6,FALSE),"Non trouvé")</f>
        <v>Nokia</v>
      </c>
    </row>
    <row r="1765" spans="1:10" x14ac:dyDescent="0.25">
      <c r="A1765" t="str">
        <f>IFERROR(VLOOKUP(Logs_reseau[[#This Row],[Cell_ID]],'[1]Registre_Maintenance_combine '!A:B,2,FALSE),"Non trouvé")</f>
        <v>Non trouvé</v>
      </c>
      <c r="B1765" t="s">
        <v>681</v>
      </c>
      <c r="C1765" s="3">
        <v>45210.924305555556</v>
      </c>
      <c r="D1765" s="11">
        <f>Logs_reseau[[#This Row],[Duree_Panne_Min]]/1440</f>
        <v>2.2222222222222223E-2</v>
      </c>
      <c r="E1765">
        <v>32</v>
      </c>
      <c r="F1765" t="s">
        <v>2</v>
      </c>
      <c r="G1765" t="str">
        <f>IFERROR(VLOOKUP(Logs_reseau[[#This Row],[Cell_ID]],'[1]Registre_Maintenance_combine '!A:C,3,FALSE),"Non trouvé")</f>
        <v>Non trouvé</v>
      </c>
      <c r="H1765" t="str">
        <f>IFERROR(VLOOKUP(Logs_reseau[[#This Row],[Cell_ID]],'[1]Registre_Maintenance_combine '!A:D,4,FALSE),"Non trouvé")</f>
        <v>Non trouvé</v>
      </c>
      <c r="I1765" t="str">
        <f>IFERROR(VLOOKUP(Logs_reseau[[#This Row],[Cell_ID]],'[1]Registre_Maintenance_combine '!A:E,5,FALSE),"Non trouvé")</f>
        <v>Non trouvé</v>
      </c>
      <c r="J1765" t="str">
        <f>IFERROR(VLOOKUP(Logs_reseau[[#This Row],[Cell_ID]],'[1]Registre_Maintenance_combine '!A:F,6,FALSE),"Non trouvé")</f>
        <v>Non trouvé</v>
      </c>
    </row>
    <row r="1766" spans="1:10" x14ac:dyDescent="0.25">
      <c r="A1766" t="str">
        <f>IFERROR(VLOOKUP(Logs_reseau[[#This Row],[Cell_ID]],'[1]Registre_Maintenance_combine '!A:B,2,FALSE),"Non trouvé")</f>
        <v>Tanganyika</v>
      </c>
      <c r="B1766" t="s">
        <v>682</v>
      </c>
      <c r="C1766" s="3">
        <v>45224.104861111111</v>
      </c>
      <c r="D1766" s="11">
        <f>Logs_reseau[[#This Row],[Duree_Panne_Min]]/1440</f>
        <v>6.805555555555555E-2</v>
      </c>
      <c r="E1766">
        <v>98</v>
      </c>
      <c r="F1766" t="s">
        <v>4</v>
      </c>
      <c r="G1766">
        <f>IFERROR(VLOOKUP(Logs_reseau[[#This Row],[Cell_ID]],'[1]Registre_Maintenance_combine '!A:C,3,FALSE),"Non trouvé")</f>
        <v>-7.0007840000000003</v>
      </c>
      <c r="H1766">
        <f>IFERROR(VLOOKUP(Logs_reseau[[#This Row],[Cell_ID]],'[1]Registre_Maintenance_combine '!A:D,4,FALSE),"Non trouvé")</f>
        <v>22.787997000000001</v>
      </c>
      <c r="I1766" t="str">
        <f>IFERROR(VLOOKUP(Logs_reseau[[#This Row],[Cell_ID]],'[1]Registre_Maintenance_combine '!A:E,5,FALSE),"Non trouvé")</f>
        <v>5G</v>
      </c>
      <c r="J1766" t="str">
        <f>IFERROR(VLOOKUP(Logs_reseau[[#This Row],[Cell_ID]],'[1]Registre_Maintenance_combine '!A:F,6,FALSE),"Non trouvé")</f>
        <v>ZTE</v>
      </c>
    </row>
    <row r="1767" spans="1:10" x14ac:dyDescent="0.25">
      <c r="A1767" t="str">
        <f>IFERROR(VLOOKUP(Logs_reseau[[#This Row],[Cell_ID]],'[1]Registre_Maintenance_combine '!A:B,2,FALSE),"Non trouvé")</f>
        <v>Non trouvé</v>
      </c>
      <c r="B1767" t="s">
        <v>364</v>
      </c>
      <c r="C1767" s="3">
        <v>45210.84097222222</v>
      </c>
      <c r="D1767" s="11">
        <f>Logs_reseau[[#This Row],[Duree_Panne_Min]]/1440</f>
        <v>4.8611111111111112E-3</v>
      </c>
      <c r="E1767">
        <v>7</v>
      </c>
      <c r="F1767" t="s">
        <v>1</v>
      </c>
      <c r="G1767" t="str">
        <f>IFERROR(VLOOKUP(Logs_reseau[[#This Row],[Cell_ID]],'[1]Registre_Maintenance_combine '!A:C,3,FALSE),"Non trouvé")</f>
        <v>Non trouvé</v>
      </c>
      <c r="H1767" t="str">
        <f>IFERROR(VLOOKUP(Logs_reseau[[#This Row],[Cell_ID]],'[1]Registre_Maintenance_combine '!A:D,4,FALSE),"Non trouvé")</f>
        <v>Non trouvé</v>
      </c>
      <c r="I1767" t="str">
        <f>IFERROR(VLOOKUP(Logs_reseau[[#This Row],[Cell_ID]],'[1]Registre_Maintenance_combine '!A:E,5,FALSE),"Non trouvé")</f>
        <v>Non trouvé</v>
      </c>
      <c r="J1767" t="str">
        <f>IFERROR(VLOOKUP(Logs_reseau[[#This Row],[Cell_ID]],'[1]Registre_Maintenance_combine '!A:F,6,FALSE),"Non trouvé")</f>
        <v>Non trouvé</v>
      </c>
    </row>
    <row r="1768" spans="1:10" x14ac:dyDescent="0.25">
      <c r="A1768" t="str">
        <f>IFERROR(VLOOKUP(Logs_reseau[[#This Row],[Cell_ID]],'[1]Registre_Maintenance_combine '!A:B,2,FALSE),"Non trouvé")</f>
        <v>Haut-Katanga</v>
      </c>
      <c r="B1768" t="s">
        <v>12</v>
      </c>
      <c r="C1768" s="3">
        <v>45210.835416666669</v>
      </c>
      <c r="D1768" s="11">
        <f>Logs_reseau[[#This Row],[Duree_Panne_Min]]/1440</f>
        <v>5.5555555555555552E-2</v>
      </c>
      <c r="E1768">
        <v>80</v>
      </c>
      <c r="F1768" t="s">
        <v>2</v>
      </c>
      <c r="G1768">
        <f>IFERROR(VLOOKUP(Logs_reseau[[#This Row],[Cell_ID]],'[1]Registre_Maintenance_combine '!A:C,3,FALSE),"Non trouvé")</f>
        <v>4.4712560000000003</v>
      </c>
      <c r="H1768">
        <f>IFERROR(VLOOKUP(Logs_reseau[[#This Row],[Cell_ID]],'[1]Registre_Maintenance_combine '!A:D,4,FALSE),"Non trouvé")</f>
        <v>27.107028</v>
      </c>
      <c r="I1768" t="str">
        <f>IFERROR(VLOOKUP(Logs_reseau[[#This Row],[Cell_ID]],'[1]Registre_Maintenance_combine '!A:E,5,FALSE),"Non trouvé")</f>
        <v>3G</v>
      </c>
      <c r="J1768" t="str">
        <f>IFERROR(VLOOKUP(Logs_reseau[[#This Row],[Cell_ID]],'[1]Registre_Maintenance_combine '!A:F,6,FALSE),"Non trouvé")</f>
        <v>Ericsson</v>
      </c>
    </row>
    <row r="1769" spans="1:10" x14ac:dyDescent="0.25">
      <c r="A1769" t="str">
        <f>IFERROR(VLOOKUP(Logs_reseau[[#This Row],[Cell_ID]],'[1]Registre_Maintenance_combine '!A:B,2,FALSE),"Non trouvé")</f>
        <v>Non trouvé</v>
      </c>
      <c r="B1769" t="s">
        <v>598</v>
      </c>
      <c r="C1769" s="3">
        <v>45200.595138888886</v>
      </c>
      <c r="D1769" s="11">
        <f>Logs_reseau[[#This Row],[Duree_Panne_Min]]/1440</f>
        <v>4.791666666666667E-2</v>
      </c>
      <c r="E1769">
        <v>69</v>
      </c>
      <c r="F1769" t="s">
        <v>4</v>
      </c>
      <c r="G1769" t="str">
        <f>IFERROR(VLOOKUP(Logs_reseau[[#This Row],[Cell_ID]],'[1]Registre_Maintenance_combine '!A:C,3,FALSE),"Non trouvé")</f>
        <v>Non trouvé</v>
      </c>
      <c r="H1769" t="str">
        <f>IFERROR(VLOOKUP(Logs_reseau[[#This Row],[Cell_ID]],'[1]Registre_Maintenance_combine '!A:D,4,FALSE),"Non trouvé")</f>
        <v>Non trouvé</v>
      </c>
      <c r="I1769" t="str">
        <f>IFERROR(VLOOKUP(Logs_reseau[[#This Row],[Cell_ID]],'[1]Registre_Maintenance_combine '!A:E,5,FALSE),"Non trouvé")</f>
        <v>Non trouvé</v>
      </c>
      <c r="J1769" t="str">
        <f>IFERROR(VLOOKUP(Logs_reseau[[#This Row],[Cell_ID]],'[1]Registre_Maintenance_combine '!A:F,6,FALSE),"Non trouvé")</f>
        <v>Non trouvé</v>
      </c>
    </row>
    <row r="1770" spans="1:10" x14ac:dyDescent="0.25">
      <c r="A1770" t="str">
        <f>IFERROR(VLOOKUP(Logs_reseau[[#This Row],[Cell_ID]],'[1]Registre_Maintenance_combine '!A:B,2,FALSE),"Non trouvé")</f>
        <v>Mai-Ndombe</v>
      </c>
      <c r="B1770" t="s">
        <v>683</v>
      </c>
      <c r="C1770" s="3">
        <v>45206.23333333333</v>
      </c>
      <c r="D1770" s="11">
        <f>Logs_reseau[[#This Row],[Duree_Panne_Min]]/1440</f>
        <v>1.8055555555555554E-2</v>
      </c>
      <c r="E1770">
        <v>26</v>
      </c>
      <c r="F1770" t="s">
        <v>4</v>
      </c>
      <c r="G1770">
        <f>IFERROR(VLOOKUP(Logs_reseau[[#This Row],[Cell_ID]],'[1]Registre_Maintenance_combine '!A:C,3,FALSE),"Non trouvé")</f>
        <v>-4.6311460000000002</v>
      </c>
      <c r="H1770">
        <f>IFERROR(VLOOKUP(Logs_reseau[[#This Row],[Cell_ID]],'[1]Registre_Maintenance_combine '!A:D,4,FALSE),"Non trouvé")</f>
        <v>25.314723000000001</v>
      </c>
      <c r="I1770" t="str">
        <f>IFERROR(VLOOKUP(Logs_reseau[[#This Row],[Cell_ID]],'[1]Registre_Maintenance_combine '!A:E,5,FALSE),"Non trouvé")</f>
        <v>4G</v>
      </c>
      <c r="J1770" t="str">
        <f>IFERROR(VLOOKUP(Logs_reseau[[#This Row],[Cell_ID]],'[1]Registre_Maintenance_combine '!A:F,6,FALSE),"Non trouvé")</f>
        <v>Huawei</v>
      </c>
    </row>
    <row r="1771" spans="1:10" x14ac:dyDescent="0.25">
      <c r="A1771" t="str">
        <f>IFERROR(VLOOKUP(Logs_reseau[[#This Row],[Cell_ID]],'[1]Registre_Maintenance_combine '!A:B,2,FALSE),"Non trouvé")</f>
        <v>Nord-Kivu</v>
      </c>
      <c r="B1771" t="s">
        <v>684</v>
      </c>
      <c r="C1771" s="3">
        <v>45224.229861111111</v>
      </c>
      <c r="D1771" s="11">
        <f>Logs_reseau[[#This Row],[Duree_Panne_Min]]/1440</f>
        <v>1.3888888888888888E-2</v>
      </c>
      <c r="E1771">
        <v>20</v>
      </c>
      <c r="F1771" t="s">
        <v>1</v>
      </c>
      <c r="G1771">
        <f>IFERROR(VLOOKUP(Logs_reseau[[#This Row],[Cell_ID]],'[1]Registre_Maintenance_combine '!A:C,3,FALSE),"Non trouvé")</f>
        <v>-10.298385</v>
      </c>
      <c r="H1771">
        <f>IFERROR(VLOOKUP(Logs_reseau[[#This Row],[Cell_ID]],'[1]Registre_Maintenance_combine '!A:D,4,FALSE),"Non trouvé")</f>
        <v>29.698117</v>
      </c>
      <c r="I1771" t="str">
        <f>IFERROR(VLOOKUP(Logs_reseau[[#This Row],[Cell_ID]],'[1]Registre_Maintenance_combine '!A:E,5,FALSE),"Non trouvé")</f>
        <v>5G</v>
      </c>
      <c r="J1771" t="str">
        <f>IFERROR(VLOOKUP(Logs_reseau[[#This Row],[Cell_ID]],'[1]Registre_Maintenance_combine '!A:F,6,FALSE),"Non trouvé")</f>
        <v>Nokia</v>
      </c>
    </row>
    <row r="1772" spans="1:10" x14ac:dyDescent="0.25">
      <c r="A1772" t="str">
        <f>IFERROR(VLOOKUP(Logs_reseau[[#This Row],[Cell_ID]],'[1]Registre_Maintenance_combine '!A:B,2,FALSE),"Non trouvé")</f>
        <v>Non trouvé</v>
      </c>
      <c r="B1772" t="s">
        <v>105</v>
      </c>
      <c r="C1772" s="3">
        <v>45225.088888888888</v>
      </c>
      <c r="D1772" s="11">
        <f>Logs_reseau[[#This Row],[Duree_Panne_Min]]/1440</f>
        <v>3.5416666666666666E-2</v>
      </c>
      <c r="E1772">
        <v>51</v>
      </c>
      <c r="F1772" t="s">
        <v>1</v>
      </c>
      <c r="G1772" t="str">
        <f>IFERROR(VLOOKUP(Logs_reseau[[#This Row],[Cell_ID]],'[1]Registre_Maintenance_combine '!A:C,3,FALSE),"Non trouvé")</f>
        <v>Non trouvé</v>
      </c>
      <c r="H1772" t="str">
        <f>IFERROR(VLOOKUP(Logs_reseau[[#This Row],[Cell_ID]],'[1]Registre_Maintenance_combine '!A:D,4,FALSE),"Non trouvé")</f>
        <v>Non trouvé</v>
      </c>
      <c r="I1772" t="str">
        <f>IFERROR(VLOOKUP(Logs_reseau[[#This Row],[Cell_ID]],'[1]Registre_Maintenance_combine '!A:E,5,FALSE),"Non trouvé")</f>
        <v>Non trouvé</v>
      </c>
      <c r="J1772" t="str">
        <f>IFERROR(VLOOKUP(Logs_reseau[[#This Row],[Cell_ID]],'[1]Registre_Maintenance_combine '!A:F,6,FALSE),"Non trouvé")</f>
        <v>Non trouvé</v>
      </c>
    </row>
    <row r="1773" spans="1:10" x14ac:dyDescent="0.25">
      <c r="A1773" t="str">
        <f>IFERROR(VLOOKUP(Logs_reseau[[#This Row],[Cell_ID]],'[1]Registre_Maintenance_combine '!A:B,2,FALSE),"Non trouvé")</f>
        <v>Kongo-Central</v>
      </c>
      <c r="B1773" t="s">
        <v>629</v>
      </c>
      <c r="C1773" s="3">
        <v>45219.569444444445</v>
      </c>
      <c r="D1773" s="11">
        <f>Logs_reseau[[#This Row],[Duree_Panne_Min]]/1440</f>
        <v>6.6666666666666666E-2</v>
      </c>
      <c r="E1773">
        <v>96</v>
      </c>
      <c r="F1773" t="s">
        <v>1</v>
      </c>
      <c r="G1773">
        <f>IFERROR(VLOOKUP(Logs_reseau[[#This Row],[Cell_ID]],'[1]Registre_Maintenance_combine '!A:C,3,FALSE),"Non trouvé")</f>
        <v>-7.1587569999999996</v>
      </c>
      <c r="H1773">
        <f>IFERROR(VLOOKUP(Logs_reseau[[#This Row],[Cell_ID]],'[1]Registre_Maintenance_combine '!A:D,4,FALSE),"Non trouvé")</f>
        <v>18.975141000000001</v>
      </c>
      <c r="I1773" t="str">
        <f>IFERROR(VLOOKUP(Logs_reseau[[#This Row],[Cell_ID]],'[1]Registre_Maintenance_combine '!A:E,5,FALSE),"Non trouvé")</f>
        <v>5G</v>
      </c>
      <c r="J1773" t="str">
        <f>IFERROR(VLOOKUP(Logs_reseau[[#This Row],[Cell_ID]],'[1]Registre_Maintenance_combine '!A:F,6,FALSE),"Non trouvé")</f>
        <v>Ericsson</v>
      </c>
    </row>
    <row r="1774" spans="1:10" x14ac:dyDescent="0.25">
      <c r="A1774" t="str">
        <f>IFERROR(VLOOKUP(Logs_reseau[[#This Row],[Cell_ID]],'[1]Registre_Maintenance_combine '!A:B,2,FALSE),"Non trouvé")</f>
        <v>Lomami</v>
      </c>
      <c r="B1774" t="s">
        <v>618</v>
      </c>
      <c r="C1774" s="3">
        <v>45213.518750000003</v>
      </c>
      <c r="D1774" s="11">
        <f>Logs_reseau[[#This Row],[Duree_Panne_Min]]/1440</f>
        <v>6.1111111111111109E-2</v>
      </c>
      <c r="E1774">
        <v>88</v>
      </c>
      <c r="F1774" t="s">
        <v>2</v>
      </c>
      <c r="G1774">
        <f>IFERROR(VLOOKUP(Logs_reseau[[#This Row],[Cell_ID]],'[1]Registre_Maintenance_combine '!A:C,3,FALSE),"Non trouvé")</f>
        <v>4.8265669999999998</v>
      </c>
      <c r="H1774">
        <f>IFERROR(VLOOKUP(Logs_reseau[[#This Row],[Cell_ID]],'[1]Registre_Maintenance_combine '!A:D,4,FALSE),"Non trouvé")</f>
        <v>28.535277000000001</v>
      </c>
      <c r="I1774" t="str">
        <f>IFERROR(VLOOKUP(Logs_reseau[[#This Row],[Cell_ID]],'[1]Registre_Maintenance_combine '!A:E,5,FALSE),"Non trouvé")</f>
        <v>3G</v>
      </c>
      <c r="J1774" t="str">
        <f>IFERROR(VLOOKUP(Logs_reseau[[#This Row],[Cell_ID]],'[1]Registre_Maintenance_combine '!A:F,6,FALSE),"Non trouvé")</f>
        <v>Huawei</v>
      </c>
    </row>
    <row r="1775" spans="1:10" x14ac:dyDescent="0.25">
      <c r="A1775" t="str">
        <f>IFERROR(VLOOKUP(Logs_reseau[[#This Row],[Cell_ID]],'[1]Registre_Maintenance_combine '!A:B,2,FALSE),"Non trouvé")</f>
        <v>Nord-Ubangi</v>
      </c>
      <c r="B1775" t="s">
        <v>685</v>
      </c>
      <c r="C1775" s="3">
        <v>45230.64166666667</v>
      </c>
      <c r="D1775" s="11">
        <f>Logs_reseau[[#This Row],[Duree_Panne_Min]]/1440</f>
        <v>7.3611111111111113E-2</v>
      </c>
      <c r="E1775">
        <v>106</v>
      </c>
      <c r="F1775" t="s">
        <v>1</v>
      </c>
      <c r="G1775">
        <f>IFERROR(VLOOKUP(Logs_reseau[[#This Row],[Cell_ID]],'[1]Registre_Maintenance_combine '!A:C,3,FALSE),"Non trouvé")</f>
        <v>-6.8149179999999996</v>
      </c>
      <c r="H1775">
        <f>IFERROR(VLOOKUP(Logs_reseau[[#This Row],[Cell_ID]],'[1]Registre_Maintenance_combine '!A:D,4,FALSE),"Non trouvé")</f>
        <v>23.258102000000001</v>
      </c>
      <c r="I1775" t="str">
        <f>IFERROR(VLOOKUP(Logs_reseau[[#This Row],[Cell_ID]],'[1]Registre_Maintenance_combine '!A:E,5,FALSE),"Non trouvé")</f>
        <v>5G</v>
      </c>
      <c r="J1775" t="str">
        <f>IFERROR(VLOOKUP(Logs_reseau[[#This Row],[Cell_ID]],'[1]Registre_Maintenance_combine '!A:F,6,FALSE),"Non trouvé")</f>
        <v>Huawei</v>
      </c>
    </row>
    <row r="1776" spans="1:10" x14ac:dyDescent="0.25">
      <c r="A1776" t="str">
        <f>IFERROR(VLOOKUP(Logs_reseau[[#This Row],[Cell_ID]],'[1]Registre_Maintenance_combine '!A:B,2,FALSE),"Non trouvé")</f>
        <v>Non trouvé</v>
      </c>
      <c r="B1776" t="s">
        <v>352</v>
      </c>
      <c r="C1776" s="3">
        <v>45200.06527777778</v>
      </c>
      <c r="D1776" s="11">
        <f>Logs_reseau[[#This Row],[Duree_Panne_Min]]/1440</f>
        <v>6.2500000000000003E-3</v>
      </c>
      <c r="E1776">
        <v>9</v>
      </c>
      <c r="F1776" t="s">
        <v>1</v>
      </c>
      <c r="G1776" t="str">
        <f>IFERROR(VLOOKUP(Logs_reseau[[#This Row],[Cell_ID]],'[1]Registre_Maintenance_combine '!A:C,3,FALSE),"Non trouvé")</f>
        <v>Non trouvé</v>
      </c>
      <c r="H1776" t="str">
        <f>IFERROR(VLOOKUP(Logs_reseau[[#This Row],[Cell_ID]],'[1]Registre_Maintenance_combine '!A:D,4,FALSE),"Non trouvé")</f>
        <v>Non trouvé</v>
      </c>
      <c r="I1776" t="str">
        <f>IFERROR(VLOOKUP(Logs_reseau[[#This Row],[Cell_ID]],'[1]Registre_Maintenance_combine '!A:E,5,FALSE),"Non trouvé")</f>
        <v>Non trouvé</v>
      </c>
      <c r="J1776" t="str">
        <f>IFERROR(VLOOKUP(Logs_reseau[[#This Row],[Cell_ID]],'[1]Registre_Maintenance_combine '!A:F,6,FALSE),"Non trouvé")</f>
        <v>Non trouvé</v>
      </c>
    </row>
    <row r="1777" spans="1:10" x14ac:dyDescent="0.25">
      <c r="A1777" t="str">
        <f>IFERROR(VLOOKUP(Logs_reseau[[#This Row],[Cell_ID]],'[1]Registre_Maintenance_combine '!A:B,2,FALSE),"Non trouvé")</f>
        <v>Haut-Katanga</v>
      </c>
      <c r="B1777" t="s">
        <v>686</v>
      </c>
      <c r="C1777" s="3">
        <v>45206.974305555559</v>
      </c>
      <c r="D1777" s="11">
        <f>Logs_reseau[[#This Row],[Duree_Panne_Min]]/1440</f>
        <v>3.6805555555555557E-2</v>
      </c>
      <c r="E1777">
        <v>53</v>
      </c>
      <c r="F1777" t="s">
        <v>2</v>
      </c>
      <c r="G1777">
        <f>IFERROR(VLOOKUP(Logs_reseau[[#This Row],[Cell_ID]],'[1]Registre_Maintenance_combine '!A:C,3,FALSE),"Non trouvé")</f>
        <v>-2.926736</v>
      </c>
      <c r="H1777">
        <f>IFERROR(VLOOKUP(Logs_reseau[[#This Row],[Cell_ID]],'[1]Registre_Maintenance_combine '!A:D,4,FALSE),"Non trouvé")</f>
        <v>18.170461</v>
      </c>
      <c r="I1777" t="str">
        <f>IFERROR(VLOOKUP(Logs_reseau[[#This Row],[Cell_ID]],'[1]Registre_Maintenance_combine '!A:E,5,FALSE),"Non trouvé")</f>
        <v>5G</v>
      </c>
      <c r="J1777" t="str">
        <f>IFERROR(VLOOKUP(Logs_reseau[[#This Row],[Cell_ID]],'[1]Registre_Maintenance_combine '!A:F,6,FALSE),"Non trouvé")</f>
        <v>Ericsson</v>
      </c>
    </row>
    <row r="1778" spans="1:10" x14ac:dyDescent="0.25">
      <c r="A1778" t="str">
        <f>IFERROR(VLOOKUP(Logs_reseau[[#This Row],[Cell_ID]],'[1]Registre_Maintenance_combine '!A:B,2,FALSE),"Non trouvé")</f>
        <v>Kongo-Central</v>
      </c>
      <c r="B1778" t="s">
        <v>620</v>
      </c>
      <c r="C1778" s="3">
        <v>45230.039583333331</v>
      </c>
      <c r="D1778" s="11">
        <f>Logs_reseau[[#This Row],[Duree_Panne_Min]]/1440</f>
        <v>8.1250000000000003E-2</v>
      </c>
      <c r="E1778">
        <v>117</v>
      </c>
      <c r="F1778" t="s">
        <v>2</v>
      </c>
      <c r="G1778">
        <f>IFERROR(VLOOKUP(Logs_reseau[[#This Row],[Cell_ID]],'[1]Registre_Maintenance_combine '!A:C,3,FALSE),"Non trouvé")</f>
        <v>1.981107</v>
      </c>
      <c r="H1778">
        <f>IFERROR(VLOOKUP(Logs_reseau[[#This Row],[Cell_ID]],'[1]Registre_Maintenance_combine '!A:D,4,FALSE),"Non trouvé")</f>
        <v>23.932569000000001</v>
      </c>
      <c r="I1778" t="str">
        <f>IFERROR(VLOOKUP(Logs_reseau[[#This Row],[Cell_ID]],'[1]Registre_Maintenance_combine '!A:E,5,FALSE),"Non trouvé")</f>
        <v>3G</v>
      </c>
      <c r="J1778" t="str">
        <f>IFERROR(VLOOKUP(Logs_reseau[[#This Row],[Cell_ID]],'[1]Registre_Maintenance_combine '!A:F,6,FALSE),"Non trouvé")</f>
        <v>Nokia</v>
      </c>
    </row>
    <row r="1779" spans="1:10" x14ac:dyDescent="0.25">
      <c r="A1779" t="str">
        <f>IFERROR(VLOOKUP(Logs_reseau[[#This Row],[Cell_ID]],'[1]Registre_Maintenance_combine '!A:B,2,FALSE),"Non trouvé")</f>
        <v>Non trouvé</v>
      </c>
      <c r="B1779" t="s">
        <v>142</v>
      </c>
      <c r="C1779" s="3">
        <v>45210.675000000003</v>
      </c>
      <c r="D1779" s="11">
        <f>Logs_reseau[[#This Row],[Duree_Panne_Min]]/1440</f>
        <v>5.9722222222222225E-2</v>
      </c>
      <c r="E1779">
        <v>86</v>
      </c>
      <c r="F1779" t="s">
        <v>4</v>
      </c>
      <c r="G1779" t="str">
        <f>IFERROR(VLOOKUP(Logs_reseau[[#This Row],[Cell_ID]],'[1]Registre_Maintenance_combine '!A:C,3,FALSE),"Non trouvé")</f>
        <v>Non trouvé</v>
      </c>
      <c r="H1779" t="str">
        <f>IFERROR(VLOOKUP(Logs_reseau[[#This Row],[Cell_ID]],'[1]Registre_Maintenance_combine '!A:D,4,FALSE),"Non trouvé")</f>
        <v>Non trouvé</v>
      </c>
      <c r="I1779" t="str">
        <f>IFERROR(VLOOKUP(Logs_reseau[[#This Row],[Cell_ID]],'[1]Registre_Maintenance_combine '!A:E,5,FALSE),"Non trouvé")</f>
        <v>Non trouvé</v>
      </c>
      <c r="J1779" t="str">
        <f>IFERROR(VLOOKUP(Logs_reseau[[#This Row],[Cell_ID]],'[1]Registre_Maintenance_combine '!A:F,6,FALSE),"Non trouvé")</f>
        <v>Non trouvé</v>
      </c>
    </row>
    <row r="1780" spans="1:10" x14ac:dyDescent="0.25">
      <c r="A1780" t="str">
        <f>IFERROR(VLOOKUP(Logs_reseau[[#This Row],[Cell_ID]],'[1]Registre_Maintenance_combine '!A:B,2,FALSE),"Non trouvé")</f>
        <v>Non trouvé</v>
      </c>
      <c r="B1780" t="s">
        <v>280</v>
      </c>
      <c r="C1780" s="3">
        <v>45220.96875</v>
      </c>
      <c r="D1780" s="11">
        <f>Logs_reseau[[#This Row],[Duree_Panne_Min]]/1440</f>
        <v>7.1527777777777773E-2</v>
      </c>
      <c r="E1780">
        <v>103</v>
      </c>
      <c r="F1780" t="s">
        <v>1</v>
      </c>
      <c r="G1780" t="str">
        <f>IFERROR(VLOOKUP(Logs_reseau[[#This Row],[Cell_ID]],'[1]Registre_Maintenance_combine '!A:C,3,FALSE),"Non trouvé")</f>
        <v>Non trouvé</v>
      </c>
      <c r="H1780" t="str">
        <f>IFERROR(VLOOKUP(Logs_reseau[[#This Row],[Cell_ID]],'[1]Registre_Maintenance_combine '!A:D,4,FALSE),"Non trouvé")</f>
        <v>Non trouvé</v>
      </c>
      <c r="I1780" t="str">
        <f>IFERROR(VLOOKUP(Logs_reseau[[#This Row],[Cell_ID]],'[1]Registre_Maintenance_combine '!A:E,5,FALSE),"Non trouvé")</f>
        <v>Non trouvé</v>
      </c>
      <c r="J1780" t="str">
        <f>IFERROR(VLOOKUP(Logs_reseau[[#This Row],[Cell_ID]],'[1]Registre_Maintenance_combine '!A:F,6,FALSE),"Non trouvé")</f>
        <v>Non trouvé</v>
      </c>
    </row>
    <row r="1781" spans="1:10" x14ac:dyDescent="0.25">
      <c r="A1781" t="str">
        <f>IFERROR(VLOOKUP(Logs_reseau[[#This Row],[Cell_ID]],'[1]Registre_Maintenance_combine '!A:B,2,FALSE),"Non trouvé")</f>
        <v>Haut-Katanga</v>
      </c>
      <c r="B1781" t="s">
        <v>399</v>
      </c>
      <c r="C1781" s="3">
        <v>45207.955555555556</v>
      </c>
      <c r="D1781" s="11">
        <f>Logs_reseau[[#This Row],[Duree_Panne_Min]]/1440</f>
        <v>5.0694444444444445E-2</v>
      </c>
      <c r="E1781">
        <v>73</v>
      </c>
      <c r="F1781" t="s">
        <v>2</v>
      </c>
      <c r="G1781">
        <f>IFERROR(VLOOKUP(Logs_reseau[[#This Row],[Cell_ID]],'[1]Registre_Maintenance_combine '!A:C,3,FALSE),"Non trouvé")</f>
        <v>2.016505</v>
      </c>
      <c r="H1781">
        <f>IFERROR(VLOOKUP(Logs_reseau[[#This Row],[Cell_ID]],'[1]Registre_Maintenance_combine '!A:D,4,FALSE),"Non trouvé")</f>
        <v>14.294164</v>
      </c>
      <c r="I1781" t="str">
        <f>IFERROR(VLOOKUP(Logs_reseau[[#This Row],[Cell_ID]],'[1]Registre_Maintenance_combine '!A:E,5,FALSE),"Non trouvé")</f>
        <v>5G</v>
      </c>
      <c r="J1781" t="str">
        <f>IFERROR(VLOOKUP(Logs_reseau[[#This Row],[Cell_ID]],'[1]Registre_Maintenance_combine '!A:F,6,FALSE),"Non trouvé")</f>
        <v>Huawei</v>
      </c>
    </row>
    <row r="1782" spans="1:10" x14ac:dyDescent="0.25">
      <c r="A1782" t="str">
        <f>IFERROR(VLOOKUP(Logs_reseau[[#This Row],[Cell_ID]],'[1]Registre_Maintenance_combine '!A:B,2,FALSE),"Non trouvé")</f>
        <v>Non trouvé</v>
      </c>
      <c r="B1782" t="s">
        <v>109</v>
      </c>
      <c r="C1782" s="3">
        <v>45211.380555555559</v>
      </c>
      <c r="D1782" s="11">
        <f>Logs_reseau[[#This Row],[Duree_Panne_Min]]/1440</f>
        <v>5.8333333333333334E-2</v>
      </c>
      <c r="E1782">
        <v>84</v>
      </c>
      <c r="F1782" t="s">
        <v>1</v>
      </c>
      <c r="G1782" t="str">
        <f>IFERROR(VLOOKUP(Logs_reseau[[#This Row],[Cell_ID]],'[1]Registre_Maintenance_combine '!A:C,3,FALSE),"Non trouvé")</f>
        <v>Non trouvé</v>
      </c>
      <c r="H1782" t="str">
        <f>IFERROR(VLOOKUP(Logs_reseau[[#This Row],[Cell_ID]],'[1]Registre_Maintenance_combine '!A:D,4,FALSE),"Non trouvé")</f>
        <v>Non trouvé</v>
      </c>
      <c r="I1782" t="str">
        <f>IFERROR(VLOOKUP(Logs_reseau[[#This Row],[Cell_ID]],'[1]Registre_Maintenance_combine '!A:E,5,FALSE),"Non trouvé")</f>
        <v>Non trouvé</v>
      </c>
      <c r="J1782" t="str">
        <f>IFERROR(VLOOKUP(Logs_reseau[[#This Row],[Cell_ID]],'[1]Registre_Maintenance_combine '!A:F,6,FALSE),"Non trouvé")</f>
        <v>Non trouvé</v>
      </c>
    </row>
    <row r="1783" spans="1:10" x14ac:dyDescent="0.25">
      <c r="A1783" t="str">
        <f>IFERROR(VLOOKUP(Logs_reseau[[#This Row],[Cell_ID]],'[1]Registre_Maintenance_combine '!A:B,2,FALSE),"Non trouvé")</f>
        <v>Kwilu</v>
      </c>
      <c r="B1783" t="s">
        <v>583</v>
      </c>
      <c r="C1783" s="3">
        <v>45203.522222222222</v>
      </c>
      <c r="D1783" s="11">
        <f>Logs_reseau[[#This Row],[Duree_Panne_Min]]/1440</f>
        <v>7.6388888888888886E-3</v>
      </c>
      <c r="E1783">
        <v>11</v>
      </c>
      <c r="F1783" t="s">
        <v>2</v>
      </c>
      <c r="G1783">
        <f>IFERROR(VLOOKUP(Logs_reseau[[#This Row],[Cell_ID]],'[1]Registre_Maintenance_combine '!A:C,3,FALSE),"Non trouvé")</f>
        <v>-7.402336</v>
      </c>
      <c r="H1783">
        <f>IFERROR(VLOOKUP(Logs_reseau[[#This Row],[Cell_ID]],'[1]Registre_Maintenance_combine '!A:D,4,FALSE),"Non trouvé")</f>
        <v>27.376697</v>
      </c>
      <c r="I1783" t="str">
        <f>IFERROR(VLOOKUP(Logs_reseau[[#This Row],[Cell_ID]],'[1]Registre_Maintenance_combine '!A:E,5,FALSE),"Non trouvé")</f>
        <v>4G</v>
      </c>
      <c r="J1783" t="str">
        <f>IFERROR(VLOOKUP(Logs_reseau[[#This Row],[Cell_ID]],'[1]Registre_Maintenance_combine '!A:F,6,FALSE),"Non trouvé")</f>
        <v>Huawei</v>
      </c>
    </row>
    <row r="1784" spans="1:10" x14ac:dyDescent="0.25">
      <c r="A1784" t="str">
        <f>IFERROR(VLOOKUP(Logs_reseau[[#This Row],[Cell_ID]],'[1]Registre_Maintenance_combine '!A:B,2,FALSE),"Non trouvé")</f>
        <v>Kongo-Central</v>
      </c>
      <c r="B1784" t="s">
        <v>204</v>
      </c>
      <c r="C1784" s="3">
        <v>45218.381944444445</v>
      </c>
      <c r="D1784" s="11">
        <f>Logs_reseau[[#This Row],[Duree_Panne_Min]]/1440</f>
        <v>5.6250000000000001E-2</v>
      </c>
      <c r="E1784">
        <v>81</v>
      </c>
      <c r="F1784" t="s">
        <v>2</v>
      </c>
      <c r="G1784">
        <f>IFERROR(VLOOKUP(Logs_reseau[[#This Row],[Cell_ID]],'[1]Registre_Maintenance_combine '!A:C,3,FALSE),"Non trouvé")</f>
        <v>-2.8211520000000001</v>
      </c>
      <c r="H1784">
        <f>IFERROR(VLOOKUP(Logs_reseau[[#This Row],[Cell_ID]],'[1]Registre_Maintenance_combine '!A:D,4,FALSE),"Non trouvé")</f>
        <v>20.651419000000001</v>
      </c>
      <c r="I1784" t="str">
        <f>IFERROR(VLOOKUP(Logs_reseau[[#This Row],[Cell_ID]],'[1]Registre_Maintenance_combine '!A:E,5,FALSE),"Non trouvé")</f>
        <v>5G</v>
      </c>
      <c r="J1784" t="str">
        <f>IFERROR(VLOOKUP(Logs_reseau[[#This Row],[Cell_ID]],'[1]Registre_Maintenance_combine '!A:F,6,FALSE),"Non trouvé")</f>
        <v>Ericsson</v>
      </c>
    </row>
    <row r="1785" spans="1:10" x14ac:dyDescent="0.25">
      <c r="A1785" t="str">
        <f>IFERROR(VLOOKUP(Logs_reseau[[#This Row],[Cell_ID]],'[1]Registre_Maintenance_combine '!A:B,2,FALSE),"Non trouvé")</f>
        <v>Non trouvé</v>
      </c>
      <c r="B1785" t="s">
        <v>414</v>
      </c>
      <c r="C1785" s="3">
        <v>45202.054861111108</v>
      </c>
      <c r="D1785" s="11">
        <f>Logs_reseau[[#This Row],[Duree_Panne_Min]]/1440</f>
        <v>7.6388888888888886E-3</v>
      </c>
      <c r="E1785">
        <v>11</v>
      </c>
      <c r="F1785" t="s">
        <v>1</v>
      </c>
      <c r="G1785" t="str">
        <f>IFERROR(VLOOKUP(Logs_reseau[[#This Row],[Cell_ID]],'[1]Registre_Maintenance_combine '!A:C,3,FALSE),"Non trouvé")</f>
        <v>Non trouvé</v>
      </c>
      <c r="H1785" t="str">
        <f>IFERROR(VLOOKUP(Logs_reseau[[#This Row],[Cell_ID]],'[1]Registre_Maintenance_combine '!A:D,4,FALSE),"Non trouvé")</f>
        <v>Non trouvé</v>
      </c>
      <c r="I1785" t="str">
        <f>IFERROR(VLOOKUP(Logs_reseau[[#This Row],[Cell_ID]],'[1]Registre_Maintenance_combine '!A:E,5,FALSE),"Non trouvé")</f>
        <v>Non trouvé</v>
      </c>
      <c r="J1785" t="str">
        <f>IFERROR(VLOOKUP(Logs_reseau[[#This Row],[Cell_ID]],'[1]Registre_Maintenance_combine '!A:F,6,FALSE),"Non trouvé")</f>
        <v>Non trouvé</v>
      </c>
    </row>
    <row r="1786" spans="1:10" x14ac:dyDescent="0.25">
      <c r="A1786" t="str">
        <f>IFERROR(VLOOKUP(Logs_reseau[[#This Row],[Cell_ID]],'[1]Registre_Maintenance_combine '!A:B,2,FALSE),"Non trouvé")</f>
        <v>Bas-Uele</v>
      </c>
      <c r="B1786" t="s">
        <v>122</v>
      </c>
      <c r="C1786" s="3">
        <v>45230.395138888889</v>
      </c>
      <c r="D1786" s="11">
        <f>Logs_reseau[[#This Row],[Duree_Panne_Min]]/1440</f>
        <v>6.1805555555555558E-2</v>
      </c>
      <c r="E1786">
        <v>89</v>
      </c>
      <c r="F1786" t="s">
        <v>4</v>
      </c>
      <c r="G1786">
        <f>IFERROR(VLOOKUP(Logs_reseau[[#This Row],[Cell_ID]],'[1]Registre_Maintenance_combine '!A:C,3,FALSE),"Non trouvé")</f>
        <v>-7.3952039999999997</v>
      </c>
      <c r="H1786">
        <f>IFERROR(VLOOKUP(Logs_reseau[[#This Row],[Cell_ID]],'[1]Registre_Maintenance_combine '!A:D,4,FALSE),"Non trouvé")</f>
        <v>21.651043999999999</v>
      </c>
      <c r="I1786" t="str">
        <f>IFERROR(VLOOKUP(Logs_reseau[[#This Row],[Cell_ID]],'[1]Registre_Maintenance_combine '!A:E,5,FALSE),"Non trouvé")</f>
        <v>4G</v>
      </c>
      <c r="J1786" t="str">
        <f>IFERROR(VLOOKUP(Logs_reseau[[#This Row],[Cell_ID]],'[1]Registre_Maintenance_combine '!A:F,6,FALSE),"Non trouvé")</f>
        <v>Huawei</v>
      </c>
    </row>
    <row r="1787" spans="1:10" x14ac:dyDescent="0.25">
      <c r="A1787" t="str">
        <f>IFERROR(VLOOKUP(Logs_reseau[[#This Row],[Cell_ID]],'[1]Registre_Maintenance_combine '!A:B,2,FALSE),"Non trouvé")</f>
        <v>Non trouvé</v>
      </c>
      <c r="B1787" t="s">
        <v>672</v>
      </c>
      <c r="C1787" s="3">
        <v>45223.693055555559</v>
      </c>
      <c r="D1787" s="11">
        <f>Logs_reseau[[#This Row],[Duree_Panne_Min]]/1440</f>
        <v>1.2500000000000001E-2</v>
      </c>
      <c r="E1787">
        <v>18</v>
      </c>
      <c r="F1787" t="s">
        <v>2</v>
      </c>
      <c r="G1787" t="str">
        <f>IFERROR(VLOOKUP(Logs_reseau[[#This Row],[Cell_ID]],'[1]Registre_Maintenance_combine '!A:C,3,FALSE),"Non trouvé")</f>
        <v>Non trouvé</v>
      </c>
      <c r="H1787" t="str">
        <f>IFERROR(VLOOKUP(Logs_reseau[[#This Row],[Cell_ID]],'[1]Registre_Maintenance_combine '!A:D,4,FALSE),"Non trouvé")</f>
        <v>Non trouvé</v>
      </c>
      <c r="I1787" t="str">
        <f>IFERROR(VLOOKUP(Logs_reseau[[#This Row],[Cell_ID]],'[1]Registre_Maintenance_combine '!A:E,5,FALSE),"Non trouvé")</f>
        <v>Non trouvé</v>
      </c>
      <c r="J1787" t="str">
        <f>IFERROR(VLOOKUP(Logs_reseau[[#This Row],[Cell_ID]],'[1]Registre_Maintenance_combine '!A:F,6,FALSE),"Non trouvé")</f>
        <v>Non trouvé</v>
      </c>
    </row>
    <row r="1788" spans="1:10" x14ac:dyDescent="0.25">
      <c r="A1788" t="str">
        <f>IFERROR(VLOOKUP(Logs_reseau[[#This Row],[Cell_ID]],'[1]Registre_Maintenance_combine '!A:B,2,FALSE),"Non trouvé")</f>
        <v>Maniema</v>
      </c>
      <c r="B1788" t="s">
        <v>118</v>
      </c>
      <c r="C1788" s="3">
        <v>45216.435416666667</v>
      </c>
      <c r="D1788" s="11">
        <f>Logs_reseau[[#This Row],[Duree_Panne_Min]]/1440</f>
        <v>6.1111111111111109E-2</v>
      </c>
      <c r="E1788">
        <v>88</v>
      </c>
      <c r="F1788" t="s">
        <v>1</v>
      </c>
      <c r="G1788">
        <f>IFERROR(VLOOKUP(Logs_reseau[[#This Row],[Cell_ID]],'[1]Registre_Maintenance_combine '!A:C,3,FALSE),"Non trouvé")</f>
        <v>1.938083</v>
      </c>
      <c r="H1788">
        <f>IFERROR(VLOOKUP(Logs_reseau[[#This Row],[Cell_ID]],'[1]Registre_Maintenance_combine '!A:D,4,FALSE),"Non trouvé")</f>
        <v>28.25281</v>
      </c>
      <c r="I1788" t="str">
        <f>IFERROR(VLOOKUP(Logs_reseau[[#This Row],[Cell_ID]],'[1]Registre_Maintenance_combine '!A:E,5,FALSE),"Non trouvé")</f>
        <v>4G</v>
      </c>
      <c r="J1788" t="str">
        <f>IFERROR(VLOOKUP(Logs_reseau[[#This Row],[Cell_ID]],'[1]Registre_Maintenance_combine '!A:F,6,FALSE),"Non trouvé")</f>
        <v>Nokia</v>
      </c>
    </row>
    <row r="1789" spans="1:10" x14ac:dyDescent="0.25">
      <c r="A1789" t="str">
        <f>IFERROR(VLOOKUP(Logs_reseau[[#This Row],[Cell_ID]],'[1]Registre_Maintenance_combine '!A:B,2,FALSE),"Non trouvé")</f>
        <v>Ituri</v>
      </c>
      <c r="B1789" t="s">
        <v>430</v>
      </c>
      <c r="C1789" s="3">
        <v>45228.880555555559</v>
      </c>
      <c r="D1789" s="11">
        <f>Logs_reseau[[#This Row],[Duree_Panne_Min]]/1440</f>
        <v>7.7777777777777779E-2</v>
      </c>
      <c r="E1789">
        <v>112</v>
      </c>
      <c r="F1789" t="s">
        <v>4</v>
      </c>
      <c r="G1789">
        <f>IFERROR(VLOOKUP(Logs_reseau[[#This Row],[Cell_ID]],'[1]Registre_Maintenance_combine '!A:C,3,FALSE),"Non trouvé")</f>
        <v>-4.1250960000000001</v>
      </c>
      <c r="H1789">
        <f>IFERROR(VLOOKUP(Logs_reseau[[#This Row],[Cell_ID]],'[1]Registre_Maintenance_combine '!A:D,4,FALSE),"Non trouvé")</f>
        <v>27.799897999999999</v>
      </c>
      <c r="I1789" t="str">
        <f>IFERROR(VLOOKUP(Logs_reseau[[#This Row],[Cell_ID]],'[1]Registre_Maintenance_combine '!A:E,5,FALSE),"Non trouvé")</f>
        <v>3G</v>
      </c>
      <c r="J1789" t="str">
        <f>IFERROR(VLOOKUP(Logs_reseau[[#This Row],[Cell_ID]],'[1]Registre_Maintenance_combine '!A:F,6,FALSE),"Non trouvé")</f>
        <v>Nokia</v>
      </c>
    </row>
    <row r="1790" spans="1:10" x14ac:dyDescent="0.25">
      <c r="A1790" t="str">
        <f>IFERROR(VLOOKUP(Logs_reseau[[#This Row],[Cell_ID]],'[1]Registre_Maintenance_combine '!A:B,2,FALSE),"Non trouvé")</f>
        <v>Haut-Uele</v>
      </c>
      <c r="B1790" t="s">
        <v>516</v>
      </c>
      <c r="C1790" s="3">
        <v>45211.888888888891</v>
      </c>
      <c r="D1790" s="11">
        <f>Logs_reseau[[#This Row],[Duree_Panne_Min]]/1440</f>
        <v>6.0416666666666667E-2</v>
      </c>
      <c r="E1790">
        <v>87</v>
      </c>
      <c r="F1790" t="s">
        <v>2</v>
      </c>
      <c r="G1790">
        <f>IFERROR(VLOOKUP(Logs_reseau[[#This Row],[Cell_ID]],'[1]Registre_Maintenance_combine '!A:C,3,FALSE),"Non trouvé")</f>
        <v>-7.1483749999999997</v>
      </c>
      <c r="H1790">
        <f>IFERROR(VLOOKUP(Logs_reseau[[#This Row],[Cell_ID]],'[1]Registre_Maintenance_combine '!A:D,4,FALSE),"Non trouvé")</f>
        <v>26.014271000000001</v>
      </c>
      <c r="I1790" t="str">
        <f>IFERROR(VLOOKUP(Logs_reseau[[#This Row],[Cell_ID]],'[1]Registre_Maintenance_combine '!A:E,5,FALSE),"Non trouvé")</f>
        <v>5G</v>
      </c>
      <c r="J1790" t="str">
        <f>IFERROR(VLOOKUP(Logs_reseau[[#This Row],[Cell_ID]],'[1]Registre_Maintenance_combine '!A:F,6,FALSE),"Non trouvé")</f>
        <v>Huawei</v>
      </c>
    </row>
    <row r="1791" spans="1:10" x14ac:dyDescent="0.25">
      <c r="A1791" t="str">
        <f>IFERROR(VLOOKUP(Logs_reseau[[#This Row],[Cell_ID]],'[1]Registre_Maintenance_combine '!A:B,2,FALSE),"Non trouvé")</f>
        <v>Non trouvé</v>
      </c>
      <c r="B1791" t="s">
        <v>21</v>
      </c>
      <c r="C1791" s="3">
        <v>45213.963194444441</v>
      </c>
      <c r="D1791" s="11">
        <f>Logs_reseau[[#This Row],[Duree_Panne_Min]]/1440</f>
        <v>1.7361111111111112E-2</v>
      </c>
      <c r="E1791">
        <v>25</v>
      </c>
      <c r="F1791" t="s">
        <v>2</v>
      </c>
      <c r="G1791" t="str">
        <f>IFERROR(VLOOKUP(Logs_reseau[[#This Row],[Cell_ID]],'[1]Registre_Maintenance_combine '!A:C,3,FALSE),"Non trouvé")</f>
        <v>Non trouvé</v>
      </c>
      <c r="H1791" t="str">
        <f>IFERROR(VLOOKUP(Logs_reseau[[#This Row],[Cell_ID]],'[1]Registre_Maintenance_combine '!A:D,4,FALSE),"Non trouvé")</f>
        <v>Non trouvé</v>
      </c>
      <c r="I1791" t="str">
        <f>IFERROR(VLOOKUP(Logs_reseau[[#This Row],[Cell_ID]],'[1]Registre_Maintenance_combine '!A:E,5,FALSE),"Non trouvé")</f>
        <v>Non trouvé</v>
      </c>
      <c r="J1791" t="str">
        <f>IFERROR(VLOOKUP(Logs_reseau[[#This Row],[Cell_ID]],'[1]Registre_Maintenance_combine '!A:F,6,FALSE),"Non trouvé")</f>
        <v>Non trouvé</v>
      </c>
    </row>
    <row r="1792" spans="1:10" x14ac:dyDescent="0.25">
      <c r="A1792" t="str">
        <f>IFERROR(VLOOKUP(Logs_reseau[[#This Row],[Cell_ID]],'[1]Registre_Maintenance_combine '!A:B,2,FALSE),"Non trouvé")</f>
        <v>Bas-Uele</v>
      </c>
      <c r="B1792" t="s">
        <v>107</v>
      </c>
      <c r="C1792" s="3">
        <v>45203.041666666664</v>
      </c>
      <c r="D1792" s="11">
        <f>Logs_reseau[[#This Row],[Duree_Panne_Min]]/1440</f>
        <v>4.791666666666667E-2</v>
      </c>
      <c r="E1792">
        <v>69</v>
      </c>
      <c r="F1792" t="s">
        <v>4</v>
      </c>
      <c r="G1792">
        <f>IFERROR(VLOOKUP(Logs_reseau[[#This Row],[Cell_ID]],'[1]Registre_Maintenance_combine '!A:C,3,FALSE),"Non trouvé")</f>
        <v>-2.2876210000000001</v>
      </c>
      <c r="H1792">
        <f>IFERROR(VLOOKUP(Logs_reseau[[#This Row],[Cell_ID]],'[1]Registre_Maintenance_combine '!A:D,4,FALSE),"Non trouvé")</f>
        <v>27.582545</v>
      </c>
      <c r="I1792" t="str">
        <f>IFERROR(VLOOKUP(Logs_reseau[[#This Row],[Cell_ID]],'[1]Registre_Maintenance_combine '!A:E,5,FALSE),"Non trouvé")</f>
        <v>4G</v>
      </c>
      <c r="J1792" t="str">
        <f>IFERROR(VLOOKUP(Logs_reseau[[#This Row],[Cell_ID]],'[1]Registre_Maintenance_combine '!A:F,6,FALSE),"Non trouvé")</f>
        <v>Huawei</v>
      </c>
    </row>
    <row r="1793" spans="1:10" x14ac:dyDescent="0.25">
      <c r="A1793" t="str">
        <f>IFERROR(VLOOKUP(Logs_reseau[[#This Row],[Cell_ID]],'[1]Registre_Maintenance_combine '!A:B,2,FALSE),"Non trouvé")</f>
        <v>Kinshasa</v>
      </c>
      <c r="B1793" t="s">
        <v>341</v>
      </c>
      <c r="C1793" s="3">
        <v>45227.195833333331</v>
      </c>
      <c r="D1793" s="11">
        <f>Logs_reseau[[#This Row],[Duree_Panne_Min]]/1440</f>
        <v>7.8472222222222221E-2</v>
      </c>
      <c r="E1793">
        <v>113</v>
      </c>
      <c r="F1793" t="s">
        <v>2</v>
      </c>
      <c r="G1793">
        <f>IFERROR(VLOOKUP(Logs_reseau[[#This Row],[Cell_ID]],'[1]Registre_Maintenance_combine '!A:C,3,FALSE),"Non trouvé")</f>
        <v>-7.5418399999999997</v>
      </c>
      <c r="H1793">
        <f>IFERROR(VLOOKUP(Logs_reseau[[#This Row],[Cell_ID]],'[1]Registre_Maintenance_combine '!A:D,4,FALSE),"Non trouvé")</f>
        <v>16.931206</v>
      </c>
      <c r="I1793" t="str">
        <f>IFERROR(VLOOKUP(Logs_reseau[[#This Row],[Cell_ID]],'[1]Registre_Maintenance_combine '!A:E,5,FALSE),"Non trouvé")</f>
        <v>3G</v>
      </c>
      <c r="J1793" t="str">
        <f>IFERROR(VLOOKUP(Logs_reseau[[#This Row],[Cell_ID]],'[1]Registre_Maintenance_combine '!A:F,6,FALSE),"Non trouvé")</f>
        <v>Nokia</v>
      </c>
    </row>
    <row r="1794" spans="1:10" x14ac:dyDescent="0.25">
      <c r="A1794" t="str">
        <f>IFERROR(VLOOKUP(Logs_reseau[[#This Row],[Cell_ID]],'[1]Registre_Maintenance_combine '!A:B,2,FALSE),"Non trouvé")</f>
        <v>Haut-Lomami</v>
      </c>
      <c r="B1794" t="s">
        <v>619</v>
      </c>
      <c r="C1794" s="3">
        <v>45220.222916666666</v>
      </c>
      <c r="D1794" s="11">
        <f>Logs_reseau[[#This Row],[Duree_Panne_Min]]/1440</f>
        <v>4.5138888888888888E-2</v>
      </c>
      <c r="E1794">
        <v>65</v>
      </c>
      <c r="F1794" t="s">
        <v>4</v>
      </c>
      <c r="G1794">
        <f>IFERROR(VLOOKUP(Logs_reseau[[#This Row],[Cell_ID]],'[1]Registre_Maintenance_combine '!A:C,3,FALSE),"Non trouvé")</f>
        <v>-1.3938550000000001</v>
      </c>
      <c r="H1794">
        <f>IFERROR(VLOOKUP(Logs_reseau[[#This Row],[Cell_ID]],'[1]Registre_Maintenance_combine '!A:D,4,FALSE),"Non trouvé")</f>
        <v>15.097554000000001</v>
      </c>
      <c r="I1794" t="str">
        <f>IFERROR(VLOOKUP(Logs_reseau[[#This Row],[Cell_ID]],'[1]Registre_Maintenance_combine '!A:E,5,FALSE),"Non trouvé")</f>
        <v>4G</v>
      </c>
      <c r="J1794" t="str">
        <f>IFERROR(VLOOKUP(Logs_reseau[[#This Row],[Cell_ID]],'[1]Registre_Maintenance_combine '!A:F,6,FALSE),"Non trouvé")</f>
        <v>Huawei</v>
      </c>
    </row>
    <row r="1795" spans="1:10" x14ac:dyDescent="0.25">
      <c r="A1795" t="str">
        <f>IFERROR(VLOOKUP(Logs_reseau[[#This Row],[Cell_ID]],'[1]Registre_Maintenance_combine '!A:B,2,FALSE),"Non trouvé")</f>
        <v>Ituri</v>
      </c>
      <c r="B1795" t="s">
        <v>38</v>
      </c>
      <c r="C1795" s="3">
        <v>45211.61041666667</v>
      </c>
      <c r="D1795" s="11">
        <f>Logs_reseau[[#This Row],[Duree_Panne_Min]]/1440</f>
        <v>7.9166666666666663E-2</v>
      </c>
      <c r="E1795">
        <v>114</v>
      </c>
      <c r="F1795" t="s">
        <v>1</v>
      </c>
      <c r="G1795">
        <f>IFERROR(VLOOKUP(Logs_reseau[[#This Row],[Cell_ID]],'[1]Registre_Maintenance_combine '!A:C,3,FALSE),"Non trouvé")</f>
        <v>-7.0076900000000002</v>
      </c>
      <c r="H1795">
        <f>IFERROR(VLOOKUP(Logs_reseau[[#This Row],[Cell_ID]],'[1]Registre_Maintenance_combine '!A:D,4,FALSE),"Non trouvé")</f>
        <v>27.367121999999998</v>
      </c>
      <c r="I1795" t="str">
        <f>IFERROR(VLOOKUP(Logs_reseau[[#This Row],[Cell_ID]],'[1]Registre_Maintenance_combine '!A:E,5,FALSE),"Non trouvé")</f>
        <v>3G</v>
      </c>
      <c r="J1795" t="str">
        <f>IFERROR(VLOOKUP(Logs_reseau[[#This Row],[Cell_ID]],'[1]Registre_Maintenance_combine '!A:F,6,FALSE),"Non trouvé")</f>
        <v>Nokia</v>
      </c>
    </row>
    <row r="1796" spans="1:10" x14ac:dyDescent="0.25">
      <c r="A1796" t="str">
        <f>IFERROR(VLOOKUP(Logs_reseau[[#This Row],[Cell_ID]],'[1]Registre_Maintenance_combine '!A:B,2,FALSE),"Non trouvé")</f>
        <v>Bas-Uele</v>
      </c>
      <c r="B1796" t="s">
        <v>687</v>
      </c>
      <c r="C1796" s="3">
        <v>45208.961805555555</v>
      </c>
      <c r="D1796" s="11">
        <f>Logs_reseau[[#This Row],[Duree_Panne_Min]]/1440</f>
        <v>4.7222222222222221E-2</v>
      </c>
      <c r="E1796">
        <v>68</v>
      </c>
      <c r="F1796" t="s">
        <v>1</v>
      </c>
      <c r="G1796">
        <f>IFERROR(VLOOKUP(Logs_reseau[[#This Row],[Cell_ID]],'[1]Registre_Maintenance_combine '!A:C,3,FALSE),"Non trouvé")</f>
        <v>-2.3269820000000001</v>
      </c>
      <c r="H1796">
        <f>IFERROR(VLOOKUP(Logs_reseau[[#This Row],[Cell_ID]],'[1]Registre_Maintenance_combine '!A:D,4,FALSE),"Non trouvé")</f>
        <v>14.609259</v>
      </c>
      <c r="I1796" t="str">
        <f>IFERROR(VLOOKUP(Logs_reseau[[#This Row],[Cell_ID]],'[1]Registre_Maintenance_combine '!A:E,5,FALSE),"Non trouvé")</f>
        <v>3G</v>
      </c>
      <c r="J1796" t="str">
        <f>IFERROR(VLOOKUP(Logs_reseau[[#This Row],[Cell_ID]],'[1]Registre_Maintenance_combine '!A:F,6,FALSE),"Non trouvé")</f>
        <v>Nokia</v>
      </c>
    </row>
    <row r="1797" spans="1:10" x14ac:dyDescent="0.25">
      <c r="A1797" t="str">
        <f>IFERROR(VLOOKUP(Logs_reseau[[#This Row],[Cell_ID]],'[1]Registre_Maintenance_combine '!A:B,2,FALSE),"Non trouvé")</f>
        <v>Nord-Kivu</v>
      </c>
      <c r="B1797" t="s">
        <v>358</v>
      </c>
      <c r="C1797" s="3">
        <v>45211.424305555556</v>
      </c>
      <c r="D1797" s="11">
        <f>Logs_reseau[[#This Row],[Duree_Panne_Min]]/1440</f>
        <v>8.0555555555555561E-2</v>
      </c>
      <c r="E1797">
        <v>116</v>
      </c>
      <c r="F1797" t="s">
        <v>2</v>
      </c>
      <c r="G1797">
        <f>IFERROR(VLOOKUP(Logs_reseau[[#This Row],[Cell_ID]],'[1]Registre_Maintenance_combine '!A:C,3,FALSE),"Non trouvé")</f>
        <v>-1.8555980000000001</v>
      </c>
      <c r="H1797">
        <f>IFERROR(VLOOKUP(Logs_reseau[[#This Row],[Cell_ID]],'[1]Registre_Maintenance_combine '!A:D,4,FALSE),"Non trouvé")</f>
        <v>30.421918000000002</v>
      </c>
      <c r="I1797" t="str">
        <f>IFERROR(VLOOKUP(Logs_reseau[[#This Row],[Cell_ID]],'[1]Registre_Maintenance_combine '!A:E,5,FALSE),"Non trouvé")</f>
        <v>3G</v>
      </c>
      <c r="J1797" t="str">
        <f>IFERROR(VLOOKUP(Logs_reseau[[#This Row],[Cell_ID]],'[1]Registre_Maintenance_combine '!A:F,6,FALSE),"Non trouvé")</f>
        <v>ZTE</v>
      </c>
    </row>
    <row r="1798" spans="1:10" x14ac:dyDescent="0.25">
      <c r="A1798" t="str">
        <f>IFERROR(VLOOKUP(Logs_reseau[[#This Row],[Cell_ID]],'[1]Registre_Maintenance_combine '!A:B,2,FALSE),"Non trouvé")</f>
        <v>Nord-Ubangi</v>
      </c>
      <c r="B1798" t="s">
        <v>0</v>
      </c>
      <c r="C1798" s="3">
        <v>45203.517361111109</v>
      </c>
      <c r="D1798" s="11">
        <f>Logs_reseau[[#This Row],[Duree_Panne_Min]]/1440</f>
        <v>1.8055555555555554E-2</v>
      </c>
      <c r="E1798">
        <v>26</v>
      </c>
      <c r="F1798" t="s">
        <v>1</v>
      </c>
      <c r="G1798">
        <f>IFERROR(VLOOKUP(Logs_reseau[[#This Row],[Cell_ID]],'[1]Registre_Maintenance_combine '!A:C,3,FALSE),"Non trouvé")</f>
        <v>-8.1437910000000002</v>
      </c>
      <c r="H1798">
        <f>IFERROR(VLOOKUP(Logs_reseau[[#This Row],[Cell_ID]],'[1]Registre_Maintenance_combine '!A:D,4,FALSE),"Non trouvé")</f>
        <v>28.946161</v>
      </c>
      <c r="I1798" t="str">
        <f>IFERROR(VLOOKUP(Logs_reseau[[#This Row],[Cell_ID]],'[1]Registre_Maintenance_combine '!A:E,5,FALSE),"Non trouvé")</f>
        <v>4G</v>
      </c>
      <c r="J1798" t="str">
        <f>IFERROR(VLOOKUP(Logs_reseau[[#This Row],[Cell_ID]],'[1]Registre_Maintenance_combine '!A:F,6,FALSE),"Non trouvé")</f>
        <v>ZTE</v>
      </c>
    </row>
    <row r="1799" spans="1:10" x14ac:dyDescent="0.25">
      <c r="A1799" t="str">
        <f>IFERROR(VLOOKUP(Logs_reseau[[#This Row],[Cell_ID]],'[1]Registre_Maintenance_combine '!A:B,2,FALSE),"Non trouvé")</f>
        <v>Kinshasa</v>
      </c>
      <c r="B1799" t="s">
        <v>688</v>
      </c>
      <c r="C1799" s="3">
        <v>45230.595138888886</v>
      </c>
      <c r="D1799" s="11">
        <f>Logs_reseau[[#This Row],[Duree_Panne_Min]]/1440</f>
        <v>9.7222222222222224E-3</v>
      </c>
      <c r="E1799">
        <v>14</v>
      </c>
      <c r="F1799" t="s">
        <v>1</v>
      </c>
      <c r="G1799">
        <f>IFERROR(VLOOKUP(Logs_reseau[[#This Row],[Cell_ID]],'[1]Registre_Maintenance_combine '!A:C,3,FALSE),"Non trouvé")</f>
        <v>-7.1079169999999996</v>
      </c>
      <c r="H1799">
        <f>IFERROR(VLOOKUP(Logs_reseau[[#This Row],[Cell_ID]],'[1]Registre_Maintenance_combine '!A:D,4,FALSE),"Non trouvé")</f>
        <v>13.636272</v>
      </c>
      <c r="I1799" t="str">
        <f>IFERROR(VLOOKUP(Logs_reseau[[#This Row],[Cell_ID]],'[1]Registre_Maintenance_combine '!A:E,5,FALSE),"Non trouvé")</f>
        <v>5G</v>
      </c>
      <c r="J1799" t="str">
        <f>IFERROR(VLOOKUP(Logs_reseau[[#This Row],[Cell_ID]],'[1]Registre_Maintenance_combine '!A:F,6,FALSE),"Non trouvé")</f>
        <v>Nokia</v>
      </c>
    </row>
    <row r="1800" spans="1:10" x14ac:dyDescent="0.25">
      <c r="A1800" t="str">
        <f>IFERROR(VLOOKUP(Logs_reseau[[#This Row],[Cell_ID]],'[1]Registre_Maintenance_combine '!A:B,2,FALSE),"Non trouvé")</f>
        <v>Maniema</v>
      </c>
      <c r="B1800" t="s">
        <v>95</v>
      </c>
      <c r="C1800" s="3">
        <v>45226.530555555553</v>
      </c>
      <c r="D1800" s="11">
        <f>Logs_reseau[[#This Row],[Duree_Panne_Min]]/1440</f>
        <v>7.013888888888889E-2</v>
      </c>
      <c r="E1800">
        <v>101</v>
      </c>
      <c r="F1800" t="s">
        <v>4</v>
      </c>
      <c r="G1800">
        <f>IFERROR(VLOOKUP(Logs_reseau[[#This Row],[Cell_ID]],'[1]Registre_Maintenance_combine '!A:C,3,FALSE),"Non trouvé")</f>
        <v>-10.650321</v>
      </c>
      <c r="H1800">
        <f>IFERROR(VLOOKUP(Logs_reseau[[#This Row],[Cell_ID]],'[1]Registre_Maintenance_combine '!A:D,4,FALSE),"Non trouvé")</f>
        <v>15.917044000000001</v>
      </c>
      <c r="I1800" t="str">
        <f>IFERROR(VLOOKUP(Logs_reseau[[#This Row],[Cell_ID]],'[1]Registre_Maintenance_combine '!A:E,5,FALSE),"Non trouvé")</f>
        <v>4G</v>
      </c>
      <c r="J1800" t="str">
        <f>IFERROR(VLOOKUP(Logs_reseau[[#This Row],[Cell_ID]],'[1]Registre_Maintenance_combine '!A:F,6,FALSE),"Non trouvé")</f>
        <v>Nokia</v>
      </c>
    </row>
    <row r="1801" spans="1:10" x14ac:dyDescent="0.25">
      <c r="A1801" t="str">
        <f>IFERROR(VLOOKUP(Logs_reseau[[#This Row],[Cell_ID]],'[1]Registre_Maintenance_combine '!A:B,2,FALSE),"Non trouvé")</f>
        <v>Kasai</v>
      </c>
      <c r="B1801" t="s">
        <v>463</v>
      </c>
      <c r="C1801" s="3">
        <v>45227.660416666666</v>
      </c>
      <c r="D1801" s="11">
        <f>Logs_reseau[[#This Row],[Duree_Panne_Min]]/1440</f>
        <v>4.6527777777777779E-2</v>
      </c>
      <c r="E1801">
        <v>67</v>
      </c>
      <c r="F1801" t="s">
        <v>4</v>
      </c>
      <c r="G1801">
        <f>IFERROR(VLOOKUP(Logs_reseau[[#This Row],[Cell_ID]],'[1]Registre_Maintenance_combine '!A:C,3,FALSE),"Non trouvé")</f>
        <v>-5.125</v>
      </c>
      <c r="H1801">
        <f>IFERROR(VLOOKUP(Logs_reseau[[#This Row],[Cell_ID]],'[1]Registre_Maintenance_combine '!A:D,4,FALSE),"Non trouvé")</f>
        <v>23.513119</v>
      </c>
      <c r="I1801" t="str">
        <f>IFERROR(VLOOKUP(Logs_reseau[[#This Row],[Cell_ID]],'[1]Registre_Maintenance_combine '!A:E,5,FALSE),"Non trouvé")</f>
        <v>5G</v>
      </c>
      <c r="J1801" t="str">
        <f>IFERROR(VLOOKUP(Logs_reseau[[#This Row],[Cell_ID]],'[1]Registre_Maintenance_combine '!A:F,6,FALSE),"Non trouvé")</f>
        <v>Huawei</v>
      </c>
    </row>
    <row r="1802" spans="1:10" x14ac:dyDescent="0.25">
      <c r="A1802" t="str">
        <f>IFERROR(VLOOKUP(Logs_reseau[[#This Row],[Cell_ID]],'[1]Registre_Maintenance_combine '!A:B,2,FALSE),"Non trouvé")</f>
        <v>Sankuru</v>
      </c>
      <c r="B1802" t="s">
        <v>689</v>
      </c>
      <c r="C1802" s="3">
        <v>45213.87222222222</v>
      </c>
      <c r="D1802" s="11">
        <f>Logs_reseau[[#This Row],[Duree_Panne_Min]]/1440</f>
        <v>3.1944444444444442E-2</v>
      </c>
      <c r="E1802">
        <v>46</v>
      </c>
      <c r="F1802" t="s">
        <v>2</v>
      </c>
      <c r="G1802">
        <f>IFERROR(VLOOKUP(Logs_reseau[[#This Row],[Cell_ID]],'[1]Registre_Maintenance_combine '!A:C,3,FALSE),"Non trouvé")</f>
        <v>-7.513261</v>
      </c>
      <c r="H1802">
        <f>IFERROR(VLOOKUP(Logs_reseau[[#This Row],[Cell_ID]],'[1]Registre_Maintenance_combine '!A:D,4,FALSE),"Non trouvé")</f>
        <v>24.338812000000001</v>
      </c>
      <c r="I1802" t="str">
        <f>IFERROR(VLOOKUP(Logs_reseau[[#This Row],[Cell_ID]],'[1]Registre_Maintenance_combine '!A:E,5,FALSE),"Non trouvé")</f>
        <v>5G</v>
      </c>
      <c r="J1802" t="str">
        <f>IFERROR(VLOOKUP(Logs_reseau[[#This Row],[Cell_ID]],'[1]Registre_Maintenance_combine '!A:F,6,FALSE),"Non trouvé")</f>
        <v>Huawei</v>
      </c>
    </row>
    <row r="1803" spans="1:10" x14ac:dyDescent="0.25">
      <c r="A1803" t="str">
        <f>IFERROR(VLOOKUP(Logs_reseau[[#This Row],[Cell_ID]],'[1]Registre_Maintenance_combine '!A:B,2,FALSE),"Non trouvé")</f>
        <v>Non trouvé</v>
      </c>
      <c r="B1803" t="s">
        <v>690</v>
      </c>
      <c r="C1803" s="3">
        <v>45225.213194444441</v>
      </c>
      <c r="D1803" s="11">
        <f>Logs_reseau[[#This Row],[Duree_Panne_Min]]/1440</f>
        <v>2.4305555555555556E-2</v>
      </c>
      <c r="E1803">
        <v>35</v>
      </c>
      <c r="F1803" t="s">
        <v>4</v>
      </c>
      <c r="G1803" t="str">
        <f>IFERROR(VLOOKUP(Logs_reseau[[#This Row],[Cell_ID]],'[1]Registre_Maintenance_combine '!A:C,3,FALSE),"Non trouvé")</f>
        <v>Non trouvé</v>
      </c>
      <c r="H1803" t="str">
        <f>IFERROR(VLOOKUP(Logs_reseau[[#This Row],[Cell_ID]],'[1]Registre_Maintenance_combine '!A:D,4,FALSE),"Non trouvé")</f>
        <v>Non trouvé</v>
      </c>
      <c r="I1803" t="str">
        <f>IFERROR(VLOOKUP(Logs_reseau[[#This Row],[Cell_ID]],'[1]Registre_Maintenance_combine '!A:E,5,FALSE),"Non trouvé")</f>
        <v>Non trouvé</v>
      </c>
      <c r="J1803" t="str">
        <f>IFERROR(VLOOKUP(Logs_reseau[[#This Row],[Cell_ID]],'[1]Registre_Maintenance_combine '!A:F,6,FALSE),"Non trouvé")</f>
        <v>Non trouvé</v>
      </c>
    </row>
    <row r="1804" spans="1:10" x14ac:dyDescent="0.25">
      <c r="A1804" t="str">
        <f>IFERROR(VLOOKUP(Logs_reseau[[#This Row],[Cell_ID]],'[1]Registre_Maintenance_combine '!A:B,2,FALSE),"Non trouvé")</f>
        <v>Non trouvé</v>
      </c>
      <c r="B1804" t="s">
        <v>691</v>
      </c>
      <c r="C1804" s="3">
        <v>45204.948611111111</v>
      </c>
      <c r="D1804" s="11">
        <f>Logs_reseau[[#This Row],[Duree_Panne_Min]]/1440</f>
        <v>3.2638888888888891E-2</v>
      </c>
      <c r="E1804">
        <v>47</v>
      </c>
      <c r="F1804" t="s">
        <v>2</v>
      </c>
      <c r="G1804" t="str">
        <f>IFERROR(VLOOKUP(Logs_reseau[[#This Row],[Cell_ID]],'[1]Registre_Maintenance_combine '!A:C,3,FALSE),"Non trouvé")</f>
        <v>Non trouvé</v>
      </c>
      <c r="H1804" t="str">
        <f>IFERROR(VLOOKUP(Logs_reseau[[#This Row],[Cell_ID]],'[1]Registre_Maintenance_combine '!A:D,4,FALSE),"Non trouvé")</f>
        <v>Non trouvé</v>
      </c>
      <c r="I1804" t="str">
        <f>IFERROR(VLOOKUP(Logs_reseau[[#This Row],[Cell_ID]],'[1]Registre_Maintenance_combine '!A:E,5,FALSE),"Non trouvé")</f>
        <v>Non trouvé</v>
      </c>
      <c r="J1804" t="str">
        <f>IFERROR(VLOOKUP(Logs_reseau[[#This Row],[Cell_ID]],'[1]Registre_Maintenance_combine '!A:F,6,FALSE),"Non trouvé")</f>
        <v>Non trouvé</v>
      </c>
    </row>
    <row r="1805" spans="1:10" x14ac:dyDescent="0.25">
      <c r="A1805" t="str">
        <f>IFERROR(VLOOKUP(Logs_reseau[[#This Row],[Cell_ID]],'[1]Registre_Maintenance_combine '!A:B,2,FALSE),"Non trouvé")</f>
        <v>Nord-Kivu</v>
      </c>
      <c r="B1805" t="s">
        <v>249</v>
      </c>
      <c r="C1805" s="3">
        <v>45201.212500000001</v>
      </c>
      <c r="D1805" s="11">
        <f>Logs_reseau[[#This Row],[Duree_Panne_Min]]/1440</f>
        <v>2.7777777777777776E-2</v>
      </c>
      <c r="E1805">
        <v>40</v>
      </c>
      <c r="F1805" t="s">
        <v>2</v>
      </c>
      <c r="G1805">
        <f>IFERROR(VLOOKUP(Logs_reseau[[#This Row],[Cell_ID]],'[1]Registre_Maintenance_combine '!A:C,3,FALSE),"Non trouvé")</f>
        <v>0.82868600000000003</v>
      </c>
      <c r="H1805">
        <f>IFERROR(VLOOKUP(Logs_reseau[[#This Row],[Cell_ID]],'[1]Registre_Maintenance_combine '!A:D,4,FALSE),"Non trouvé")</f>
        <v>26.958843999999999</v>
      </c>
      <c r="I1805" t="str">
        <f>IFERROR(VLOOKUP(Logs_reseau[[#This Row],[Cell_ID]],'[1]Registre_Maintenance_combine '!A:E,5,FALSE),"Non trouvé")</f>
        <v>5G</v>
      </c>
      <c r="J1805" t="str">
        <f>IFERROR(VLOOKUP(Logs_reseau[[#This Row],[Cell_ID]],'[1]Registre_Maintenance_combine '!A:F,6,FALSE),"Non trouvé")</f>
        <v>ZTE</v>
      </c>
    </row>
    <row r="1806" spans="1:10" x14ac:dyDescent="0.25">
      <c r="A1806" t="str">
        <f>IFERROR(VLOOKUP(Logs_reseau[[#This Row],[Cell_ID]],'[1]Registre_Maintenance_combine '!A:B,2,FALSE),"Non trouvé")</f>
        <v>Non trouvé</v>
      </c>
      <c r="B1806" t="s">
        <v>692</v>
      </c>
      <c r="C1806" s="3">
        <v>45213.770833333336</v>
      </c>
      <c r="D1806" s="11">
        <f>Logs_reseau[[#This Row],[Duree_Panne_Min]]/1440</f>
        <v>7.6388888888888886E-3</v>
      </c>
      <c r="E1806">
        <v>11</v>
      </c>
      <c r="F1806" t="s">
        <v>4</v>
      </c>
      <c r="G1806" t="str">
        <f>IFERROR(VLOOKUP(Logs_reseau[[#This Row],[Cell_ID]],'[1]Registre_Maintenance_combine '!A:C,3,FALSE),"Non trouvé")</f>
        <v>Non trouvé</v>
      </c>
      <c r="H1806" t="str">
        <f>IFERROR(VLOOKUP(Logs_reseau[[#This Row],[Cell_ID]],'[1]Registre_Maintenance_combine '!A:D,4,FALSE),"Non trouvé")</f>
        <v>Non trouvé</v>
      </c>
      <c r="I1806" t="str">
        <f>IFERROR(VLOOKUP(Logs_reseau[[#This Row],[Cell_ID]],'[1]Registre_Maintenance_combine '!A:E,5,FALSE),"Non trouvé")</f>
        <v>Non trouvé</v>
      </c>
      <c r="J1806" t="str">
        <f>IFERROR(VLOOKUP(Logs_reseau[[#This Row],[Cell_ID]],'[1]Registre_Maintenance_combine '!A:F,6,FALSE),"Non trouvé")</f>
        <v>Non trouvé</v>
      </c>
    </row>
    <row r="1807" spans="1:10" x14ac:dyDescent="0.25">
      <c r="A1807" t="str">
        <f>IFERROR(VLOOKUP(Logs_reseau[[#This Row],[Cell_ID]],'[1]Registre_Maintenance_combine '!A:B,2,FALSE),"Non trouvé")</f>
        <v>Non trouvé</v>
      </c>
      <c r="B1807" t="s">
        <v>693</v>
      </c>
      <c r="C1807" s="3">
        <v>45225.779861111114</v>
      </c>
      <c r="D1807" s="11">
        <f>Logs_reseau[[#This Row],[Duree_Panne_Min]]/1440</f>
        <v>4.791666666666667E-2</v>
      </c>
      <c r="E1807">
        <v>69</v>
      </c>
      <c r="F1807" t="s">
        <v>2</v>
      </c>
      <c r="G1807" t="str">
        <f>IFERROR(VLOOKUP(Logs_reseau[[#This Row],[Cell_ID]],'[1]Registre_Maintenance_combine '!A:C,3,FALSE),"Non trouvé")</f>
        <v>Non trouvé</v>
      </c>
      <c r="H1807" t="str">
        <f>IFERROR(VLOOKUP(Logs_reseau[[#This Row],[Cell_ID]],'[1]Registre_Maintenance_combine '!A:D,4,FALSE),"Non trouvé")</f>
        <v>Non trouvé</v>
      </c>
      <c r="I1807" t="str">
        <f>IFERROR(VLOOKUP(Logs_reseau[[#This Row],[Cell_ID]],'[1]Registre_Maintenance_combine '!A:E,5,FALSE),"Non trouvé")</f>
        <v>Non trouvé</v>
      </c>
      <c r="J1807" t="str">
        <f>IFERROR(VLOOKUP(Logs_reseau[[#This Row],[Cell_ID]],'[1]Registre_Maintenance_combine '!A:F,6,FALSE),"Non trouvé")</f>
        <v>Non trouvé</v>
      </c>
    </row>
    <row r="1808" spans="1:10" x14ac:dyDescent="0.25">
      <c r="A1808" t="str">
        <f>IFERROR(VLOOKUP(Logs_reseau[[#This Row],[Cell_ID]],'[1]Registre_Maintenance_combine '!A:B,2,FALSE),"Non trouvé")</f>
        <v>Maniema</v>
      </c>
      <c r="B1808" t="s">
        <v>694</v>
      </c>
      <c r="C1808" s="3">
        <v>45214.23541666667</v>
      </c>
      <c r="D1808" s="11">
        <f>Logs_reseau[[#This Row],[Duree_Panne_Min]]/1440</f>
        <v>2.2916666666666665E-2</v>
      </c>
      <c r="E1808">
        <v>33</v>
      </c>
      <c r="F1808" t="s">
        <v>1</v>
      </c>
      <c r="G1808">
        <f>IFERROR(VLOOKUP(Logs_reseau[[#This Row],[Cell_ID]],'[1]Registre_Maintenance_combine '!A:C,3,FALSE),"Non trouvé")</f>
        <v>-10.318835</v>
      </c>
      <c r="H1808">
        <f>IFERROR(VLOOKUP(Logs_reseau[[#This Row],[Cell_ID]],'[1]Registre_Maintenance_combine '!A:D,4,FALSE),"Non trouvé")</f>
        <v>21.252382000000001</v>
      </c>
      <c r="I1808" t="str">
        <f>IFERROR(VLOOKUP(Logs_reseau[[#This Row],[Cell_ID]],'[1]Registre_Maintenance_combine '!A:E,5,FALSE),"Non trouvé")</f>
        <v>4G</v>
      </c>
      <c r="J1808" t="str">
        <f>IFERROR(VLOOKUP(Logs_reseau[[#This Row],[Cell_ID]],'[1]Registre_Maintenance_combine '!A:F,6,FALSE),"Non trouvé")</f>
        <v>Ericsson</v>
      </c>
    </row>
    <row r="1809" spans="1:10" x14ac:dyDescent="0.25">
      <c r="A1809" t="str">
        <f>IFERROR(VLOOKUP(Logs_reseau[[#This Row],[Cell_ID]],'[1]Registre_Maintenance_combine '!A:B,2,FALSE),"Non trouvé")</f>
        <v>Non trouvé</v>
      </c>
      <c r="B1809" t="s">
        <v>695</v>
      </c>
      <c r="C1809" s="3">
        <v>45212.48541666667</v>
      </c>
      <c r="D1809" s="11">
        <f>Logs_reseau[[#This Row],[Duree_Panne_Min]]/1440</f>
        <v>5.2083333333333336E-2</v>
      </c>
      <c r="E1809">
        <v>75</v>
      </c>
      <c r="F1809" t="s">
        <v>1</v>
      </c>
      <c r="G1809" t="str">
        <f>IFERROR(VLOOKUP(Logs_reseau[[#This Row],[Cell_ID]],'[1]Registre_Maintenance_combine '!A:C,3,FALSE),"Non trouvé")</f>
        <v>Non trouvé</v>
      </c>
      <c r="H1809" t="str">
        <f>IFERROR(VLOOKUP(Logs_reseau[[#This Row],[Cell_ID]],'[1]Registre_Maintenance_combine '!A:D,4,FALSE),"Non trouvé")</f>
        <v>Non trouvé</v>
      </c>
      <c r="I1809" t="str">
        <f>IFERROR(VLOOKUP(Logs_reseau[[#This Row],[Cell_ID]],'[1]Registre_Maintenance_combine '!A:E,5,FALSE),"Non trouvé")</f>
        <v>Non trouvé</v>
      </c>
      <c r="J1809" t="str">
        <f>IFERROR(VLOOKUP(Logs_reseau[[#This Row],[Cell_ID]],'[1]Registre_Maintenance_combine '!A:F,6,FALSE),"Non trouvé")</f>
        <v>Non trouvé</v>
      </c>
    </row>
    <row r="1810" spans="1:10" x14ac:dyDescent="0.25">
      <c r="A1810" t="str">
        <f>IFERROR(VLOOKUP(Logs_reseau[[#This Row],[Cell_ID]],'[1]Registre_Maintenance_combine '!A:B,2,FALSE),"Non trouvé")</f>
        <v>Sankuru</v>
      </c>
      <c r="B1810" t="s">
        <v>696</v>
      </c>
      <c r="C1810" s="3">
        <v>45200.913888888892</v>
      </c>
      <c r="D1810" s="11">
        <f>Logs_reseau[[#This Row],[Duree_Panne_Min]]/1440</f>
        <v>6.0416666666666667E-2</v>
      </c>
      <c r="E1810">
        <v>87</v>
      </c>
      <c r="F1810" t="s">
        <v>1</v>
      </c>
      <c r="G1810">
        <f>IFERROR(VLOOKUP(Logs_reseau[[#This Row],[Cell_ID]],'[1]Registre_Maintenance_combine '!A:C,3,FALSE),"Non trouvé")</f>
        <v>3.175935</v>
      </c>
      <c r="H1810">
        <f>IFERROR(VLOOKUP(Logs_reseau[[#This Row],[Cell_ID]],'[1]Registre_Maintenance_combine '!A:D,4,FALSE),"Non trouvé")</f>
        <v>16.862832000000001</v>
      </c>
      <c r="I1810" t="str">
        <f>IFERROR(VLOOKUP(Logs_reseau[[#This Row],[Cell_ID]],'[1]Registre_Maintenance_combine '!A:E,5,FALSE),"Non trouvé")</f>
        <v>5G</v>
      </c>
      <c r="J1810" t="str">
        <f>IFERROR(VLOOKUP(Logs_reseau[[#This Row],[Cell_ID]],'[1]Registre_Maintenance_combine '!A:F,6,FALSE),"Non trouvé")</f>
        <v>Ericsson</v>
      </c>
    </row>
    <row r="1811" spans="1:10" x14ac:dyDescent="0.25">
      <c r="A1811" t="str">
        <f>IFERROR(VLOOKUP(Logs_reseau[[#This Row],[Cell_ID]],'[1]Registre_Maintenance_combine '!A:B,2,FALSE),"Non trouvé")</f>
        <v>Nord-Ubangi</v>
      </c>
      <c r="B1811" t="s">
        <v>697</v>
      </c>
      <c r="C1811" s="3">
        <v>45226.997916666667</v>
      </c>
      <c r="D1811" s="11">
        <f>Logs_reseau[[#This Row],[Duree_Panne_Min]]/1440</f>
        <v>3.6805555555555557E-2</v>
      </c>
      <c r="E1811">
        <v>53</v>
      </c>
      <c r="F1811" t="s">
        <v>4</v>
      </c>
      <c r="G1811">
        <f>IFERROR(VLOOKUP(Logs_reseau[[#This Row],[Cell_ID]],'[1]Registre_Maintenance_combine '!A:C,3,FALSE),"Non trouvé")</f>
        <v>-7.8373179999999998</v>
      </c>
      <c r="H1811">
        <f>IFERROR(VLOOKUP(Logs_reseau[[#This Row],[Cell_ID]],'[1]Registre_Maintenance_combine '!A:D,4,FALSE),"Non trouvé")</f>
        <v>20.527591999999999</v>
      </c>
      <c r="I1811" t="str">
        <f>IFERROR(VLOOKUP(Logs_reseau[[#This Row],[Cell_ID]],'[1]Registre_Maintenance_combine '!A:E,5,FALSE),"Non trouvé")</f>
        <v>4G</v>
      </c>
      <c r="J1811" t="str">
        <f>IFERROR(VLOOKUP(Logs_reseau[[#This Row],[Cell_ID]],'[1]Registre_Maintenance_combine '!A:F,6,FALSE),"Non trouvé")</f>
        <v>Ericsson</v>
      </c>
    </row>
    <row r="1812" spans="1:10" x14ac:dyDescent="0.25">
      <c r="A1812" t="str">
        <f>IFERROR(VLOOKUP(Logs_reseau[[#This Row],[Cell_ID]],'[1]Registre_Maintenance_combine '!A:B,2,FALSE),"Non trouvé")</f>
        <v>Non trouvé</v>
      </c>
      <c r="B1812" t="s">
        <v>464</v>
      </c>
      <c r="C1812" s="3">
        <v>45204.665277777778</v>
      </c>
      <c r="D1812" s="11">
        <f>Logs_reseau[[#This Row],[Duree_Panne_Min]]/1440</f>
        <v>3.888888888888889E-2</v>
      </c>
      <c r="E1812">
        <v>56</v>
      </c>
      <c r="F1812" t="s">
        <v>1</v>
      </c>
      <c r="G1812" t="str">
        <f>IFERROR(VLOOKUP(Logs_reseau[[#This Row],[Cell_ID]],'[1]Registre_Maintenance_combine '!A:C,3,FALSE),"Non trouvé")</f>
        <v>Non trouvé</v>
      </c>
      <c r="H1812" t="str">
        <f>IFERROR(VLOOKUP(Logs_reseau[[#This Row],[Cell_ID]],'[1]Registre_Maintenance_combine '!A:D,4,FALSE),"Non trouvé")</f>
        <v>Non trouvé</v>
      </c>
      <c r="I1812" t="str">
        <f>IFERROR(VLOOKUP(Logs_reseau[[#This Row],[Cell_ID]],'[1]Registre_Maintenance_combine '!A:E,5,FALSE),"Non trouvé")</f>
        <v>Non trouvé</v>
      </c>
      <c r="J1812" t="str">
        <f>IFERROR(VLOOKUP(Logs_reseau[[#This Row],[Cell_ID]],'[1]Registre_Maintenance_combine '!A:F,6,FALSE),"Non trouvé")</f>
        <v>Non trouvé</v>
      </c>
    </row>
    <row r="1813" spans="1:10" x14ac:dyDescent="0.25">
      <c r="A1813" t="str">
        <f>IFERROR(VLOOKUP(Logs_reseau[[#This Row],[Cell_ID]],'[1]Registre_Maintenance_combine '!A:B,2,FALSE),"Non trouvé")</f>
        <v>Non trouvé</v>
      </c>
      <c r="B1813" t="s">
        <v>698</v>
      </c>
      <c r="C1813" s="3">
        <v>45215.163888888892</v>
      </c>
      <c r="D1813" s="11">
        <f>Logs_reseau[[#This Row],[Duree_Panne_Min]]/1440</f>
        <v>7.5694444444444439E-2</v>
      </c>
      <c r="E1813">
        <v>109</v>
      </c>
      <c r="F1813" t="s">
        <v>2</v>
      </c>
      <c r="G1813" t="str">
        <f>IFERROR(VLOOKUP(Logs_reseau[[#This Row],[Cell_ID]],'[1]Registre_Maintenance_combine '!A:C,3,FALSE),"Non trouvé")</f>
        <v>Non trouvé</v>
      </c>
      <c r="H1813" t="str">
        <f>IFERROR(VLOOKUP(Logs_reseau[[#This Row],[Cell_ID]],'[1]Registre_Maintenance_combine '!A:D,4,FALSE),"Non trouvé")</f>
        <v>Non trouvé</v>
      </c>
      <c r="I1813" t="str">
        <f>IFERROR(VLOOKUP(Logs_reseau[[#This Row],[Cell_ID]],'[1]Registre_Maintenance_combine '!A:E,5,FALSE),"Non trouvé")</f>
        <v>Non trouvé</v>
      </c>
      <c r="J1813" t="str">
        <f>IFERROR(VLOOKUP(Logs_reseau[[#This Row],[Cell_ID]],'[1]Registre_Maintenance_combine '!A:F,6,FALSE),"Non trouvé")</f>
        <v>Non trouvé</v>
      </c>
    </row>
    <row r="1814" spans="1:10" x14ac:dyDescent="0.25">
      <c r="A1814" t="str">
        <f>IFERROR(VLOOKUP(Logs_reseau[[#This Row],[Cell_ID]],'[1]Registre_Maintenance_combine '!A:B,2,FALSE),"Non trouvé")</f>
        <v>Non trouvé</v>
      </c>
      <c r="B1814" t="s">
        <v>699</v>
      </c>
      <c r="C1814" s="3">
        <v>45213.584722222222</v>
      </c>
      <c r="D1814" s="11">
        <f>Logs_reseau[[#This Row],[Duree_Panne_Min]]/1440</f>
        <v>2.4305555555555556E-2</v>
      </c>
      <c r="E1814">
        <v>35</v>
      </c>
      <c r="F1814" t="s">
        <v>2</v>
      </c>
      <c r="G1814" t="str">
        <f>IFERROR(VLOOKUP(Logs_reseau[[#This Row],[Cell_ID]],'[1]Registre_Maintenance_combine '!A:C,3,FALSE),"Non trouvé")</f>
        <v>Non trouvé</v>
      </c>
      <c r="H1814" t="str">
        <f>IFERROR(VLOOKUP(Logs_reseau[[#This Row],[Cell_ID]],'[1]Registre_Maintenance_combine '!A:D,4,FALSE),"Non trouvé")</f>
        <v>Non trouvé</v>
      </c>
      <c r="I1814" t="str">
        <f>IFERROR(VLOOKUP(Logs_reseau[[#This Row],[Cell_ID]],'[1]Registre_Maintenance_combine '!A:E,5,FALSE),"Non trouvé")</f>
        <v>Non trouvé</v>
      </c>
      <c r="J1814" t="str">
        <f>IFERROR(VLOOKUP(Logs_reseau[[#This Row],[Cell_ID]],'[1]Registre_Maintenance_combine '!A:F,6,FALSE),"Non trouvé")</f>
        <v>Non trouvé</v>
      </c>
    </row>
    <row r="1815" spans="1:10" x14ac:dyDescent="0.25">
      <c r="A1815" t="str">
        <f>IFERROR(VLOOKUP(Logs_reseau[[#This Row],[Cell_ID]],'[1]Registre_Maintenance_combine '!A:B,2,FALSE),"Non trouvé")</f>
        <v>Non trouvé</v>
      </c>
      <c r="B1815" t="s">
        <v>700</v>
      </c>
      <c r="C1815" s="3">
        <v>45202.361805555556</v>
      </c>
      <c r="D1815" s="11">
        <f>Logs_reseau[[#This Row],[Duree_Panne_Min]]/1440</f>
        <v>1.0416666666666666E-2</v>
      </c>
      <c r="E1815">
        <v>15</v>
      </c>
      <c r="F1815" t="s">
        <v>2</v>
      </c>
      <c r="G1815" t="str">
        <f>IFERROR(VLOOKUP(Logs_reseau[[#This Row],[Cell_ID]],'[1]Registre_Maintenance_combine '!A:C,3,FALSE),"Non trouvé")</f>
        <v>Non trouvé</v>
      </c>
      <c r="H1815" t="str">
        <f>IFERROR(VLOOKUP(Logs_reseau[[#This Row],[Cell_ID]],'[1]Registre_Maintenance_combine '!A:D,4,FALSE),"Non trouvé")</f>
        <v>Non trouvé</v>
      </c>
      <c r="I1815" t="str">
        <f>IFERROR(VLOOKUP(Logs_reseau[[#This Row],[Cell_ID]],'[1]Registre_Maintenance_combine '!A:E,5,FALSE),"Non trouvé")</f>
        <v>Non trouvé</v>
      </c>
      <c r="J1815" t="str">
        <f>IFERROR(VLOOKUP(Logs_reseau[[#This Row],[Cell_ID]],'[1]Registre_Maintenance_combine '!A:F,6,FALSE),"Non trouvé")</f>
        <v>Non trouvé</v>
      </c>
    </row>
    <row r="1816" spans="1:10" x14ac:dyDescent="0.25">
      <c r="A1816" t="str">
        <f>IFERROR(VLOOKUP(Logs_reseau[[#This Row],[Cell_ID]],'[1]Registre_Maintenance_combine '!A:B,2,FALSE),"Non trouvé")</f>
        <v>Kwango</v>
      </c>
      <c r="B1816" t="s">
        <v>466</v>
      </c>
      <c r="C1816" s="3">
        <v>45210.03125</v>
      </c>
      <c r="D1816" s="11">
        <f>Logs_reseau[[#This Row],[Duree_Panne_Min]]/1440</f>
        <v>4.3749999999999997E-2</v>
      </c>
      <c r="E1816">
        <v>63</v>
      </c>
      <c r="F1816" t="s">
        <v>4</v>
      </c>
      <c r="G1816">
        <f>IFERROR(VLOOKUP(Logs_reseau[[#This Row],[Cell_ID]],'[1]Registre_Maintenance_combine '!A:C,3,FALSE),"Non trouvé")</f>
        <v>-9.0798120000000004</v>
      </c>
      <c r="H1816">
        <f>IFERROR(VLOOKUP(Logs_reseau[[#This Row],[Cell_ID]],'[1]Registre_Maintenance_combine '!A:D,4,FALSE),"Non trouvé")</f>
        <v>14.945484</v>
      </c>
      <c r="I1816" t="str">
        <f>IFERROR(VLOOKUP(Logs_reseau[[#This Row],[Cell_ID]],'[1]Registre_Maintenance_combine '!A:E,5,FALSE),"Non trouvé")</f>
        <v>5G</v>
      </c>
      <c r="J1816" t="str">
        <f>IFERROR(VLOOKUP(Logs_reseau[[#This Row],[Cell_ID]],'[1]Registre_Maintenance_combine '!A:F,6,FALSE),"Non trouvé")</f>
        <v>Ericsson</v>
      </c>
    </row>
    <row r="1817" spans="1:10" x14ac:dyDescent="0.25">
      <c r="A1817" t="str">
        <f>IFERROR(VLOOKUP(Logs_reseau[[#This Row],[Cell_ID]],'[1]Registre_Maintenance_combine '!A:B,2,FALSE),"Non trouvé")</f>
        <v>Kinshasa</v>
      </c>
      <c r="B1817" t="s">
        <v>688</v>
      </c>
      <c r="C1817" s="3">
        <v>45227.897916666669</v>
      </c>
      <c r="D1817" s="11">
        <f>Logs_reseau[[#This Row],[Duree_Panne_Min]]/1440</f>
        <v>4.2361111111111113E-2</v>
      </c>
      <c r="E1817">
        <v>61</v>
      </c>
      <c r="F1817" t="s">
        <v>1</v>
      </c>
      <c r="G1817">
        <f>IFERROR(VLOOKUP(Logs_reseau[[#This Row],[Cell_ID]],'[1]Registre_Maintenance_combine '!A:C,3,FALSE),"Non trouvé")</f>
        <v>-7.1079169999999996</v>
      </c>
      <c r="H1817">
        <f>IFERROR(VLOOKUP(Logs_reseau[[#This Row],[Cell_ID]],'[1]Registre_Maintenance_combine '!A:D,4,FALSE),"Non trouvé")</f>
        <v>13.636272</v>
      </c>
      <c r="I1817" t="str">
        <f>IFERROR(VLOOKUP(Logs_reseau[[#This Row],[Cell_ID]],'[1]Registre_Maintenance_combine '!A:E,5,FALSE),"Non trouvé")</f>
        <v>5G</v>
      </c>
      <c r="J1817" t="str">
        <f>IFERROR(VLOOKUP(Logs_reseau[[#This Row],[Cell_ID]],'[1]Registre_Maintenance_combine '!A:F,6,FALSE),"Non trouvé")</f>
        <v>Nokia</v>
      </c>
    </row>
    <row r="1818" spans="1:10" x14ac:dyDescent="0.25">
      <c r="A1818" t="str">
        <f>IFERROR(VLOOKUP(Logs_reseau[[#This Row],[Cell_ID]],'[1]Registre_Maintenance_combine '!A:B,2,FALSE),"Non trouvé")</f>
        <v>Mai-Ndombe</v>
      </c>
      <c r="B1818" t="s">
        <v>57</v>
      </c>
      <c r="C1818" s="3">
        <v>45224.98333333333</v>
      </c>
      <c r="D1818" s="11">
        <f>Logs_reseau[[#This Row],[Duree_Panne_Min]]/1440</f>
        <v>7.4305555555555555E-2</v>
      </c>
      <c r="E1818">
        <v>107</v>
      </c>
      <c r="F1818" t="s">
        <v>4</v>
      </c>
      <c r="G1818">
        <f>IFERROR(VLOOKUP(Logs_reseau[[#This Row],[Cell_ID]],'[1]Registre_Maintenance_combine '!A:C,3,FALSE),"Non trouvé")</f>
        <v>-9.3652280000000001</v>
      </c>
      <c r="H1818">
        <f>IFERROR(VLOOKUP(Logs_reseau[[#This Row],[Cell_ID]],'[1]Registre_Maintenance_combine '!A:D,4,FALSE),"Non trouvé")</f>
        <v>18.674116000000001</v>
      </c>
      <c r="I1818" t="str">
        <f>IFERROR(VLOOKUP(Logs_reseau[[#This Row],[Cell_ID]],'[1]Registre_Maintenance_combine '!A:E,5,FALSE),"Non trouvé")</f>
        <v>4G</v>
      </c>
      <c r="J1818" t="str">
        <f>IFERROR(VLOOKUP(Logs_reseau[[#This Row],[Cell_ID]],'[1]Registre_Maintenance_combine '!A:F,6,FALSE),"Non trouvé")</f>
        <v>Huawei</v>
      </c>
    </row>
    <row r="1819" spans="1:10" x14ac:dyDescent="0.25">
      <c r="A1819" t="str">
        <f>IFERROR(VLOOKUP(Logs_reseau[[#This Row],[Cell_ID]],'[1]Registre_Maintenance_combine '!A:B,2,FALSE),"Non trouvé")</f>
        <v>Mongala</v>
      </c>
      <c r="B1819" t="s">
        <v>443</v>
      </c>
      <c r="C1819" s="3">
        <v>45223.759722222225</v>
      </c>
      <c r="D1819" s="11">
        <f>Logs_reseau[[#This Row],[Duree_Panne_Min]]/1440</f>
        <v>5.4166666666666669E-2</v>
      </c>
      <c r="E1819">
        <v>78</v>
      </c>
      <c r="F1819" t="s">
        <v>2</v>
      </c>
      <c r="G1819">
        <f>IFERROR(VLOOKUP(Logs_reseau[[#This Row],[Cell_ID]],'[1]Registre_Maintenance_combine '!A:C,3,FALSE),"Non trouvé")</f>
        <v>-5.3762689999999997</v>
      </c>
      <c r="H1819">
        <f>IFERROR(VLOOKUP(Logs_reseau[[#This Row],[Cell_ID]],'[1]Registre_Maintenance_combine '!A:D,4,FALSE),"Non trouvé")</f>
        <v>28.189575999999999</v>
      </c>
      <c r="I1819" t="str">
        <f>IFERROR(VLOOKUP(Logs_reseau[[#This Row],[Cell_ID]],'[1]Registre_Maintenance_combine '!A:E,5,FALSE),"Non trouvé")</f>
        <v>5G</v>
      </c>
      <c r="J1819" t="str">
        <f>IFERROR(VLOOKUP(Logs_reseau[[#This Row],[Cell_ID]],'[1]Registre_Maintenance_combine '!A:F,6,FALSE),"Non trouvé")</f>
        <v>Huawei</v>
      </c>
    </row>
    <row r="1820" spans="1:10" x14ac:dyDescent="0.25">
      <c r="A1820" t="str">
        <f>IFERROR(VLOOKUP(Logs_reseau[[#This Row],[Cell_ID]],'[1]Registre_Maintenance_combine '!A:B,2,FALSE),"Non trouvé")</f>
        <v>Tshuapa</v>
      </c>
      <c r="B1820" t="s">
        <v>522</v>
      </c>
      <c r="C1820" s="3">
        <v>45230.913194444445</v>
      </c>
      <c r="D1820" s="11">
        <f>Logs_reseau[[#This Row],[Duree_Panne_Min]]/1440</f>
        <v>4.3055555555555555E-2</v>
      </c>
      <c r="E1820">
        <v>62</v>
      </c>
      <c r="F1820" t="s">
        <v>1</v>
      </c>
      <c r="G1820">
        <f>IFERROR(VLOOKUP(Logs_reseau[[#This Row],[Cell_ID]],'[1]Registre_Maintenance_combine '!A:C,3,FALSE),"Non trouvé")</f>
        <v>-1.9540519999999999</v>
      </c>
      <c r="H1820">
        <f>IFERROR(VLOOKUP(Logs_reseau[[#This Row],[Cell_ID]],'[1]Registre_Maintenance_combine '!A:D,4,FALSE),"Non trouvé")</f>
        <v>12.667945</v>
      </c>
      <c r="I1820" t="str">
        <f>IFERROR(VLOOKUP(Logs_reseau[[#This Row],[Cell_ID]],'[1]Registre_Maintenance_combine '!A:E,5,FALSE),"Non trouvé")</f>
        <v>4G</v>
      </c>
      <c r="J1820" t="str">
        <f>IFERROR(VLOOKUP(Logs_reseau[[#This Row],[Cell_ID]],'[1]Registre_Maintenance_combine '!A:F,6,FALSE),"Non trouvé")</f>
        <v>Huawei</v>
      </c>
    </row>
    <row r="1821" spans="1:10" x14ac:dyDescent="0.25">
      <c r="A1821" t="str">
        <f>IFERROR(VLOOKUP(Logs_reseau[[#This Row],[Cell_ID]],'[1]Registre_Maintenance_combine '!A:B,2,FALSE),"Non trouvé")</f>
        <v>Haut-Uele</v>
      </c>
      <c r="B1821" t="s">
        <v>419</v>
      </c>
      <c r="C1821" s="3">
        <v>45210.689583333333</v>
      </c>
      <c r="D1821" s="11">
        <f>Logs_reseau[[#This Row],[Duree_Panne_Min]]/1440</f>
        <v>1.1111111111111112E-2</v>
      </c>
      <c r="E1821">
        <v>16</v>
      </c>
      <c r="F1821" t="s">
        <v>1</v>
      </c>
      <c r="G1821">
        <f>IFERROR(VLOOKUP(Logs_reseau[[#This Row],[Cell_ID]],'[1]Registre_Maintenance_combine '!A:C,3,FALSE),"Non trouvé")</f>
        <v>-4.869434</v>
      </c>
      <c r="H1821">
        <f>IFERROR(VLOOKUP(Logs_reseau[[#This Row],[Cell_ID]],'[1]Registre_Maintenance_combine '!A:D,4,FALSE),"Non trouvé")</f>
        <v>22.326522000000001</v>
      </c>
      <c r="I1821" t="str">
        <f>IFERROR(VLOOKUP(Logs_reseau[[#This Row],[Cell_ID]],'[1]Registre_Maintenance_combine '!A:E,5,FALSE),"Non trouvé")</f>
        <v>5G</v>
      </c>
      <c r="J1821" t="str">
        <f>IFERROR(VLOOKUP(Logs_reseau[[#This Row],[Cell_ID]],'[1]Registre_Maintenance_combine '!A:F,6,FALSE),"Non trouvé")</f>
        <v>Ericsson</v>
      </c>
    </row>
    <row r="1822" spans="1:10" x14ac:dyDescent="0.25">
      <c r="A1822" t="str">
        <f>IFERROR(VLOOKUP(Logs_reseau[[#This Row],[Cell_ID]],'[1]Registre_Maintenance_combine '!A:B,2,FALSE),"Non trouvé")</f>
        <v>Haut-Lomami</v>
      </c>
      <c r="B1822" t="s">
        <v>701</v>
      </c>
      <c r="C1822" s="3">
        <v>45222.943749999999</v>
      </c>
      <c r="D1822" s="11">
        <f>Logs_reseau[[#This Row],[Duree_Panne_Min]]/1440</f>
        <v>7.9166666666666663E-2</v>
      </c>
      <c r="E1822">
        <v>114</v>
      </c>
      <c r="F1822" t="s">
        <v>1</v>
      </c>
      <c r="G1822">
        <f>IFERROR(VLOOKUP(Logs_reseau[[#This Row],[Cell_ID]],'[1]Registre_Maintenance_combine '!A:C,3,FALSE),"Non trouvé")</f>
        <v>-9.6407190000000007</v>
      </c>
      <c r="H1822">
        <f>IFERROR(VLOOKUP(Logs_reseau[[#This Row],[Cell_ID]],'[1]Registre_Maintenance_combine '!A:D,4,FALSE),"Non trouvé")</f>
        <v>21.336704999999998</v>
      </c>
      <c r="I1822" t="str">
        <f>IFERROR(VLOOKUP(Logs_reseau[[#This Row],[Cell_ID]],'[1]Registre_Maintenance_combine '!A:E,5,FALSE),"Non trouvé")</f>
        <v>4G</v>
      </c>
      <c r="J1822" t="str">
        <f>IFERROR(VLOOKUP(Logs_reseau[[#This Row],[Cell_ID]],'[1]Registre_Maintenance_combine '!A:F,6,FALSE),"Non trouvé")</f>
        <v>ZTE</v>
      </c>
    </row>
    <row r="1823" spans="1:10" x14ac:dyDescent="0.25">
      <c r="A1823" t="str">
        <f>IFERROR(VLOOKUP(Logs_reseau[[#This Row],[Cell_ID]],'[1]Registre_Maintenance_combine '!A:B,2,FALSE),"Non trouvé")</f>
        <v>Non trouvé</v>
      </c>
      <c r="B1823" t="s">
        <v>702</v>
      </c>
      <c r="C1823" s="3">
        <v>45203.570833333331</v>
      </c>
      <c r="D1823" s="11">
        <f>Logs_reseau[[#This Row],[Duree_Panne_Min]]/1440</f>
        <v>4.7222222222222221E-2</v>
      </c>
      <c r="E1823">
        <v>68</v>
      </c>
      <c r="F1823" t="s">
        <v>4</v>
      </c>
      <c r="G1823" t="str">
        <f>IFERROR(VLOOKUP(Logs_reseau[[#This Row],[Cell_ID]],'[1]Registre_Maintenance_combine '!A:C,3,FALSE),"Non trouvé")</f>
        <v>Non trouvé</v>
      </c>
      <c r="H1823" t="str">
        <f>IFERROR(VLOOKUP(Logs_reseau[[#This Row],[Cell_ID]],'[1]Registre_Maintenance_combine '!A:D,4,FALSE),"Non trouvé")</f>
        <v>Non trouvé</v>
      </c>
      <c r="I1823" t="str">
        <f>IFERROR(VLOOKUP(Logs_reseau[[#This Row],[Cell_ID]],'[1]Registre_Maintenance_combine '!A:E,5,FALSE),"Non trouvé")</f>
        <v>Non trouvé</v>
      </c>
      <c r="J1823" t="str">
        <f>IFERROR(VLOOKUP(Logs_reseau[[#This Row],[Cell_ID]],'[1]Registre_Maintenance_combine '!A:F,6,FALSE),"Non trouvé")</f>
        <v>Non trouvé</v>
      </c>
    </row>
    <row r="1824" spans="1:10" x14ac:dyDescent="0.25">
      <c r="A1824" t="str">
        <f>IFERROR(VLOOKUP(Logs_reseau[[#This Row],[Cell_ID]],'[1]Registre_Maintenance_combine '!A:B,2,FALSE),"Non trouvé")</f>
        <v>Non trouvé</v>
      </c>
      <c r="B1824" t="s">
        <v>703</v>
      </c>
      <c r="C1824" s="3">
        <v>45223.3125</v>
      </c>
      <c r="D1824" s="11">
        <f>Logs_reseau[[#This Row],[Duree_Panne_Min]]/1440</f>
        <v>4.3055555555555555E-2</v>
      </c>
      <c r="E1824">
        <v>62</v>
      </c>
      <c r="F1824" t="s">
        <v>1</v>
      </c>
      <c r="G1824" t="str">
        <f>IFERROR(VLOOKUP(Logs_reseau[[#This Row],[Cell_ID]],'[1]Registre_Maintenance_combine '!A:C,3,FALSE),"Non trouvé")</f>
        <v>Non trouvé</v>
      </c>
      <c r="H1824" t="str">
        <f>IFERROR(VLOOKUP(Logs_reseau[[#This Row],[Cell_ID]],'[1]Registre_Maintenance_combine '!A:D,4,FALSE),"Non trouvé")</f>
        <v>Non trouvé</v>
      </c>
      <c r="I1824" t="str">
        <f>IFERROR(VLOOKUP(Logs_reseau[[#This Row],[Cell_ID]],'[1]Registre_Maintenance_combine '!A:E,5,FALSE),"Non trouvé")</f>
        <v>Non trouvé</v>
      </c>
      <c r="J1824" t="str">
        <f>IFERROR(VLOOKUP(Logs_reseau[[#This Row],[Cell_ID]],'[1]Registre_Maintenance_combine '!A:F,6,FALSE),"Non trouvé")</f>
        <v>Non trouvé</v>
      </c>
    </row>
    <row r="1825" spans="1:10" x14ac:dyDescent="0.25">
      <c r="A1825" t="str">
        <f>IFERROR(VLOOKUP(Logs_reseau[[#This Row],[Cell_ID]],'[1]Registre_Maintenance_combine '!A:B,2,FALSE),"Non trouvé")</f>
        <v>Sud-Ubangi</v>
      </c>
      <c r="B1825" t="s">
        <v>368</v>
      </c>
      <c r="C1825" s="3">
        <v>45211.904861111114</v>
      </c>
      <c r="D1825" s="11">
        <f>Logs_reseau[[#This Row],[Duree_Panne_Min]]/1440</f>
        <v>3.125E-2</v>
      </c>
      <c r="E1825">
        <v>45</v>
      </c>
      <c r="F1825" t="s">
        <v>4</v>
      </c>
      <c r="G1825">
        <f>IFERROR(VLOOKUP(Logs_reseau[[#This Row],[Cell_ID]],'[1]Registre_Maintenance_combine '!A:C,3,FALSE),"Non trouvé")</f>
        <v>-12.342053999999999</v>
      </c>
      <c r="H1825">
        <f>IFERROR(VLOOKUP(Logs_reseau[[#This Row],[Cell_ID]],'[1]Registre_Maintenance_combine '!A:D,4,FALSE),"Non trouvé")</f>
        <v>18.756862000000002</v>
      </c>
      <c r="I1825" t="str">
        <f>IFERROR(VLOOKUP(Logs_reseau[[#This Row],[Cell_ID]],'[1]Registre_Maintenance_combine '!A:E,5,FALSE),"Non trouvé")</f>
        <v>3G</v>
      </c>
      <c r="J1825" t="str">
        <f>IFERROR(VLOOKUP(Logs_reseau[[#This Row],[Cell_ID]],'[1]Registre_Maintenance_combine '!A:F,6,FALSE),"Non trouvé")</f>
        <v>Ericsson</v>
      </c>
    </row>
    <row r="1826" spans="1:10" x14ac:dyDescent="0.25">
      <c r="A1826" t="str">
        <f>IFERROR(VLOOKUP(Logs_reseau[[#This Row],[Cell_ID]],'[1]Registre_Maintenance_combine '!A:B,2,FALSE),"Non trouvé")</f>
        <v>Non trouvé</v>
      </c>
      <c r="B1826" t="s">
        <v>545</v>
      </c>
      <c r="C1826" s="3">
        <v>45220.506249999999</v>
      </c>
      <c r="D1826" s="11">
        <f>Logs_reseau[[#This Row],[Duree_Panne_Min]]/1440</f>
        <v>1.3888888888888888E-2</v>
      </c>
      <c r="E1826">
        <v>20</v>
      </c>
      <c r="F1826" t="s">
        <v>1</v>
      </c>
      <c r="G1826" t="str">
        <f>IFERROR(VLOOKUP(Logs_reseau[[#This Row],[Cell_ID]],'[1]Registre_Maintenance_combine '!A:C,3,FALSE),"Non trouvé")</f>
        <v>Non trouvé</v>
      </c>
      <c r="H1826" t="str">
        <f>IFERROR(VLOOKUP(Logs_reseau[[#This Row],[Cell_ID]],'[1]Registre_Maintenance_combine '!A:D,4,FALSE),"Non trouvé")</f>
        <v>Non trouvé</v>
      </c>
      <c r="I1826" t="str">
        <f>IFERROR(VLOOKUP(Logs_reseau[[#This Row],[Cell_ID]],'[1]Registre_Maintenance_combine '!A:E,5,FALSE),"Non trouvé")</f>
        <v>Non trouvé</v>
      </c>
      <c r="J1826" t="str">
        <f>IFERROR(VLOOKUP(Logs_reseau[[#This Row],[Cell_ID]],'[1]Registre_Maintenance_combine '!A:F,6,FALSE),"Non trouvé")</f>
        <v>Non trouvé</v>
      </c>
    </row>
    <row r="1827" spans="1:10" x14ac:dyDescent="0.25">
      <c r="A1827" t="str">
        <f>IFERROR(VLOOKUP(Logs_reseau[[#This Row],[Cell_ID]],'[1]Registre_Maintenance_combine '!A:B,2,FALSE),"Non trouvé")</f>
        <v>Non trouvé</v>
      </c>
      <c r="B1827" t="s">
        <v>331</v>
      </c>
      <c r="C1827" s="3">
        <v>45219.041666666664</v>
      </c>
      <c r="D1827" s="11">
        <f>Logs_reseau[[#This Row],[Duree_Panne_Min]]/1440</f>
        <v>6.9444444444444448E-2</v>
      </c>
      <c r="E1827">
        <v>100</v>
      </c>
      <c r="F1827" t="s">
        <v>4</v>
      </c>
      <c r="G1827" t="str">
        <f>IFERROR(VLOOKUP(Logs_reseau[[#This Row],[Cell_ID]],'[1]Registre_Maintenance_combine '!A:C,3,FALSE),"Non trouvé")</f>
        <v>Non trouvé</v>
      </c>
      <c r="H1827" t="str">
        <f>IFERROR(VLOOKUP(Logs_reseau[[#This Row],[Cell_ID]],'[1]Registre_Maintenance_combine '!A:D,4,FALSE),"Non trouvé")</f>
        <v>Non trouvé</v>
      </c>
      <c r="I1827" t="str">
        <f>IFERROR(VLOOKUP(Logs_reseau[[#This Row],[Cell_ID]],'[1]Registre_Maintenance_combine '!A:E,5,FALSE),"Non trouvé")</f>
        <v>Non trouvé</v>
      </c>
      <c r="J1827" t="str">
        <f>IFERROR(VLOOKUP(Logs_reseau[[#This Row],[Cell_ID]],'[1]Registre_Maintenance_combine '!A:F,6,FALSE),"Non trouvé")</f>
        <v>Non trouvé</v>
      </c>
    </row>
    <row r="1828" spans="1:10" x14ac:dyDescent="0.25">
      <c r="A1828" t="str">
        <f>IFERROR(VLOOKUP(Logs_reseau[[#This Row],[Cell_ID]],'[1]Registre_Maintenance_combine '!A:B,2,FALSE),"Non trouvé")</f>
        <v>Haut-Katanga</v>
      </c>
      <c r="B1828" t="s">
        <v>704</v>
      </c>
      <c r="C1828" s="3">
        <v>45203.603472222225</v>
      </c>
      <c r="D1828" s="11">
        <f>Logs_reseau[[#This Row],[Duree_Panne_Min]]/1440</f>
        <v>7.3611111111111113E-2</v>
      </c>
      <c r="E1828">
        <v>106</v>
      </c>
      <c r="F1828" t="s">
        <v>2</v>
      </c>
      <c r="G1828">
        <f>IFERROR(VLOOKUP(Logs_reseau[[#This Row],[Cell_ID]],'[1]Registre_Maintenance_combine '!A:C,3,FALSE),"Non trouvé")</f>
        <v>-5.1507670000000001</v>
      </c>
      <c r="H1828">
        <f>IFERROR(VLOOKUP(Logs_reseau[[#This Row],[Cell_ID]],'[1]Registre_Maintenance_combine '!A:D,4,FALSE),"Non trouvé")</f>
        <v>28.075324999999999</v>
      </c>
      <c r="I1828" t="str">
        <f>IFERROR(VLOOKUP(Logs_reseau[[#This Row],[Cell_ID]],'[1]Registre_Maintenance_combine '!A:E,5,FALSE),"Non trouvé")</f>
        <v>5G</v>
      </c>
      <c r="J1828" t="str">
        <f>IFERROR(VLOOKUP(Logs_reseau[[#This Row],[Cell_ID]],'[1]Registre_Maintenance_combine '!A:F,6,FALSE),"Non trouvé")</f>
        <v>Huawei</v>
      </c>
    </row>
    <row r="1829" spans="1:10" x14ac:dyDescent="0.25">
      <c r="A1829" t="str">
        <f>IFERROR(VLOOKUP(Logs_reseau[[#This Row],[Cell_ID]],'[1]Registre_Maintenance_combine '!A:B,2,FALSE),"Non trouvé")</f>
        <v>Kasai-Central</v>
      </c>
      <c r="B1829" t="s">
        <v>343</v>
      </c>
      <c r="C1829" s="3">
        <v>45221.772222222222</v>
      </c>
      <c r="D1829" s="11">
        <f>Logs_reseau[[#This Row],[Duree_Panne_Min]]/1440</f>
        <v>7.4305555555555555E-2</v>
      </c>
      <c r="E1829">
        <v>107</v>
      </c>
      <c r="F1829" t="s">
        <v>1</v>
      </c>
      <c r="G1829">
        <f>IFERROR(VLOOKUP(Logs_reseau[[#This Row],[Cell_ID]],'[1]Registre_Maintenance_combine '!A:C,3,FALSE),"Non trouvé")</f>
        <v>-4.4451280000000004</v>
      </c>
      <c r="H1829">
        <f>IFERROR(VLOOKUP(Logs_reseau[[#This Row],[Cell_ID]],'[1]Registre_Maintenance_combine '!A:D,4,FALSE),"Non trouvé")</f>
        <v>16.536944999999999</v>
      </c>
      <c r="I1829" t="str">
        <f>IFERROR(VLOOKUP(Logs_reseau[[#This Row],[Cell_ID]],'[1]Registre_Maintenance_combine '!A:E,5,FALSE),"Non trouvé")</f>
        <v>4G</v>
      </c>
      <c r="J1829" t="str">
        <f>IFERROR(VLOOKUP(Logs_reseau[[#This Row],[Cell_ID]],'[1]Registre_Maintenance_combine '!A:F,6,FALSE),"Non trouvé")</f>
        <v>Ericsson</v>
      </c>
    </row>
    <row r="1830" spans="1:10" x14ac:dyDescent="0.25">
      <c r="A1830" t="str">
        <f>IFERROR(VLOOKUP(Logs_reseau[[#This Row],[Cell_ID]],'[1]Registre_Maintenance_combine '!A:B,2,FALSE),"Non trouvé")</f>
        <v>Bas-Uele</v>
      </c>
      <c r="B1830" t="s">
        <v>124</v>
      </c>
      <c r="C1830" s="3">
        <v>45204.625</v>
      </c>
      <c r="D1830" s="11">
        <f>Logs_reseau[[#This Row],[Duree_Panne_Min]]/1440</f>
        <v>6.5277777777777782E-2</v>
      </c>
      <c r="E1830">
        <v>94</v>
      </c>
      <c r="F1830" t="s">
        <v>4</v>
      </c>
      <c r="G1830">
        <f>IFERROR(VLOOKUP(Logs_reseau[[#This Row],[Cell_ID]],'[1]Registre_Maintenance_combine '!A:C,3,FALSE),"Non trouvé")</f>
        <v>-1.6893210000000001</v>
      </c>
      <c r="H1830">
        <f>IFERROR(VLOOKUP(Logs_reseau[[#This Row],[Cell_ID]],'[1]Registre_Maintenance_combine '!A:D,4,FALSE),"Non trouvé")</f>
        <v>30.446543999999999</v>
      </c>
      <c r="I1830" t="str">
        <f>IFERROR(VLOOKUP(Logs_reseau[[#This Row],[Cell_ID]],'[1]Registre_Maintenance_combine '!A:E,5,FALSE),"Non trouvé")</f>
        <v>4G</v>
      </c>
      <c r="J1830" t="str">
        <f>IFERROR(VLOOKUP(Logs_reseau[[#This Row],[Cell_ID]],'[1]Registre_Maintenance_combine '!A:F,6,FALSE),"Non trouvé")</f>
        <v>Huawei</v>
      </c>
    </row>
    <row r="1831" spans="1:10" x14ac:dyDescent="0.25">
      <c r="A1831" t="str">
        <f>IFERROR(VLOOKUP(Logs_reseau[[#This Row],[Cell_ID]],'[1]Registre_Maintenance_combine '!A:B,2,FALSE),"Non trouvé")</f>
        <v>Mai-Ndombe</v>
      </c>
      <c r="B1831" t="s">
        <v>705</v>
      </c>
      <c r="C1831" s="3">
        <v>45216.960416666669</v>
      </c>
      <c r="D1831" s="11">
        <f>Logs_reseau[[#This Row],[Duree_Panne_Min]]/1440</f>
        <v>2.8472222222222222E-2</v>
      </c>
      <c r="E1831">
        <v>41</v>
      </c>
      <c r="F1831" t="s">
        <v>2</v>
      </c>
      <c r="G1831">
        <f>IFERROR(VLOOKUP(Logs_reseau[[#This Row],[Cell_ID]],'[1]Registre_Maintenance_combine '!A:C,3,FALSE),"Non trouvé")</f>
        <v>-7.5641280000000002</v>
      </c>
      <c r="H1831">
        <f>IFERROR(VLOOKUP(Logs_reseau[[#This Row],[Cell_ID]],'[1]Registre_Maintenance_combine '!A:D,4,FALSE),"Non trouvé")</f>
        <v>18.129529999999999</v>
      </c>
      <c r="I1831" t="str">
        <f>IFERROR(VLOOKUP(Logs_reseau[[#This Row],[Cell_ID]],'[1]Registre_Maintenance_combine '!A:E,5,FALSE),"Non trouvé")</f>
        <v>3G</v>
      </c>
      <c r="J1831" t="str">
        <f>IFERROR(VLOOKUP(Logs_reseau[[#This Row],[Cell_ID]],'[1]Registre_Maintenance_combine '!A:F,6,FALSE),"Non trouvé")</f>
        <v>Huawei</v>
      </c>
    </row>
    <row r="1832" spans="1:10" x14ac:dyDescent="0.25">
      <c r="A1832" t="str">
        <f>IFERROR(VLOOKUP(Logs_reseau[[#This Row],[Cell_ID]],'[1]Registre_Maintenance_combine '!A:B,2,FALSE),"Non trouvé")</f>
        <v>Kasai-Central</v>
      </c>
      <c r="B1832" t="s">
        <v>43</v>
      </c>
      <c r="C1832" s="3">
        <v>45217.578472222223</v>
      </c>
      <c r="D1832" s="11">
        <f>Logs_reseau[[#This Row],[Duree_Panne_Min]]/1440</f>
        <v>6.458333333333334E-2</v>
      </c>
      <c r="E1832">
        <v>93</v>
      </c>
      <c r="F1832" t="s">
        <v>2</v>
      </c>
      <c r="G1832">
        <f>IFERROR(VLOOKUP(Logs_reseau[[#This Row],[Cell_ID]],'[1]Registre_Maintenance_combine '!A:C,3,FALSE),"Non trouvé")</f>
        <v>-10.735106</v>
      </c>
      <c r="H1832">
        <f>IFERROR(VLOOKUP(Logs_reseau[[#This Row],[Cell_ID]],'[1]Registre_Maintenance_combine '!A:D,4,FALSE),"Non trouvé")</f>
        <v>27.868673999999999</v>
      </c>
      <c r="I1832" t="str">
        <f>IFERROR(VLOOKUP(Logs_reseau[[#This Row],[Cell_ID]],'[1]Registre_Maintenance_combine '!A:E,5,FALSE),"Non trouvé")</f>
        <v>3G</v>
      </c>
      <c r="J1832" t="str">
        <f>IFERROR(VLOOKUP(Logs_reseau[[#This Row],[Cell_ID]],'[1]Registre_Maintenance_combine '!A:F,6,FALSE),"Non trouvé")</f>
        <v>Ericsson</v>
      </c>
    </row>
    <row r="1833" spans="1:10" x14ac:dyDescent="0.25">
      <c r="A1833" t="str">
        <f>IFERROR(VLOOKUP(Logs_reseau[[#This Row],[Cell_ID]],'[1]Registre_Maintenance_combine '!A:B,2,FALSE),"Non trouvé")</f>
        <v>Non trouvé</v>
      </c>
      <c r="B1833" t="s">
        <v>706</v>
      </c>
      <c r="C1833" s="3">
        <v>45218.665972222225</v>
      </c>
      <c r="D1833" s="11">
        <f>Logs_reseau[[#This Row],[Duree_Panne_Min]]/1440</f>
        <v>6.25E-2</v>
      </c>
      <c r="E1833">
        <v>90</v>
      </c>
      <c r="F1833" t="s">
        <v>4</v>
      </c>
      <c r="G1833" t="str">
        <f>IFERROR(VLOOKUP(Logs_reseau[[#This Row],[Cell_ID]],'[1]Registre_Maintenance_combine '!A:C,3,FALSE),"Non trouvé")</f>
        <v>Non trouvé</v>
      </c>
      <c r="H1833" t="str">
        <f>IFERROR(VLOOKUP(Logs_reseau[[#This Row],[Cell_ID]],'[1]Registre_Maintenance_combine '!A:D,4,FALSE),"Non trouvé")</f>
        <v>Non trouvé</v>
      </c>
      <c r="I1833" t="str">
        <f>IFERROR(VLOOKUP(Logs_reseau[[#This Row],[Cell_ID]],'[1]Registre_Maintenance_combine '!A:E,5,FALSE),"Non trouvé")</f>
        <v>Non trouvé</v>
      </c>
      <c r="J1833" t="str">
        <f>IFERROR(VLOOKUP(Logs_reseau[[#This Row],[Cell_ID]],'[1]Registre_Maintenance_combine '!A:F,6,FALSE),"Non trouvé")</f>
        <v>Non trouvé</v>
      </c>
    </row>
    <row r="1834" spans="1:10" x14ac:dyDescent="0.25">
      <c r="A1834" t="str">
        <f>IFERROR(VLOOKUP(Logs_reseau[[#This Row],[Cell_ID]],'[1]Registre_Maintenance_combine '!A:B,2,FALSE),"Non trouvé")</f>
        <v>Non trouvé</v>
      </c>
      <c r="B1834" t="s">
        <v>308</v>
      </c>
      <c r="C1834" s="3">
        <v>45218.240277777775</v>
      </c>
      <c r="D1834" s="11">
        <f>Logs_reseau[[#This Row],[Duree_Panne_Min]]/1440</f>
        <v>3.6805555555555557E-2</v>
      </c>
      <c r="E1834">
        <v>53</v>
      </c>
      <c r="F1834" t="s">
        <v>4</v>
      </c>
      <c r="G1834" t="str">
        <f>IFERROR(VLOOKUP(Logs_reseau[[#This Row],[Cell_ID]],'[1]Registre_Maintenance_combine '!A:C,3,FALSE),"Non trouvé")</f>
        <v>Non trouvé</v>
      </c>
      <c r="H1834" t="str">
        <f>IFERROR(VLOOKUP(Logs_reseau[[#This Row],[Cell_ID]],'[1]Registre_Maintenance_combine '!A:D,4,FALSE),"Non trouvé")</f>
        <v>Non trouvé</v>
      </c>
      <c r="I1834" t="str">
        <f>IFERROR(VLOOKUP(Logs_reseau[[#This Row],[Cell_ID]],'[1]Registre_Maintenance_combine '!A:E,5,FALSE),"Non trouvé")</f>
        <v>Non trouvé</v>
      </c>
      <c r="J1834" t="str">
        <f>IFERROR(VLOOKUP(Logs_reseau[[#This Row],[Cell_ID]],'[1]Registre_Maintenance_combine '!A:F,6,FALSE),"Non trouvé")</f>
        <v>Non trouvé</v>
      </c>
    </row>
    <row r="1835" spans="1:10" x14ac:dyDescent="0.25">
      <c r="A1835" t="str">
        <f>IFERROR(VLOOKUP(Logs_reseau[[#This Row],[Cell_ID]],'[1]Registre_Maintenance_combine '!A:B,2,FALSE),"Non trouvé")</f>
        <v>Tshuapa</v>
      </c>
      <c r="B1835" t="s">
        <v>238</v>
      </c>
      <c r="C1835" s="3">
        <v>45226.17083333333</v>
      </c>
      <c r="D1835" s="11">
        <f>Logs_reseau[[#This Row],[Duree_Panne_Min]]/1440</f>
        <v>3.7499999999999999E-2</v>
      </c>
      <c r="E1835">
        <v>54</v>
      </c>
      <c r="F1835" t="s">
        <v>1</v>
      </c>
      <c r="G1835">
        <f>IFERROR(VLOOKUP(Logs_reseau[[#This Row],[Cell_ID]],'[1]Registre_Maintenance_combine '!A:C,3,FALSE),"Non trouvé")</f>
        <v>-5.1030600000000002</v>
      </c>
      <c r="H1835">
        <f>IFERROR(VLOOKUP(Logs_reseau[[#This Row],[Cell_ID]],'[1]Registre_Maintenance_combine '!A:D,4,FALSE),"Non trouvé")</f>
        <v>22.849231</v>
      </c>
      <c r="I1835" t="str">
        <f>IFERROR(VLOOKUP(Logs_reseau[[#This Row],[Cell_ID]],'[1]Registre_Maintenance_combine '!A:E,5,FALSE),"Non trouvé")</f>
        <v>5G</v>
      </c>
      <c r="J1835" t="str">
        <f>IFERROR(VLOOKUP(Logs_reseau[[#This Row],[Cell_ID]],'[1]Registre_Maintenance_combine '!A:F,6,FALSE),"Non trouvé")</f>
        <v>ZTE</v>
      </c>
    </row>
    <row r="1836" spans="1:10" x14ac:dyDescent="0.25">
      <c r="A1836" t="str">
        <f>IFERROR(VLOOKUP(Logs_reseau[[#This Row],[Cell_ID]],'[1]Registre_Maintenance_combine '!A:B,2,FALSE),"Non trouvé")</f>
        <v>Kwango</v>
      </c>
      <c r="B1836" t="s">
        <v>135</v>
      </c>
      <c r="C1836" s="3">
        <v>45212.901388888888</v>
      </c>
      <c r="D1836" s="11">
        <f>Logs_reseau[[#This Row],[Duree_Panne_Min]]/1440</f>
        <v>4.027777777777778E-2</v>
      </c>
      <c r="E1836">
        <v>58</v>
      </c>
      <c r="F1836" t="s">
        <v>1</v>
      </c>
      <c r="G1836">
        <f>IFERROR(VLOOKUP(Logs_reseau[[#This Row],[Cell_ID]],'[1]Registre_Maintenance_combine '!A:C,3,FALSE),"Non trouvé")</f>
        <v>-10.963041</v>
      </c>
      <c r="H1836">
        <f>IFERROR(VLOOKUP(Logs_reseau[[#This Row],[Cell_ID]],'[1]Registre_Maintenance_combine '!A:D,4,FALSE),"Non trouvé")</f>
        <v>12.269857</v>
      </c>
      <c r="I1836" t="str">
        <f>IFERROR(VLOOKUP(Logs_reseau[[#This Row],[Cell_ID]],'[1]Registre_Maintenance_combine '!A:E,5,FALSE),"Non trouvé")</f>
        <v>4G</v>
      </c>
      <c r="J1836" t="str">
        <f>IFERROR(VLOOKUP(Logs_reseau[[#This Row],[Cell_ID]],'[1]Registre_Maintenance_combine '!A:F,6,FALSE),"Non trouvé")</f>
        <v>Huawei</v>
      </c>
    </row>
    <row r="1837" spans="1:10" x14ac:dyDescent="0.25">
      <c r="A1837" t="str">
        <f>IFERROR(VLOOKUP(Logs_reseau[[#This Row],[Cell_ID]],'[1]Registre_Maintenance_combine '!A:B,2,FALSE),"Non trouvé")</f>
        <v>Sud-Ubangi</v>
      </c>
      <c r="B1837" t="s">
        <v>164</v>
      </c>
      <c r="C1837" s="3">
        <v>45219.438888888886</v>
      </c>
      <c r="D1837" s="11">
        <f>Logs_reseau[[#This Row],[Duree_Panne_Min]]/1440</f>
        <v>7.2916666666666671E-2</v>
      </c>
      <c r="E1837">
        <v>105</v>
      </c>
      <c r="F1837" t="s">
        <v>2</v>
      </c>
      <c r="G1837">
        <f>IFERROR(VLOOKUP(Logs_reseau[[#This Row],[Cell_ID]],'[1]Registre_Maintenance_combine '!A:C,3,FALSE),"Non trouvé")</f>
        <v>-0.54908599999999996</v>
      </c>
      <c r="H1837">
        <f>IFERROR(VLOOKUP(Logs_reseau[[#This Row],[Cell_ID]],'[1]Registre_Maintenance_combine '!A:D,4,FALSE),"Non trouvé")</f>
        <v>14.816867</v>
      </c>
      <c r="I1837" t="str">
        <f>IFERROR(VLOOKUP(Logs_reseau[[#This Row],[Cell_ID]],'[1]Registre_Maintenance_combine '!A:E,5,FALSE),"Non trouvé")</f>
        <v>5G</v>
      </c>
      <c r="J1837" t="str">
        <f>IFERROR(VLOOKUP(Logs_reseau[[#This Row],[Cell_ID]],'[1]Registre_Maintenance_combine '!A:F,6,FALSE),"Non trouvé")</f>
        <v>ZTE</v>
      </c>
    </row>
    <row r="1838" spans="1:10" x14ac:dyDescent="0.25">
      <c r="A1838" t="str">
        <f>IFERROR(VLOOKUP(Logs_reseau[[#This Row],[Cell_ID]],'[1]Registre_Maintenance_combine '!A:B,2,FALSE),"Non trouvé")</f>
        <v>Non trouvé</v>
      </c>
      <c r="B1838" t="s">
        <v>667</v>
      </c>
      <c r="C1838" s="3">
        <v>45228.518055555556</v>
      </c>
      <c r="D1838" s="11">
        <f>Logs_reseau[[#This Row],[Duree_Panne_Min]]/1440</f>
        <v>6.3888888888888884E-2</v>
      </c>
      <c r="E1838">
        <v>92</v>
      </c>
      <c r="F1838" t="s">
        <v>4</v>
      </c>
      <c r="G1838" t="str">
        <f>IFERROR(VLOOKUP(Logs_reseau[[#This Row],[Cell_ID]],'[1]Registre_Maintenance_combine '!A:C,3,FALSE),"Non trouvé")</f>
        <v>Non trouvé</v>
      </c>
      <c r="H1838" t="str">
        <f>IFERROR(VLOOKUP(Logs_reseau[[#This Row],[Cell_ID]],'[1]Registre_Maintenance_combine '!A:D,4,FALSE),"Non trouvé")</f>
        <v>Non trouvé</v>
      </c>
      <c r="I1838" t="str">
        <f>IFERROR(VLOOKUP(Logs_reseau[[#This Row],[Cell_ID]],'[1]Registre_Maintenance_combine '!A:E,5,FALSE),"Non trouvé")</f>
        <v>Non trouvé</v>
      </c>
      <c r="J1838" t="str">
        <f>IFERROR(VLOOKUP(Logs_reseau[[#This Row],[Cell_ID]],'[1]Registre_Maintenance_combine '!A:F,6,FALSE),"Non trouvé")</f>
        <v>Non trouvé</v>
      </c>
    </row>
    <row r="1839" spans="1:10" x14ac:dyDescent="0.25">
      <c r="A1839" t="str">
        <f>IFERROR(VLOOKUP(Logs_reseau[[#This Row],[Cell_ID]],'[1]Registre_Maintenance_combine '!A:B,2,FALSE),"Non trouvé")</f>
        <v>Non trouvé</v>
      </c>
      <c r="B1839" t="s">
        <v>243</v>
      </c>
      <c r="C1839" s="3">
        <v>45219.95</v>
      </c>
      <c r="D1839" s="11">
        <f>Logs_reseau[[#This Row],[Duree_Panne_Min]]/1440</f>
        <v>3.125E-2</v>
      </c>
      <c r="E1839">
        <v>45</v>
      </c>
      <c r="F1839" t="s">
        <v>4</v>
      </c>
      <c r="G1839" t="str">
        <f>IFERROR(VLOOKUP(Logs_reseau[[#This Row],[Cell_ID]],'[1]Registre_Maintenance_combine '!A:C,3,FALSE),"Non trouvé")</f>
        <v>Non trouvé</v>
      </c>
      <c r="H1839" t="str">
        <f>IFERROR(VLOOKUP(Logs_reseau[[#This Row],[Cell_ID]],'[1]Registre_Maintenance_combine '!A:D,4,FALSE),"Non trouvé")</f>
        <v>Non trouvé</v>
      </c>
      <c r="I1839" t="str">
        <f>IFERROR(VLOOKUP(Logs_reseau[[#This Row],[Cell_ID]],'[1]Registre_Maintenance_combine '!A:E,5,FALSE),"Non trouvé")</f>
        <v>Non trouvé</v>
      </c>
      <c r="J1839" t="str">
        <f>IFERROR(VLOOKUP(Logs_reseau[[#This Row],[Cell_ID]],'[1]Registre_Maintenance_combine '!A:F,6,FALSE),"Non trouvé")</f>
        <v>Non trouvé</v>
      </c>
    </row>
    <row r="1840" spans="1:10" x14ac:dyDescent="0.25">
      <c r="A1840" t="str">
        <f>IFERROR(VLOOKUP(Logs_reseau[[#This Row],[Cell_ID]],'[1]Registre_Maintenance_combine '!A:B,2,FALSE),"Non trouvé")</f>
        <v>Non trouvé</v>
      </c>
      <c r="B1840" t="s">
        <v>707</v>
      </c>
      <c r="C1840" s="3">
        <v>45207.350694444445</v>
      </c>
      <c r="D1840" s="11">
        <f>Logs_reseau[[#This Row],[Duree_Panne_Min]]/1440</f>
        <v>5.2083333333333336E-2</v>
      </c>
      <c r="E1840">
        <v>75</v>
      </c>
      <c r="F1840" t="s">
        <v>4</v>
      </c>
      <c r="G1840" t="str">
        <f>IFERROR(VLOOKUP(Logs_reseau[[#This Row],[Cell_ID]],'[1]Registre_Maintenance_combine '!A:C,3,FALSE),"Non trouvé")</f>
        <v>Non trouvé</v>
      </c>
      <c r="H1840" t="str">
        <f>IFERROR(VLOOKUP(Logs_reseau[[#This Row],[Cell_ID]],'[1]Registre_Maintenance_combine '!A:D,4,FALSE),"Non trouvé")</f>
        <v>Non trouvé</v>
      </c>
      <c r="I1840" t="str">
        <f>IFERROR(VLOOKUP(Logs_reseau[[#This Row],[Cell_ID]],'[1]Registre_Maintenance_combine '!A:E,5,FALSE),"Non trouvé")</f>
        <v>Non trouvé</v>
      </c>
      <c r="J1840" t="str">
        <f>IFERROR(VLOOKUP(Logs_reseau[[#This Row],[Cell_ID]],'[1]Registre_Maintenance_combine '!A:F,6,FALSE),"Non trouvé")</f>
        <v>Non trouvé</v>
      </c>
    </row>
    <row r="1841" spans="1:10" x14ac:dyDescent="0.25">
      <c r="A1841" t="str">
        <f>IFERROR(VLOOKUP(Logs_reseau[[#This Row],[Cell_ID]],'[1]Registre_Maintenance_combine '!A:B,2,FALSE),"Non trouvé")</f>
        <v>Bas-Uele</v>
      </c>
      <c r="B1841" t="s">
        <v>8</v>
      </c>
      <c r="C1841" s="3">
        <v>45230.429166666669</v>
      </c>
      <c r="D1841" s="11">
        <f>Logs_reseau[[#This Row],[Duree_Panne_Min]]/1440</f>
        <v>7.6388888888888886E-3</v>
      </c>
      <c r="E1841">
        <v>11</v>
      </c>
      <c r="F1841" t="s">
        <v>4</v>
      </c>
      <c r="G1841">
        <f>IFERROR(VLOOKUP(Logs_reseau[[#This Row],[Cell_ID]],'[1]Registre_Maintenance_combine '!A:C,3,FALSE),"Non trouvé")</f>
        <v>-2.8532869999999999</v>
      </c>
      <c r="H1841">
        <f>IFERROR(VLOOKUP(Logs_reseau[[#This Row],[Cell_ID]],'[1]Registre_Maintenance_combine '!A:D,4,FALSE),"Non trouvé")</f>
        <v>22.117896000000002</v>
      </c>
      <c r="I1841" t="str">
        <f>IFERROR(VLOOKUP(Logs_reseau[[#This Row],[Cell_ID]],'[1]Registre_Maintenance_combine '!A:E,5,FALSE),"Non trouvé")</f>
        <v>5G</v>
      </c>
      <c r="J1841" t="str">
        <f>IFERROR(VLOOKUP(Logs_reseau[[#This Row],[Cell_ID]],'[1]Registre_Maintenance_combine '!A:F,6,FALSE),"Non trouvé")</f>
        <v>Huawei</v>
      </c>
    </row>
    <row r="1842" spans="1:10" x14ac:dyDescent="0.25">
      <c r="A1842" t="str">
        <f>IFERROR(VLOOKUP(Logs_reseau[[#This Row],[Cell_ID]],'[1]Registre_Maintenance_combine '!A:B,2,FALSE),"Non trouvé")</f>
        <v>Bas-Uele</v>
      </c>
      <c r="B1842" t="s">
        <v>337</v>
      </c>
      <c r="C1842" s="3">
        <v>45214.172222222223</v>
      </c>
      <c r="D1842" s="11">
        <f>Logs_reseau[[#This Row],[Duree_Panne_Min]]/1440</f>
        <v>4.1666666666666666E-3</v>
      </c>
      <c r="E1842">
        <v>6</v>
      </c>
      <c r="F1842" t="s">
        <v>1</v>
      </c>
      <c r="G1842">
        <f>IFERROR(VLOOKUP(Logs_reseau[[#This Row],[Cell_ID]],'[1]Registre_Maintenance_combine '!A:C,3,FALSE),"Non trouvé")</f>
        <v>-3.6945459999999999</v>
      </c>
      <c r="H1842">
        <f>IFERROR(VLOOKUP(Logs_reseau[[#This Row],[Cell_ID]],'[1]Registre_Maintenance_combine '!A:D,4,FALSE),"Non trouvé")</f>
        <v>16.809108999999999</v>
      </c>
      <c r="I1842" t="str">
        <f>IFERROR(VLOOKUP(Logs_reseau[[#This Row],[Cell_ID]],'[1]Registre_Maintenance_combine '!A:E,5,FALSE),"Non trouvé")</f>
        <v>5G</v>
      </c>
      <c r="J1842" t="str">
        <f>IFERROR(VLOOKUP(Logs_reseau[[#This Row],[Cell_ID]],'[1]Registre_Maintenance_combine '!A:F,6,FALSE),"Non trouvé")</f>
        <v>ZTE</v>
      </c>
    </row>
    <row r="1843" spans="1:10" x14ac:dyDescent="0.25">
      <c r="A1843" t="str">
        <f>IFERROR(VLOOKUP(Logs_reseau[[#This Row],[Cell_ID]],'[1]Registre_Maintenance_combine '!A:B,2,FALSE),"Non trouvé")</f>
        <v>Non trouvé</v>
      </c>
      <c r="B1843" t="s">
        <v>708</v>
      </c>
      <c r="C1843" s="3">
        <v>45213.822222222225</v>
      </c>
      <c r="D1843" s="11">
        <f>Logs_reseau[[#This Row],[Duree_Panne_Min]]/1440</f>
        <v>6.9444444444444448E-2</v>
      </c>
      <c r="E1843">
        <v>100</v>
      </c>
      <c r="F1843" t="s">
        <v>2</v>
      </c>
      <c r="G1843" t="str">
        <f>IFERROR(VLOOKUP(Logs_reseau[[#This Row],[Cell_ID]],'[1]Registre_Maintenance_combine '!A:C,3,FALSE),"Non trouvé")</f>
        <v>Non trouvé</v>
      </c>
      <c r="H1843" t="str">
        <f>IFERROR(VLOOKUP(Logs_reseau[[#This Row],[Cell_ID]],'[1]Registre_Maintenance_combine '!A:D,4,FALSE),"Non trouvé")</f>
        <v>Non trouvé</v>
      </c>
      <c r="I1843" t="str">
        <f>IFERROR(VLOOKUP(Logs_reseau[[#This Row],[Cell_ID]],'[1]Registre_Maintenance_combine '!A:E,5,FALSE),"Non trouvé")</f>
        <v>Non trouvé</v>
      </c>
      <c r="J1843" t="str">
        <f>IFERROR(VLOOKUP(Logs_reseau[[#This Row],[Cell_ID]],'[1]Registre_Maintenance_combine '!A:F,6,FALSE),"Non trouvé")</f>
        <v>Non trouvé</v>
      </c>
    </row>
    <row r="1844" spans="1:10" x14ac:dyDescent="0.25">
      <c r="A1844" t="str">
        <f>IFERROR(VLOOKUP(Logs_reseau[[#This Row],[Cell_ID]],'[1]Registre_Maintenance_combine '!A:B,2,FALSE),"Non trouvé")</f>
        <v>Non trouvé</v>
      </c>
      <c r="B1844" t="s">
        <v>366</v>
      </c>
      <c r="C1844" s="3">
        <v>45228.980555555558</v>
      </c>
      <c r="D1844" s="11">
        <f>Logs_reseau[[#This Row],[Duree_Panne_Min]]/1440</f>
        <v>2.5694444444444443E-2</v>
      </c>
      <c r="E1844">
        <v>37</v>
      </c>
      <c r="F1844" t="s">
        <v>2</v>
      </c>
      <c r="G1844" t="str">
        <f>IFERROR(VLOOKUP(Logs_reseau[[#This Row],[Cell_ID]],'[1]Registre_Maintenance_combine '!A:C,3,FALSE),"Non trouvé")</f>
        <v>Non trouvé</v>
      </c>
      <c r="H1844" t="str">
        <f>IFERROR(VLOOKUP(Logs_reseau[[#This Row],[Cell_ID]],'[1]Registre_Maintenance_combine '!A:D,4,FALSE),"Non trouvé")</f>
        <v>Non trouvé</v>
      </c>
      <c r="I1844" t="str">
        <f>IFERROR(VLOOKUP(Logs_reseau[[#This Row],[Cell_ID]],'[1]Registre_Maintenance_combine '!A:E,5,FALSE),"Non trouvé")</f>
        <v>Non trouvé</v>
      </c>
      <c r="J1844" t="str">
        <f>IFERROR(VLOOKUP(Logs_reseau[[#This Row],[Cell_ID]],'[1]Registre_Maintenance_combine '!A:F,6,FALSE),"Non trouvé")</f>
        <v>Non trouvé</v>
      </c>
    </row>
    <row r="1845" spans="1:10" x14ac:dyDescent="0.25">
      <c r="A1845" t="str">
        <f>IFERROR(VLOOKUP(Logs_reseau[[#This Row],[Cell_ID]],'[1]Registre_Maintenance_combine '!A:B,2,FALSE),"Non trouvé")</f>
        <v>Non trouvé</v>
      </c>
      <c r="B1845" t="s">
        <v>532</v>
      </c>
      <c r="C1845" s="3">
        <v>45209.940972222219</v>
      </c>
      <c r="D1845" s="11">
        <f>Logs_reseau[[#This Row],[Duree_Panne_Min]]/1440</f>
        <v>2.0833333333333332E-2</v>
      </c>
      <c r="E1845">
        <v>30</v>
      </c>
      <c r="F1845" t="s">
        <v>4</v>
      </c>
      <c r="G1845" t="str">
        <f>IFERROR(VLOOKUP(Logs_reseau[[#This Row],[Cell_ID]],'[1]Registre_Maintenance_combine '!A:C,3,FALSE),"Non trouvé")</f>
        <v>Non trouvé</v>
      </c>
      <c r="H1845" t="str">
        <f>IFERROR(VLOOKUP(Logs_reseau[[#This Row],[Cell_ID]],'[1]Registre_Maintenance_combine '!A:D,4,FALSE),"Non trouvé")</f>
        <v>Non trouvé</v>
      </c>
      <c r="I1845" t="str">
        <f>IFERROR(VLOOKUP(Logs_reseau[[#This Row],[Cell_ID]],'[1]Registre_Maintenance_combine '!A:E,5,FALSE),"Non trouvé")</f>
        <v>Non trouvé</v>
      </c>
      <c r="J1845" t="str">
        <f>IFERROR(VLOOKUP(Logs_reseau[[#This Row],[Cell_ID]],'[1]Registre_Maintenance_combine '!A:F,6,FALSE),"Non trouvé")</f>
        <v>Non trouvé</v>
      </c>
    </row>
    <row r="1846" spans="1:10" x14ac:dyDescent="0.25">
      <c r="A1846" t="str">
        <f>IFERROR(VLOOKUP(Logs_reseau[[#This Row],[Cell_ID]],'[1]Registre_Maintenance_combine '!A:B,2,FALSE),"Non trouvé")</f>
        <v>Sud-Kivu</v>
      </c>
      <c r="B1846" t="s">
        <v>159</v>
      </c>
      <c r="C1846" s="3">
        <v>45227.447916666664</v>
      </c>
      <c r="D1846" s="11">
        <f>Logs_reseau[[#This Row],[Duree_Panne_Min]]/1440</f>
        <v>5.8333333333333334E-2</v>
      </c>
      <c r="E1846">
        <v>84</v>
      </c>
      <c r="F1846" t="s">
        <v>2</v>
      </c>
      <c r="G1846">
        <f>IFERROR(VLOOKUP(Logs_reseau[[#This Row],[Cell_ID]],'[1]Registre_Maintenance_combine '!A:C,3,FALSE),"Non trouvé")</f>
        <v>2.4414509999999998</v>
      </c>
      <c r="H1846">
        <f>IFERROR(VLOOKUP(Logs_reseau[[#This Row],[Cell_ID]],'[1]Registre_Maintenance_combine '!A:D,4,FALSE),"Non trouvé")</f>
        <v>30.167489</v>
      </c>
      <c r="I1846" t="str">
        <f>IFERROR(VLOOKUP(Logs_reseau[[#This Row],[Cell_ID]],'[1]Registre_Maintenance_combine '!A:E,5,FALSE),"Non trouvé")</f>
        <v>5G</v>
      </c>
      <c r="J1846" t="str">
        <f>IFERROR(VLOOKUP(Logs_reseau[[#This Row],[Cell_ID]],'[1]Registre_Maintenance_combine '!A:F,6,FALSE),"Non trouvé")</f>
        <v>Nokia</v>
      </c>
    </row>
    <row r="1847" spans="1:10" x14ac:dyDescent="0.25">
      <c r="A1847" t="str">
        <f>IFERROR(VLOOKUP(Logs_reseau[[#This Row],[Cell_ID]],'[1]Registre_Maintenance_combine '!A:B,2,FALSE),"Non trouvé")</f>
        <v>Haut-Katanga</v>
      </c>
      <c r="B1847" t="s">
        <v>42</v>
      </c>
      <c r="C1847" s="3">
        <v>45223.736111111109</v>
      </c>
      <c r="D1847" s="11">
        <f>Logs_reseau[[#This Row],[Duree_Panne_Min]]/1440</f>
        <v>8.0555555555555561E-2</v>
      </c>
      <c r="E1847">
        <v>116</v>
      </c>
      <c r="F1847" t="s">
        <v>2</v>
      </c>
      <c r="G1847">
        <f>IFERROR(VLOOKUP(Logs_reseau[[#This Row],[Cell_ID]],'[1]Registre_Maintenance_combine '!A:C,3,FALSE),"Non trouvé")</f>
        <v>0.16841400000000001</v>
      </c>
      <c r="H1847">
        <f>IFERROR(VLOOKUP(Logs_reseau[[#This Row],[Cell_ID]],'[1]Registre_Maintenance_combine '!A:D,4,FALSE),"Non trouvé")</f>
        <v>30.029876999999999</v>
      </c>
      <c r="I1847" t="str">
        <f>IFERROR(VLOOKUP(Logs_reseau[[#This Row],[Cell_ID]],'[1]Registre_Maintenance_combine '!A:E,5,FALSE),"Non trouvé")</f>
        <v>5G</v>
      </c>
      <c r="J1847" t="str">
        <f>IFERROR(VLOOKUP(Logs_reseau[[#This Row],[Cell_ID]],'[1]Registre_Maintenance_combine '!A:F,6,FALSE),"Non trouvé")</f>
        <v>Huawei</v>
      </c>
    </row>
    <row r="1848" spans="1:10" x14ac:dyDescent="0.25">
      <c r="A1848" t="str">
        <f>IFERROR(VLOOKUP(Logs_reseau[[#This Row],[Cell_ID]],'[1]Registre_Maintenance_combine '!A:B,2,FALSE),"Non trouvé")</f>
        <v>Non trouvé</v>
      </c>
      <c r="B1848" t="s">
        <v>158</v>
      </c>
      <c r="C1848" s="3">
        <v>45206.259027777778</v>
      </c>
      <c r="D1848" s="11">
        <f>Logs_reseau[[#This Row],[Duree_Panne_Min]]/1440</f>
        <v>7.2222222222222215E-2</v>
      </c>
      <c r="E1848">
        <v>104</v>
      </c>
      <c r="F1848" t="s">
        <v>1</v>
      </c>
      <c r="G1848" t="str">
        <f>IFERROR(VLOOKUP(Logs_reseau[[#This Row],[Cell_ID]],'[1]Registre_Maintenance_combine '!A:C,3,FALSE),"Non trouvé")</f>
        <v>Non trouvé</v>
      </c>
      <c r="H1848" t="str">
        <f>IFERROR(VLOOKUP(Logs_reseau[[#This Row],[Cell_ID]],'[1]Registre_Maintenance_combine '!A:D,4,FALSE),"Non trouvé")</f>
        <v>Non trouvé</v>
      </c>
      <c r="I1848" t="str">
        <f>IFERROR(VLOOKUP(Logs_reseau[[#This Row],[Cell_ID]],'[1]Registre_Maintenance_combine '!A:E,5,FALSE),"Non trouvé")</f>
        <v>Non trouvé</v>
      </c>
      <c r="J1848" t="str">
        <f>IFERROR(VLOOKUP(Logs_reseau[[#This Row],[Cell_ID]],'[1]Registre_Maintenance_combine '!A:F,6,FALSE),"Non trouvé")</f>
        <v>Non trouvé</v>
      </c>
    </row>
    <row r="1849" spans="1:10" x14ac:dyDescent="0.25">
      <c r="A1849" t="str">
        <f>IFERROR(VLOOKUP(Logs_reseau[[#This Row],[Cell_ID]],'[1]Registre_Maintenance_combine '!A:B,2,FALSE),"Non trouvé")</f>
        <v>Non trouvé</v>
      </c>
      <c r="B1849" t="s">
        <v>709</v>
      </c>
      <c r="C1849" s="3">
        <v>45219.929166666669</v>
      </c>
      <c r="D1849" s="11">
        <f>Logs_reseau[[#This Row],[Duree_Panne_Min]]/1440</f>
        <v>7.9861111111111105E-2</v>
      </c>
      <c r="E1849">
        <v>115</v>
      </c>
      <c r="F1849" t="s">
        <v>1</v>
      </c>
      <c r="G1849" t="str">
        <f>IFERROR(VLOOKUP(Logs_reseau[[#This Row],[Cell_ID]],'[1]Registre_Maintenance_combine '!A:C,3,FALSE),"Non trouvé")</f>
        <v>Non trouvé</v>
      </c>
      <c r="H1849" t="str">
        <f>IFERROR(VLOOKUP(Logs_reseau[[#This Row],[Cell_ID]],'[1]Registre_Maintenance_combine '!A:D,4,FALSE),"Non trouvé")</f>
        <v>Non trouvé</v>
      </c>
      <c r="I1849" t="str">
        <f>IFERROR(VLOOKUP(Logs_reseau[[#This Row],[Cell_ID]],'[1]Registre_Maintenance_combine '!A:E,5,FALSE),"Non trouvé")</f>
        <v>Non trouvé</v>
      </c>
      <c r="J1849" t="str">
        <f>IFERROR(VLOOKUP(Logs_reseau[[#This Row],[Cell_ID]],'[1]Registre_Maintenance_combine '!A:F,6,FALSE),"Non trouvé")</f>
        <v>Non trouvé</v>
      </c>
    </row>
    <row r="1850" spans="1:10" x14ac:dyDescent="0.25">
      <c r="A1850" t="str">
        <f>IFERROR(VLOOKUP(Logs_reseau[[#This Row],[Cell_ID]],'[1]Registre_Maintenance_combine '!A:B,2,FALSE),"Non trouvé")</f>
        <v>Non trouvé</v>
      </c>
      <c r="B1850" t="s">
        <v>710</v>
      </c>
      <c r="C1850" s="3">
        <v>45221.498611111114</v>
      </c>
      <c r="D1850" s="11">
        <f>Logs_reseau[[#This Row],[Duree_Panne_Min]]/1440</f>
        <v>8.0555555555555561E-2</v>
      </c>
      <c r="E1850">
        <v>116</v>
      </c>
      <c r="F1850" t="s">
        <v>2</v>
      </c>
      <c r="G1850" t="str">
        <f>IFERROR(VLOOKUP(Logs_reseau[[#This Row],[Cell_ID]],'[1]Registre_Maintenance_combine '!A:C,3,FALSE),"Non trouvé")</f>
        <v>Non trouvé</v>
      </c>
      <c r="H1850" t="str">
        <f>IFERROR(VLOOKUP(Logs_reseau[[#This Row],[Cell_ID]],'[1]Registre_Maintenance_combine '!A:D,4,FALSE),"Non trouvé")</f>
        <v>Non trouvé</v>
      </c>
      <c r="I1850" t="str">
        <f>IFERROR(VLOOKUP(Logs_reseau[[#This Row],[Cell_ID]],'[1]Registre_Maintenance_combine '!A:E,5,FALSE),"Non trouvé")</f>
        <v>Non trouvé</v>
      </c>
      <c r="J1850" t="str">
        <f>IFERROR(VLOOKUP(Logs_reseau[[#This Row],[Cell_ID]],'[1]Registre_Maintenance_combine '!A:F,6,FALSE),"Non trouvé")</f>
        <v>Non trouvé</v>
      </c>
    </row>
    <row r="1851" spans="1:10" x14ac:dyDescent="0.25">
      <c r="A1851" t="str">
        <f>IFERROR(VLOOKUP(Logs_reseau[[#This Row],[Cell_ID]],'[1]Registre_Maintenance_combine '!A:B,2,FALSE),"Non trouvé")</f>
        <v>Kwango</v>
      </c>
      <c r="B1851" t="s">
        <v>407</v>
      </c>
      <c r="C1851" s="3">
        <v>45221.197916666664</v>
      </c>
      <c r="D1851" s="11">
        <f>Logs_reseau[[#This Row],[Duree_Panne_Min]]/1440</f>
        <v>4.2361111111111113E-2</v>
      </c>
      <c r="E1851">
        <v>61</v>
      </c>
      <c r="F1851" t="s">
        <v>4</v>
      </c>
      <c r="G1851">
        <f>IFERROR(VLOOKUP(Logs_reseau[[#This Row],[Cell_ID]],'[1]Registre_Maintenance_combine '!A:C,3,FALSE),"Non trouvé")</f>
        <v>-7.5129409999999996</v>
      </c>
      <c r="H1851">
        <f>IFERROR(VLOOKUP(Logs_reseau[[#This Row],[Cell_ID]],'[1]Registre_Maintenance_combine '!A:D,4,FALSE),"Non trouvé")</f>
        <v>18.701522000000001</v>
      </c>
      <c r="I1851" t="str">
        <f>IFERROR(VLOOKUP(Logs_reseau[[#This Row],[Cell_ID]],'[1]Registre_Maintenance_combine '!A:E,5,FALSE),"Non trouvé")</f>
        <v>4G</v>
      </c>
      <c r="J1851" t="str">
        <f>IFERROR(VLOOKUP(Logs_reseau[[#This Row],[Cell_ID]],'[1]Registre_Maintenance_combine '!A:F,6,FALSE),"Non trouvé")</f>
        <v>Nokia</v>
      </c>
    </row>
    <row r="1852" spans="1:10" x14ac:dyDescent="0.25">
      <c r="A1852" t="str">
        <f>IFERROR(VLOOKUP(Logs_reseau[[#This Row],[Cell_ID]],'[1]Registre_Maintenance_combine '!A:B,2,FALSE),"Non trouvé")</f>
        <v>Non trouvé</v>
      </c>
      <c r="B1852" t="s">
        <v>54</v>
      </c>
      <c r="C1852" s="3">
        <v>45220.230555555558</v>
      </c>
      <c r="D1852" s="11">
        <f>Logs_reseau[[#This Row],[Duree_Panne_Min]]/1440</f>
        <v>7.7083333333333337E-2</v>
      </c>
      <c r="E1852">
        <v>111</v>
      </c>
      <c r="F1852" t="s">
        <v>4</v>
      </c>
      <c r="G1852" t="str">
        <f>IFERROR(VLOOKUP(Logs_reseau[[#This Row],[Cell_ID]],'[1]Registre_Maintenance_combine '!A:C,3,FALSE),"Non trouvé")</f>
        <v>Non trouvé</v>
      </c>
      <c r="H1852" t="str">
        <f>IFERROR(VLOOKUP(Logs_reseau[[#This Row],[Cell_ID]],'[1]Registre_Maintenance_combine '!A:D,4,FALSE),"Non trouvé")</f>
        <v>Non trouvé</v>
      </c>
      <c r="I1852" t="str">
        <f>IFERROR(VLOOKUP(Logs_reseau[[#This Row],[Cell_ID]],'[1]Registre_Maintenance_combine '!A:E,5,FALSE),"Non trouvé")</f>
        <v>Non trouvé</v>
      </c>
      <c r="J1852" t="str">
        <f>IFERROR(VLOOKUP(Logs_reseau[[#This Row],[Cell_ID]],'[1]Registre_Maintenance_combine '!A:F,6,FALSE),"Non trouvé")</f>
        <v>Non trouvé</v>
      </c>
    </row>
    <row r="1853" spans="1:10" x14ac:dyDescent="0.25">
      <c r="A1853" t="str">
        <f>IFERROR(VLOOKUP(Logs_reseau[[#This Row],[Cell_ID]],'[1]Registre_Maintenance_combine '!A:B,2,FALSE),"Non trouvé")</f>
        <v>Non trouvé</v>
      </c>
      <c r="B1853" t="s">
        <v>711</v>
      </c>
      <c r="C1853" s="3">
        <v>45217.944444444445</v>
      </c>
      <c r="D1853" s="11">
        <f>Logs_reseau[[#This Row],[Duree_Panne_Min]]/1440</f>
        <v>2.2916666666666665E-2</v>
      </c>
      <c r="E1853">
        <v>33</v>
      </c>
      <c r="F1853" t="s">
        <v>1</v>
      </c>
      <c r="G1853" t="str">
        <f>IFERROR(VLOOKUP(Logs_reseau[[#This Row],[Cell_ID]],'[1]Registre_Maintenance_combine '!A:C,3,FALSE),"Non trouvé")</f>
        <v>Non trouvé</v>
      </c>
      <c r="H1853" t="str">
        <f>IFERROR(VLOOKUP(Logs_reseau[[#This Row],[Cell_ID]],'[1]Registre_Maintenance_combine '!A:D,4,FALSE),"Non trouvé")</f>
        <v>Non trouvé</v>
      </c>
      <c r="I1853" t="str">
        <f>IFERROR(VLOOKUP(Logs_reseau[[#This Row],[Cell_ID]],'[1]Registre_Maintenance_combine '!A:E,5,FALSE),"Non trouvé")</f>
        <v>Non trouvé</v>
      </c>
      <c r="J1853" t="str">
        <f>IFERROR(VLOOKUP(Logs_reseau[[#This Row],[Cell_ID]],'[1]Registre_Maintenance_combine '!A:F,6,FALSE),"Non trouvé")</f>
        <v>Non trouvé</v>
      </c>
    </row>
    <row r="1854" spans="1:10" x14ac:dyDescent="0.25">
      <c r="A1854" t="str">
        <f>IFERROR(VLOOKUP(Logs_reseau[[#This Row],[Cell_ID]],'[1]Registre_Maintenance_combine '!A:B,2,FALSE),"Non trouvé")</f>
        <v>Non trouvé</v>
      </c>
      <c r="B1854" t="s">
        <v>562</v>
      </c>
      <c r="C1854" s="3">
        <v>45210.921527777777</v>
      </c>
      <c r="D1854" s="11">
        <f>Logs_reseau[[#This Row],[Duree_Panne_Min]]/1440</f>
        <v>5.9722222222222225E-2</v>
      </c>
      <c r="E1854">
        <v>86</v>
      </c>
      <c r="F1854" t="s">
        <v>2</v>
      </c>
      <c r="G1854" t="str">
        <f>IFERROR(VLOOKUP(Logs_reseau[[#This Row],[Cell_ID]],'[1]Registre_Maintenance_combine '!A:C,3,FALSE),"Non trouvé")</f>
        <v>Non trouvé</v>
      </c>
      <c r="H1854" t="str">
        <f>IFERROR(VLOOKUP(Logs_reseau[[#This Row],[Cell_ID]],'[1]Registre_Maintenance_combine '!A:D,4,FALSE),"Non trouvé")</f>
        <v>Non trouvé</v>
      </c>
      <c r="I1854" t="str">
        <f>IFERROR(VLOOKUP(Logs_reseau[[#This Row],[Cell_ID]],'[1]Registre_Maintenance_combine '!A:E,5,FALSE),"Non trouvé")</f>
        <v>Non trouvé</v>
      </c>
      <c r="J1854" t="str">
        <f>IFERROR(VLOOKUP(Logs_reseau[[#This Row],[Cell_ID]],'[1]Registre_Maintenance_combine '!A:F,6,FALSE),"Non trouvé")</f>
        <v>Non trouvé</v>
      </c>
    </row>
    <row r="1855" spans="1:10" x14ac:dyDescent="0.25">
      <c r="A1855" t="str">
        <f>IFERROR(VLOOKUP(Logs_reseau[[#This Row],[Cell_ID]],'[1]Registre_Maintenance_combine '!A:B,2,FALSE),"Non trouvé")</f>
        <v>Lomami</v>
      </c>
      <c r="B1855" t="s">
        <v>212</v>
      </c>
      <c r="C1855" s="3">
        <v>45224.482638888891</v>
      </c>
      <c r="D1855" s="11">
        <f>Logs_reseau[[#This Row],[Duree_Panne_Min]]/1440</f>
        <v>6.5972222222222224E-2</v>
      </c>
      <c r="E1855">
        <v>95</v>
      </c>
      <c r="F1855" t="s">
        <v>2</v>
      </c>
      <c r="G1855">
        <f>IFERROR(VLOOKUP(Logs_reseau[[#This Row],[Cell_ID]],'[1]Registre_Maintenance_combine '!A:C,3,FALSE),"Non trouvé")</f>
        <v>-2.2371569999999998</v>
      </c>
      <c r="H1855">
        <f>IFERROR(VLOOKUP(Logs_reseau[[#This Row],[Cell_ID]],'[1]Registre_Maintenance_combine '!A:D,4,FALSE),"Non trouvé")</f>
        <v>25.926188</v>
      </c>
      <c r="I1855" t="str">
        <f>IFERROR(VLOOKUP(Logs_reseau[[#This Row],[Cell_ID]],'[1]Registre_Maintenance_combine '!A:E,5,FALSE),"Non trouvé")</f>
        <v>3G</v>
      </c>
      <c r="J1855" t="str">
        <f>IFERROR(VLOOKUP(Logs_reseau[[#This Row],[Cell_ID]],'[1]Registre_Maintenance_combine '!A:F,6,FALSE),"Non trouvé")</f>
        <v>Nokia</v>
      </c>
    </row>
    <row r="1856" spans="1:10" x14ac:dyDescent="0.25">
      <c r="A1856" t="str">
        <f>IFERROR(VLOOKUP(Logs_reseau[[#This Row],[Cell_ID]],'[1]Registre_Maintenance_combine '!A:B,2,FALSE),"Non trouvé")</f>
        <v>Tshopo</v>
      </c>
      <c r="B1856" t="s">
        <v>480</v>
      </c>
      <c r="C1856" s="3">
        <v>45215.775000000001</v>
      </c>
      <c r="D1856" s="11">
        <f>Logs_reseau[[#This Row],[Duree_Panne_Min]]/1440</f>
        <v>6.5972222222222224E-2</v>
      </c>
      <c r="E1856">
        <v>95</v>
      </c>
      <c r="F1856" t="s">
        <v>2</v>
      </c>
      <c r="G1856">
        <f>IFERROR(VLOOKUP(Logs_reseau[[#This Row],[Cell_ID]],'[1]Registre_Maintenance_combine '!A:C,3,FALSE),"Non trouvé")</f>
        <v>-0.85624699999999998</v>
      </c>
      <c r="H1856">
        <f>IFERROR(VLOOKUP(Logs_reseau[[#This Row],[Cell_ID]],'[1]Registre_Maintenance_combine '!A:D,4,FALSE),"Non trouvé")</f>
        <v>28.624870000000001</v>
      </c>
      <c r="I1856" t="str">
        <f>IFERROR(VLOOKUP(Logs_reseau[[#This Row],[Cell_ID]],'[1]Registre_Maintenance_combine '!A:E,5,FALSE),"Non trouvé")</f>
        <v>3G</v>
      </c>
      <c r="J1856" t="str">
        <f>IFERROR(VLOOKUP(Logs_reseau[[#This Row],[Cell_ID]],'[1]Registre_Maintenance_combine '!A:F,6,FALSE),"Non trouvé")</f>
        <v>Ericsson</v>
      </c>
    </row>
    <row r="1857" spans="1:10" x14ac:dyDescent="0.25">
      <c r="A1857" t="str">
        <f>IFERROR(VLOOKUP(Logs_reseau[[#This Row],[Cell_ID]],'[1]Registre_Maintenance_combine '!A:B,2,FALSE),"Non trouvé")</f>
        <v>Non trouvé</v>
      </c>
      <c r="B1857" t="s">
        <v>668</v>
      </c>
      <c r="C1857" s="3">
        <v>45230.90625</v>
      </c>
      <c r="D1857" s="11">
        <f>Logs_reseau[[#This Row],[Duree_Panne_Min]]/1440</f>
        <v>6.0416666666666667E-2</v>
      </c>
      <c r="E1857">
        <v>87</v>
      </c>
      <c r="F1857" t="s">
        <v>1</v>
      </c>
      <c r="G1857" t="str">
        <f>IFERROR(VLOOKUP(Logs_reseau[[#This Row],[Cell_ID]],'[1]Registre_Maintenance_combine '!A:C,3,FALSE),"Non trouvé")</f>
        <v>Non trouvé</v>
      </c>
      <c r="H1857" t="str">
        <f>IFERROR(VLOOKUP(Logs_reseau[[#This Row],[Cell_ID]],'[1]Registre_Maintenance_combine '!A:D,4,FALSE),"Non trouvé")</f>
        <v>Non trouvé</v>
      </c>
      <c r="I1857" t="str">
        <f>IFERROR(VLOOKUP(Logs_reseau[[#This Row],[Cell_ID]],'[1]Registre_Maintenance_combine '!A:E,5,FALSE),"Non trouvé")</f>
        <v>Non trouvé</v>
      </c>
      <c r="J1857" t="str">
        <f>IFERROR(VLOOKUP(Logs_reseau[[#This Row],[Cell_ID]],'[1]Registre_Maintenance_combine '!A:F,6,FALSE),"Non trouvé")</f>
        <v>Non trouvé</v>
      </c>
    </row>
    <row r="1858" spans="1:10" x14ac:dyDescent="0.25">
      <c r="A1858" t="str">
        <f>IFERROR(VLOOKUP(Logs_reseau[[#This Row],[Cell_ID]],'[1]Registre_Maintenance_combine '!A:B,2,FALSE),"Non trouvé")</f>
        <v>Nord-Kivu</v>
      </c>
      <c r="B1858" t="s">
        <v>684</v>
      </c>
      <c r="C1858" s="3">
        <v>45213.907638888886</v>
      </c>
      <c r="D1858" s="11">
        <f>Logs_reseau[[#This Row],[Duree_Panne_Min]]/1440</f>
        <v>3.6111111111111108E-2</v>
      </c>
      <c r="E1858">
        <v>52</v>
      </c>
      <c r="F1858" t="s">
        <v>1</v>
      </c>
      <c r="G1858">
        <f>IFERROR(VLOOKUP(Logs_reseau[[#This Row],[Cell_ID]],'[1]Registre_Maintenance_combine '!A:C,3,FALSE),"Non trouvé")</f>
        <v>-10.298385</v>
      </c>
      <c r="H1858">
        <f>IFERROR(VLOOKUP(Logs_reseau[[#This Row],[Cell_ID]],'[1]Registre_Maintenance_combine '!A:D,4,FALSE),"Non trouvé")</f>
        <v>29.698117</v>
      </c>
      <c r="I1858" t="str">
        <f>IFERROR(VLOOKUP(Logs_reseau[[#This Row],[Cell_ID]],'[1]Registre_Maintenance_combine '!A:E,5,FALSE),"Non trouvé")</f>
        <v>5G</v>
      </c>
      <c r="J1858" t="str">
        <f>IFERROR(VLOOKUP(Logs_reseau[[#This Row],[Cell_ID]],'[1]Registre_Maintenance_combine '!A:F,6,FALSE),"Non trouvé")</f>
        <v>Nokia</v>
      </c>
    </row>
    <row r="1859" spans="1:10" x14ac:dyDescent="0.25">
      <c r="A1859" t="str">
        <f>IFERROR(VLOOKUP(Logs_reseau[[#This Row],[Cell_ID]],'[1]Registre_Maintenance_combine '!A:B,2,FALSE),"Non trouvé")</f>
        <v>Non trouvé</v>
      </c>
      <c r="B1859" t="s">
        <v>598</v>
      </c>
      <c r="C1859" s="3">
        <v>45228.720833333333</v>
      </c>
      <c r="D1859" s="11">
        <f>Logs_reseau[[#This Row],[Duree_Panne_Min]]/1440</f>
        <v>7.013888888888889E-2</v>
      </c>
      <c r="E1859">
        <v>101</v>
      </c>
      <c r="F1859" t="s">
        <v>2</v>
      </c>
      <c r="G1859" t="str">
        <f>IFERROR(VLOOKUP(Logs_reseau[[#This Row],[Cell_ID]],'[1]Registre_Maintenance_combine '!A:C,3,FALSE),"Non trouvé")</f>
        <v>Non trouvé</v>
      </c>
      <c r="H1859" t="str">
        <f>IFERROR(VLOOKUP(Logs_reseau[[#This Row],[Cell_ID]],'[1]Registre_Maintenance_combine '!A:D,4,FALSE),"Non trouvé")</f>
        <v>Non trouvé</v>
      </c>
      <c r="I1859" t="str">
        <f>IFERROR(VLOOKUP(Logs_reseau[[#This Row],[Cell_ID]],'[1]Registre_Maintenance_combine '!A:E,5,FALSE),"Non trouvé")</f>
        <v>Non trouvé</v>
      </c>
      <c r="J1859" t="str">
        <f>IFERROR(VLOOKUP(Logs_reseau[[#This Row],[Cell_ID]],'[1]Registre_Maintenance_combine '!A:F,6,FALSE),"Non trouvé")</f>
        <v>Non trouvé</v>
      </c>
    </row>
    <row r="1860" spans="1:10" x14ac:dyDescent="0.25">
      <c r="A1860" t="str">
        <f>IFERROR(VLOOKUP(Logs_reseau[[#This Row],[Cell_ID]],'[1]Registre_Maintenance_combine '!A:B,2,FALSE),"Non trouvé")</f>
        <v>Haut-Uele</v>
      </c>
      <c r="B1860" t="s">
        <v>319</v>
      </c>
      <c r="C1860" s="3">
        <v>45228.57708333333</v>
      </c>
      <c r="D1860" s="11">
        <f>Logs_reseau[[#This Row],[Duree_Panne_Min]]/1440</f>
        <v>5.5555555555555552E-2</v>
      </c>
      <c r="E1860">
        <v>80</v>
      </c>
      <c r="F1860" t="s">
        <v>4</v>
      </c>
      <c r="G1860">
        <f>IFERROR(VLOOKUP(Logs_reseau[[#This Row],[Cell_ID]],'[1]Registre_Maintenance_combine '!A:C,3,FALSE),"Non trouvé")</f>
        <v>-1.8045979999999999</v>
      </c>
      <c r="H1860">
        <f>IFERROR(VLOOKUP(Logs_reseau[[#This Row],[Cell_ID]],'[1]Registre_Maintenance_combine '!A:D,4,FALSE),"Non trouvé")</f>
        <v>12.511096999999999</v>
      </c>
      <c r="I1860" t="str">
        <f>IFERROR(VLOOKUP(Logs_reseau[[#This Row],[Cell_ID]],'[1]Registre_Maintenance_combine '!A:E,5,FALSE),"Non trouvé")</f>
        <v>3G</v>
      </c>
      <c r="J1860" t="str">
        <f>IFERROR(VLOOKUP(Logs_reseau[[#This Row],[Cell_ID]],'[1]Registre_Maintenance_combine '!A:F,6,FALSE),"Non trouvé")</f>
        <v>Huawei</v>
      </c>
    </row>
    <row r="1861" spans="1:10" x14ac:dyDescent="0.25">
      <c r="A1861" t="str">
        <f>IFERROR(VLOOKUP(Logs_reseau[[#This Row],[Cell_ID]],'[1]Registre_Maintenance_combine '!A:B,2,FALSE),"Non trouvé")</f>
        <v>Ituri</v>
      </c>
      <c r="B1861" t="s">
        <v>712</v>
      </c>
      <c r="C1861" s="3">
        <v>45200.67083333333</v>
      </c>
      <c r="D1861" s="11">
        <f>Logs_reseau[[#This Row],[Duree_Panne_Min]]/1440</f>
        <v>5.1388888888888887E-2</v>
      </c>
      <c r="E1861">
        <v>74</v>
      </c>
      <c r="F1861" t="s">
        <v>4</v>
      </c>
      <c r="G1861">
        <f>IFERROR(VLOOKUP(Logs_reseau[[#This Row],[Cell_ID]],'[1]Registre_Maintenance_combine '!A:C,3,FALSE),"Non trouvé")</f>
        <v>-4.6426759999999998</v>
      </c>
      <c r="H1861">
        <f>IFERROR(VLOOKUP(Logs_reseau[[#This Row],[Cell_ID]],'[1]Registre_Maintenance_combine '!A:D,4,FALSE),"Non trouvé")</f>
        <v>22.124254000000001</v>
      </c>
      <c r="I1861" t="str">
        <f>IFERROR(VLOOKUP(Logs_reseau[[#This Row],[Cell_ID]],'[1]Registre_Maintenance_combine '!A:E,5,FALSE),"Non trouvé")</f>
        <v>4G</v>
      </c>
      <c r="J1861" t="str">
        <f>IFERROR(VLOOKUP(Logs_reseau[[#This Row],[Cell_ID]],'[1]Registre_Maintenance_combine '!A:F,6,FALSE),"Non trouvé")</f>
        <v>ZTE</v>
      </c>
    </row>
    <row r="1862" spans="1:10" x14ac:dyDescent="0.25">
      <c r="A1862" t="str">
        <f>IFERROR(VLOOKUP(Logs_reseau[[#This Row],[Cell_ID]],'[1]Registre_Maintenance_combine '!A:B,2,FALSE),"Non trouvé")</f>
        <v>Haut-Katanga</v>
      </c>
      <c r="B1862" t="s">
        <v>584</v>
      </c>
      <c r="C1862" s="3">
        <v>45200.506249999999</v>
      </c>
      <c r="D1862" s="11">
        <f>Logs_reseau[[#This Row],[Duree_Panne_Min]]/1440</f>
        <v>6.8750000000000006E-2</v>
      </c>
      <c r="E1862">
        <v>99</v>
      </c>
      <c r="F1862" t="s">
        <v>1</v>
      </c>
      <c r="G1862">
        <f>IFERROR(VLOOKUP(Logs_reseau[[#This Row],[Cell_ID]],'[1]Registre_Maintenance_combine '!A:C,3,FALSE),"Non trouvé")</f>
        <v>-10.945031</v>
      </c>
      <c r="H1862">
        <f>IFERROR(VLOOKUP(Logs_reseau[[#This Row],[Cell_ID]],'[1]Registre_Maintenance_combine '!A:D,4,FALSE),"Non trouvé")</f>
        <v>27.922274000000002</v>
      </c>
      <c r="I1862" t="str">
        <f>IFERROR(VLOOKUP(Logs_reseau[[#This Row],[Cell_ID]],'[1]Registre_Maintenance_combine '!A:E,5,FALSE),"Non trouvé")</f>
        <v>4G</v>
      </c>
      <c r="J1862" t="str">
        <f>IFERROR(VLOOKUP(Logs_reseau[[#This Row],[Cell_ID]],'[1]Registre_Maintenance_combine '!A:F,6,FALSE),"Non trouvé")</f>
        <v>Ericsson</v>
      </c>
    </row>
    <row r="1863" spans="1:10" x14ac:dyDescent="0.25">
      <c r="A1863" t="str">
        <f>IFERROR(VLOOKUP(Logs_reseau[[#This Row],[Cell_ID]],'[1]Registre_Maintenance_combine '!A:B,2,FALSE),"Non trouvé")</f>
        <v>Nord-Kivu</v>
      </c>
      <c r="B1863" t="s">
        <v>336</v>
      </c>
      <c r="C1863" s="3">
        <v>45201.877083333333</v>
      </c>
      <c r="D1863" s="11">
        <f>Logs_reseau[[#This Row],[Duree_Panne_Min]]/1440</f>
        <v>5.6944444444444443E-2</v>
      </c>
      <c r="E1863">
        <v>82</v>
      </c>
      <c r="F1863" t="s">
        <v>4</v>
      </c>
      <c r="G1863">
        <f>IFERROR(VLOOKUP(Logs_reseau[[#This Row],[Cell_ID]],'[1]Registre_Maintenance_combine '!A:C,3,FALSE),"Non trouvé")</f>
        <v>-12.336202</v>
      </c>
      <c r="H1863">
        <f>IFERROR(VLOOKUP(Logs_reseau[[#This Row],[Cell_ID]],'[1]Registre_Maintenance_combine '!A:D,4,FALSE),"Non trouvé")</f>
        <v>13.693683999999999</v>
      </c>
      <c r="I1863" t="str">
        <f>IFERROR(VLOOKUP(Logs_reseau[[#This Row],[Cell_ID]],'[1]Registre_Maintenance_combine '!A:E,5,FALSE),"Non trouvé")</f>
        <v>5G</v>
      </c>
      <c r="J1863" t="str">
        <f>IFERROR(VLOOKUP(Logs_reseau[[#This Row],[Cell_ID]],'[1]Registre_Maintenance_combine '!A:F,6,FALSE),"Non trouvé")</f>
        <v>Huawei</v>
      </c>
    </row>
    <row r="1864" spans="1:10" x14ac:dyDescent="0.25">
      <c r="A1864" t="str">
        <f>IFERROR(VLOOKUP(Logs_reseau[[#This Row],[Cell_ID]],'[1]Registre_Maintenance_combine '!A:B,2,FALSE),"Non trouvé")</f>
        <v>Non trouvé</v>
      </c>
      <c r="B1864" t="s">
        <v>713</v>
      </c>
      <c r="C1864" s="3">
        <v>45206.366666666669</v>
      </c>
      <c r="D1864" s="11">
        <f>Logs_reseau[[#This Row],[Duree_Panne_Min]]/1440</f>
        <v>2.0833333333333332E-2</v>
      </c>
      <c r="E1864">
        <v>30</v>
      </c>
      <c r="F1864" t="s">
        <v>4</v>
      </c>
      <c r="G1864" t="str">
        <f>IFERROR(VLOOKUP(Logs_reseau[[#This Row],[Cell_ID]],'[1]Registre_Maintenance_combine '!A:C,3,FALSE),"Non trouvé")</f>
        <v>Non trouvé</v>
      </c>
      <c r="H1864" t="str">
        <f>IFERROR(VLOOKUP(Logs_reseau[[#This Row],[Cell_ID]],'[1]Registre_Maintenance_combine '!A:D,4,FALSE),"Non trouvé")</f>
        <v>Non trouvé</v>
      </c>
      <c r="I1864" t="str">
        <f>IFERROR(VLOOKUP(Logs_reseau[[#This Row],[Cell_ID]],'[1]Registre_Maintenance_combine '!A:E,5,FALSE),"Non trouvé")</f>
        <v>Non trouvé</v>
      </c>
      <c r="J1864" t="str">
        <f>IFERROR(VLOOKUP(Logs_reseau[[#This Row],[Cell_ID]],'[1]Registre_Maintenance_combine '!A:F,6,FALSE),"Non trouvé")</f>
        <v>Non trouvé</v>
      </c>
    </row>
    <row r="1865" spans="1:10" x14ac:dyDescent="0.25">
      <c r="A1865" t="str">
        <f>IFERROR(VLOOKUP(Logs_reseau[[#This Row],[Cell_ID]],'[1]Registre_Maintenance_combine '!A:B,2,FALSE),"Non trouvé")</f>
        <v>Kasai-Central</v>
      </c>
      <c r="B1865" t="s">
        <v>76</v>
      </c>
      <c r="C1865" s="3">
        <v>45225.220833333333</v>
      </c>
      <c r="D1865" s="11">
        <f>Logs_reseau[[#This Row],[Duree_Panne_Min]]/1440</f>
        <v>7.2222222222222215E-2</v>
      </c>
      <c r="E1865">
        <v>104</v>
      </c>
      <c r="F1865" t="s">
        <v>2</v>
      </c>
      <c r="G1865">
        <f>IFERROR(VLOOKUP(Logs_reseau[[#This Row],[Cell_ID]],'[1]Registre_Maintenance_combine '!A:C,3,FALSE),"Non trouvé")</f>
        <v>-8.0800809999999998</v>
      </c>
      <c r="H1865">
        <f>IFERROR(VLOOKUP(Logs_reseau[[#This Row],[Cell_ID]],'[1]Registre_Maintenance_combine '!A:D,4,FALSE),"Non trouvé")</f>
        <v>30.147970999999998</v>
      </c>
      <c r="I1865" t="str">
        <f>IFERROR(VLOOKUP(Logs_reseau[[#This Row],[Cell_ID]],'[1]Registre_Maintenance_combine '!A:E,5,FALSE),"Non trouvé")</f>
        <v>5G</v>
      </c>
      <c r="J1865" t="str">
        <f>IFERROR(VLOOKUP(Logs_reseau[[#This Row],[Cell_ID]],'[1]Registre_Maintenance_combine '!A:F,6,FALSE),"Non trouvé")</f>
        <v>Huawei</v>
      </c>
    </row>
    <row r="1866" spans="1:10" x14ac:dyDescent="0.25">
      <c r="A1866" t="str">
        <f>IFERROR(VLOOKUP(Logs_reseau[[#This Row],[Cell_ID]],'[1]Registre_Maintenance_combine '!A:B,2,FALSE),"Non trouvé")</f>
        <v>Non trouvé</v>
      </c>
      <c r="B1866" t="s">
        <v>603</v>
      </c>
      <c r="C1866" s="3">
        <v>45221.339583333334</v>
      </c>
      <c r="D1866" s="11">
        <f>Logs_reseau[[#This Row],[Duree_Panne_Min]]/1440</f>
        <v>6.7361111111111108E-2</v>
      </c>
      <c r="E1866">
        <v>97</v>
      </c>
      <c r="F1866" t="s">
        <v>2</v>
      </c>
      <c r="G1866" t="str">
        <f>IFERROR(VLOOKUP(Logs_reseau[[#This Row],[Cell_ID]],'[1]Registre_Maintenance_combine '!A:C,3,FALSE),"Non trouvé")</f>
        <v>Non trouvé</v>
      </c>
      <c r="H1866" t="str">
        <f>IFERROR(VLOOKUP(Logs_reseau[[#This Row],[Cell_ID]],'[1]Registre_Maintenance_combine '!A:D,4,FALSE),"Non trouvé")</f>
        <v>Non trouvé</v>
      </c>
      <c r="I1866" t="str">
        <f>IFERROR(VLOOKUP(Logs_reseau[[#This Row],[Cell_ID]],'[1]Registre_Maintenance_combine '!A:E,5,FALSE),"Non trouvé")</f>
        <v>Non trouvé</v>
      </c>
      <c r="J1866" t="str">
        <f>IFERROR(VLOOKUP(Logs_reseau[[#This Row],[Cell_ID]],'[1]Registre_Maintenance_combine '!A:F,6,FALSE),"Non trouvé")</f>
        <v>Non trouvé</v>
      </c>
    </row>
    <row r="1867" spans="1:10" x14ac:dyDescent="0.25">
      <c r="A1867" t="str">
        <f>IFERROR(VLOOKUP(Logs_reseau[[#This Row],[Cell_ID]],'[1]Registre_Maintenance_combine '!A:B,2,FALSE),"Non trouvé")</f>
        <v>Non trouvé</v>
      </c>
      <c r="B1867" t="s">
        <v>714</v>
      </c>
      <c r="C1867" s="3">
        <v>45226.072222222225</v>
      </c>
      <c r="D1867" s="11">
        <f>Logs_reseau[[#This Row],[Duree_Panne_Min]]/1440</f>
        <v>2.013888888888889E-2</v>
      </c>
      <c r="E1867">
        <v>29</v>
      </c>
      <c r="F1867" t="s">
        <v>4</v>
      </c>
      <c r="G1867" t="str">
        <f>IFERROR(VLOOKUP(Logs_reseau[[#This Row],[Cell_ID]],'[1]Registre_Maintenance_combine '!A:C,3,FALSE),"Non trouvé")</f>
        <v>Non trouvé</v>
      </c>
      <c r="H1867" t="str">
        <f>IFERROR(VLOOKUP(Logs_reseau[[#This Row],[Cell_ID]],'[1]Registre_Maintenance_combine '!A:D,4,FALSE),"Non trouvé")</f>
        <v>Non trouvé</v>
      </c>
      <c r="I1867" t="str">
        <f>IFERROR(VLOOKUP(Logs_reseau[[#This Row],[Cell_ID]],'[1]Registre_Maintenance_combine '!A:E,5,FALSE),"Non trouvé")</f>
        <v>Non trouvé</v>
      </c>
      <c r="J1867" t="str">
        <f>IFERROR(VLOOKUP(Logs_reseau[[#This Row],[Cell_ID]],'[1]Registre_Maintenance_combine '!A:F,6,FALSE),"Non trouvé")</f>
        <v>Non trouvé</v>
      </c>
    </row>
    <row r="1868" spans="1:10" x14ac:dyDescent="0.25">
      <c r="A1868" t="str">
        <f>IFERROR(VLOOKUP(Logs_reseau[[#This Row],[Cell_ID]],'[1]Registre_Maintenance_combine '!A:B,2,FALSE),"Non trouvé")</f>
        <v>Non trouvé</v>
      </c>
      <c r="B1868" t="s">
        <v>632</v>
      </c>
      <c r="C1868" s="3">
        <v>45225.384027777778</v>
      </c>
      <c r="D1868" s="11">
        <f>Logs_reseau[[#This Row],[Duree_Panne_Min]]/1440</f>
        <v>2.9166666666666667E-2</v>
      </c>
      <c r="E1868">
        <v>42</v>
      </c>
      <c r="F1868" t="s">
        <v>1</v>
      </c>
      <c r="G1868" t="str">
        <f>IFERROR(VLOOKUP(Logs_reseau[[#This Row],[Cell_ID]],'[1]Registre_Maintenance_combine '!A:C,3,FALSE),"Non trouvé")</f>
        <v>Non trouvé</v>
      </c>
      <c r="H1868" t="str">
        <f>IFERROR(VLOOKUP(Logs_reseau[[#This Row],[Cell_ID]],'[1]Registre_Maintenance_combine '!A:D,4,FALSE),"Non trouvé")</f>
        <v>Non trouvé</v>
      </c>
      <c r="I1868" t="str">
        <f>IFERROR(VLOOKUP(Logs_reseau[[#This Row],[Cell_ID]],'[1]Registre_Maintenance_combine '!A:E,5,FALSE),"Non trouvé")</f>
        <v>Non trouvé</v>
      </c>
      <c r="J1868" t="str">
        <f>IFERROR(VLOOKUP(Logs_reseau[[#This Row],[Cell_ID]],'[1]Registre_Maintenance_combine '!A:F,6,FALSE),"Non trouvé")</f>
        <v>Non trouvé</v>
      </c>
    </row>
    <row r="1869" spans="1:10" x14ac:dyDescent="0.25">
      <c r="A1869" t="str">
        <f>IFERROR(VLOOKUP(Logs_reseau[[#This Row],[Cell_ID]],'[1]Registre_Maintenance_combine '!A:B,2,FALSE),"Non trouvé")</f>
        <v>Non trouvé</v>
      </c>
      <c r="B1869" t="s">
        <v>715</v>
      </c>
      <c r="C1869" s="3">
        <v>45224.709722222222</v>
      </c>
      <c r="D1869" s="11">
        <f>Logs_reseau[[#This Row],[Duree_Panne_Min]]/1440</f>
        <v>4.3055555555555555E-2</v>
      </c>
      <c r="E1869">
        <v>62</v>
      </c>
      <c r="F1869" t="s">
        <v>2</v>
      </c>
      <c r="G1869" t="str">
        <f>IFERROR(VLOOKUP(Logs_reseau[[#This Row],[Cell_ID]],'[1]Registre_Maintenance_combine '!A:C,3,FALSE),"Non trouvé")</f>
        <v>Non trouvé</v>
      </c>
      <c r="H1869" t="str">
        <f>IFERROR(VLOOKUP(Logs_reseau[[#This Row],[Cell_ID]],'[1]Registre_Maintenance_combine '!A:D,4,FALSE),"Non trouvé")</f>
        <v>Non trouvé</v>
      </c>
      <c r="I1869" t="str">
        <f>IFERROR(VLOOKUP(Logs_reseau[[#This Row],[Cell_ID]],'[1]Registre_Maintenance_combine '!A:E,5,FALSE),"Non trouvé")</f>
        <v>Non trouvé</v>
      </c>
      <c r="J1869" t="str">
        <f>IFERROR(VLOOKUP(Logs_reseau[[#This Row],[Cell_ID]],'[1]Registre_Maintenance_combine '!A:F,6,FALSE),"Non trouvé")</f>
        <v>Non trouvé</v>
      </c>
    </row>
    <row r="1870" spans="1:10" x14ac:dyDescent="0.25">
      <c r="A1870" t="str">
        <f>IFERROR(VLOOKUP(Logs_reseau[[#This Row],[Cell_ID]],'[1]Registre_Maintenance_combine '!A:B,2,FALSE),"Non trouvé")</f>
        <v>Equateur</v>
      </c>
      <c r="B1870" t="s">
        <v>716</v>
      </c>
      <c r="C1870" s="3">
        <v>45211.587500000001</v>
      </c>
      <c r="D1870" s="11">
        <f>Logs_reseau[[#This Row],[Duree_Panne_Min]]/1440</f>
        <v>1.8749999999999999E-2</v>
      </c>
      <c r="E1870">
        <v>27</v>
      </c>
      <c r="F1870" t="s">
        <v>4</v>
      </c>
      <c r="G1870">
        <f>IFERROR(VLOOKUP(Logs_reseau[[#This Row],[Cell_ID]],'[1]Registre_Maintenance_combine '!A:C,3,FALSE),"Non trouvé")</f>
        <v>-7.8215969999999997</v>
      </c>
      <c r="H1870">
        <f>IFERROR(VLOOKUP(Logs_reseau[[#This Row],[Cell_ID]],'[1]Registre_Maintenance_combine '!A:D,4,FALSE),"Non trouvé")</f>
        <v>26.797349000000001</v>
      </c>
      <c r="I1870" t="str">
        <f>IFERROR(VLOOKUP(Logs_reseau[[#This Row],[Cell_ID]],'[1]Registre_Maintenance_combine '!A:E,5,FALSE),"Non trouvé")</f>
        <v>3G</v>
      </c>
      <c r="J1870" t="str">
        <f>IFERROR(VLOOKUP(Logs_reseau[[#This Row],[Cell_ID]],'[1]Registre_Maintenance_combine '!A:F,6,FALSE),"Non trouvé")</f>
        <v>Ericsson</v>
      </c>
    </row>
    <row r="1871" spans="1:10" x14ac:dyDescent="0.25">
      <c r="A1871" t="str">
        <f>IFERROR(VLOOKUP(Logs_reseau[[#This Row],[Cell_ID]],'[1]Registre_Maintenance_combine '!A:B,2,FALSE),"Non trouvé")</f>
        <v>Non trouvé</v>
      </c>
      <c r="B1871" t="s">
        <v>717</v>
      </c>
      <c r="C1871" s="3">
        <v>45219.907638888886</v>
      </c>
      <c r="D1871" s="11">
        <f>Logs_reseau[[#This Row],[Duree_Panne_Min]]/1440</f>
        <v>6.3888888888888884E-2</v>
      </c>
      <c r="E1871">
        <v>92</v>
      </c>
      <c r="F1871" t="s">
        <v>2</v>
      </c>
      <c r="G1871" t="str">
        <f>IFERROR(VLOOKUP(Logs_reseau[[#This Row],[Cell_ID]],'[1]Registre_Maintenance_combine '!A:C,3,FALSE),"Non trouvé")</f>
        <v>Non trouvé</v>
      </c>
      <c r="H1871" t="str">
        <f>IFERROR(VLOOKUP(Logs_reseau[[#This Row],[Cell_ID]],'[1]Registre_Maintenance_combine '!A:D,4,FALSE),"Non trouvé")</f>
        <v>Non trouvé</v>
      </c>
      <c r="I1871" t="str">
        <f>IFERROR(VLOOKUP(Logs_reseau[[#This Row],[Cell_ID]],'[1]Registre_Maintenance_combine '!A:E,5,FALSE),"Non trouvé")</f>
        <v>Non trouvé</v>
      </c>
      <c r="J1871" t="str">
        <f>IFERROR(VLOOKUP(Logs_reseau[[#This Row],[Cell_ID]],'[1]Registre_Maintenance_combine '!A:F,6,FALSE),"Non trouvé")</f>
        <v>Non trouvé</v>
      </c>
    </row>
    <row r="1872" spans="1:10" x14ac:dyDescent="0.25">
      <c r="A1872" t="str">
        <f>IFERROR(VLOOKUP(Logs_reseau[[#This Row],[Cell_ID]],'[1]Registre_Maintenance_combine '!A:B,2,FALSE),"Non trouvé")</f>
        <v>Non trouvé</v>
      </c>
      <c r="B1872" t="s">
        <v>188</v>
      </c>
      <c r="C1872" s="3">
        <v>45217.324305555558</v>
      </c>
      <c r="D1872" s="11">
        <f>Logs_reseau[[#This Row],[Duree_Panne_Min]]/1440</f>
        <v>9.7222222222222224E-3</v>
      </c>
      <c r="E1872">
        <v>14</v>
      </c>
      <c r="F1872" t="s">
        <v>2</v>
      </c>
      <c r="G1872" t="str">
        <f>IFERROR(VLOOKUP(Logs_reseau[[#This Row],[Cell_ID]],'[1]Registre_Maintenance_combine '!A:C,3,FALSE),"Non trouvé")</f>
        <v>Non trouvé</v>
      </c>
      <c r="H1872" t="str">
        <f>IFERROR(VLOOKUP(Logs_reseau[[#This Row],[Cell_ID]],'[1]Registre_Maintenance_combine '!A:D,4,FALSE),"Non trouvé")</f>
        <v>Non trouvé</v>
      </c>
      <c r="I1872" t="str">
        <f>IFERROR(VLOOKUP(Logs_reseau[[#This Row],[Cell_ID]],'[1]Registre_Maintenance_combine '!A:E,5,FALSE),"Non trouvé")</f>
        <v>Non trouvé</v>
      </c>
      <c r="J1872" t="str">
        <f>IFERROR(VLOOKUP(Logs_reseau[[#This Row],[Cell_ID]],'[1]Registre_Maintenance_combine '!A:F,6,FALSE),"Non trouvé")</f>
        <v>Non trouvé</v>
      </c>
    </row>
    <row r="1873" spans="1:10" x14ac:dyDescent="0.25">
      <c r="A1873" t="str">
        <f>IFERROR(VLOOKUP(Logs_reseau[[#This Row],[Cell_ID]],'[1]Registre_Maintenance_combine '!A:B,2,FALSE),"Non trouvé")</f>
        <v>Tanganyika</v>
      </c>
      <c r="B1873" t="s">
        <v>295</v>
      </c>
      <c r="C1873" s="3">
        <v>45220.724999999999</v>
      </c>
      <c r="D1873" s="11">
        <f>Logs_reseau[[#This Row],[Duree_Panne_Min]]/1440</f>
        <v>1.9444444444444445E-2</v>
      </c>
      <c r="E1873">
        <v>28</v>
      </c>
      <c r="F1873" t="s">
        <v>4</v>
      </c>
      <c r="G1873">
        <f>IFERROR(VLOOKUP(Logs_reseau[[#This Row],[Cell_ID]],'[1]Registre_Maintenance_combine '!A:C,3,FALSE),"Non trouvé")</f>
        <v>-9.002459</v>
      </c>
      <c r="H1873">
        <f>IFERROR(VLOOKUP(Logs_reseau[[#This Row],[Cell_ID]],'[1]Registre_Maintenance_combine '!A:D,4,FALSE),"Non trouvé")</f>
        <v>25.182109000000001</v>
      </c>
      <c r="I1873" t="str">
        <f>IFERROR(VLOOKUP(Logs_reseau[[#This Row],[Cell_ID]],'[1]Registre_Maintenance_combine '!A:E,5,FALSE),"Non trouvé")</f>
        <v>5G</v>
      </c>
      <c r="J1873" t="str">
        <f>IFERROR(VLOOKUP(Logs_reseau[[#This Row],[Cell_ID]],'[1]Registre_Maintenance_combine '!A:F,6,FALSE),"Non trouvé")</f>
        <v>Huawei</v>
      </c>
    </row>
    <row r="1874" spans="1:10" x14ac:dyDescent="0.25">
      <c r="A1874" t="str">
        <f>IFERROR(VLOOKUP(Logs_reseau[[#This Row],[Cell_ID]],'[1]Registre_Maintenance_combine '!A:B,2,FALSE),"Non trouvé")</f>
        <v>Sankuru</v>
      </c>
      <c r="B1874" t="s">
        <v>71</v>
      </c>
      <c r="C1874" s="3">
        <v>45207.701388888891</v>
      </c>
      <c r="D1874" s="11">
        <f>Logs_reseau[[#This Row],[Duree_Panne_Min]]/1440</f>
        <v>1.8749999999999999E-2</v>
      </c>
      <c r="E1874">
        <v>27</v>
      </c>
      <c r="F1874" t="s">
        <v>4</v>
      </c>
      <c r="G1874">
        <f>IFERROR(VLOOKUP(Logs_reseau[[#This Row],[Cell_ID]],'[1]Registre_Maintenance_combine '!A:C,3,FALSE),"Non trouvé")</f>
        <v>-10.764815</v>
      </c>
      <c r="H1874">
        <f>IFERROR(VLOOKUP(Logs_reseau[[#This Row],[Cell_ID]],'[1]Registre_Maintenance_combine '!A:D,4,FALSE),"Non trouvé")</f>
        <v>14.602039</v>
      </c>
      <c r="I1874" t="str">
        <f>IFERROR(VLOOKUP(Logs_reseau[[#This Row],[Cell_ID]],'[1]Registre_Maintenance_combine '!A:E,5,FALSE),"Non trouvé")</f>
        <v>4G</v>
      </c>
      <c r="J1874" t="str">
        <f>IFERROR(VLOOKUP(Logs_reseau[[#This Row],[Cell_ID]],'[1]Registre_Maintenance_combine '!A:F,6,FALSE),"Non trouvé")</f>
        <v>Nokia</v>
      </c>
    </row>
    <row r="1875" spans="1:10" x14ac:dyDescent="0.25">
      <c r="A1875" t="str">
        <f>IFERROR(VLOOKUP(Logs_reseau[[#This Row],[Cell_ID]],'[1]Registre_Maintenance_combine '!A:B,2,FALSE),"Non trouvé")</f>
        <v>Non trouvé</v>
      </c>
      <c r="B1875" t="s">
        <v>198</v>
      </c>
      <c r="C1875" s="3">
        <v>45230.731944444444</v>
      </c>
      <c r="D1875" s="11">
        <f>Logs_reseau[[#This Row],[Duree_Panne_Min]]/1440</f>
        <v>3.6111111111111108E-2</v>
      </c>
      <c r="E1875">
        <v>52</v>
      </c>
      <c r="F1875" t="s">
        <v>1</v>
      </c>
      <c r="G1875" t="str">
        <f>IFERROR(VLOOKUP(Logs_reseau[[#This Row],[Cell_ID]],'[1]Registre_Maintenance_combine '!A:C,3,FALSE),"Non trouvé")</f>
        <v>Non trouvé</v>
      </c>
      <c r="H1875" t="str">
        <f>IFERROR(VLOOKUP(Logs_reseau[[#This Row],[Cell_ID]],'[1]Registre_Maintenance_combine '!A:D,4,FALSE),"Non trouvé")</f>
        <v>Non trouvé</v>
      </c>
      <c r="I1875" t="str">
        <f>IFERROR(VLOOKUP(Logs_reseau[[#This Row],[Cell_ID]],'[1]Registre_Maintenance_combine '!A:E,5,FALSE),"Non trouvé")</f>
        <v>Non trouvé</v>
      </c>
      <c r="J1875" t="str">
        <f>IFERROR(VLOOKUP(Logs_reseau[[#This Row],[Cell_ID]],'[1]Registre_Maintenance_combine '!A:F,6,FALSE),"Non trouvé")</f>
        <v>Non trouvé</v>
      </c>
    </row>
    <row r="1876" spans="1:10" x14ac:dyDescent="0.25">
      <c r="A1876" t="str">
        <f>IFERROR(VLOOKUP(Logs_reseau[[#This Row],[Cell_ID]],'[1]Registre_Maintenance_combine '!A:B,2,FALSE),"Non trouvé")</f>
        <v>Non trouvé</v>
      </c>
      <c r="B1876" t="s">
        <v>119</v>
      </c>
      <c r="C1876" s="3">
        <v>45200.836111111108</v>
      </c>
      <c r="D1876" s="11">
        <f>Logs_reseau[[#This Row],[Duree_Panne_Min]]/1440</f>
        <v>4.1666666666666666E-3</v>
      </c>
      <c r="E1876">
        <v>6</v>
      </c>
      <c r="F1876" t="s">
        <v>1</v>
      </c>
      <c r="G1876" t="str">
        <f>IFERROR(VLOOKUP(Logs_reseau[[#This Row],[Cell_ID]],'[1]Registre_Maintenance_combine '!A:C,3,FALSE),"Non trouvé")</f>
        <v>Non trouvé</v>
      </c>
      <c r="H1876" t="str">
        <f>IFERROR(VLOOKUP(Logs_reseau[[#This Row],[Cell_ID]],'[1]Registre_Maintenance_combine '!A:D,4,FALSE),"Non trouvé")</f>
        <v>Non trouvé</v>
      </c>
      <c r="I1876" t="str">
        <f>IFERROR(VLOOKUP(Logs_reseau[[#This Row],[Cell_ID]],'[1]Registre_Maintenance_combine '!A:E,5,FALSE),"Non trouvé")</f>
        <v>Non trouvé</v>
      </c>
      <c r="J1876" t="str">
        <f>IFERROR(VLOOKUP(Logs_reseau[[#This Row],[Cell_ID]],'[1]Registre_Maintenance_combine '!A:F,6,FALSE),"Non trouvé")</f>
        <v>Non trouvé</v>
      </c>
    </row>
    <row r="1877" spans="1:10" x14ac:dyDescent="0.25">
      <c r="A1877" t="str">
        <f>IFERROR(VLOOKUP(Logs_reseau[[#This Row],[Cell_ID]],'[1]Registre_Maintenance_combine '!A:B,2,FALSE),"Non trouvé")</f>
        <v>Non trouvé</v>
      </c>
      <c r="B1877" t="s">
        <v>185</v>
      </c>
      <c r="C1877" s="3">
        <v>45206.902777777781</v>
      </c>
      <c r="D1877" s="11">
        <f>Logs_reseau[[#This Row],[Duree_Panne_Min]]/1440</f>
        <v>5.2083333333333336E-2</v>
      </c>
      <c r="E1877">
        <v>75</v>
      </c>
      <c r="F1877" t="s">
        <v>4</v>
      </c>
      <c r="G1877" t="str">
        <f>IFERROR(VLOOKUP(Logs_reseau[[#This Row],[Cell_ID]],'[1]Registre_Maintenance_combine '!A:C,3,FALSE),"Non trouvé")</f>
        <v>Non trouvé</v>
      </c>
      <c r="H1877" t="str">
        <f>IFERROR(VLOOKUP(Logs_reseau[[#This Row],[Cell_ID]],'[1]Registre_Maintenance_combine '!A:D,4,FALSE),"Non trouvé")</f>
        <v>Non trouvé</v>
      </c>
      <c r="I1877" t="str">
        <f>IFERROR(VLOOKUP(Logs_reseau[[#This Row],[Cell_ID]],'[1]Registre_Maintenance_combine '!A:E,5,FALSE),"Non trouvé")</f>
        <v>Non trouvé</v>
      </c>
      <c r="J1877" t="str">
        <f>IFERROR(VLOOKUP(Logs_reseau[[#This Row],[Cell_ID]],'[1]Registre_Maintenance_combine '!A:F,6,FALSE),"Non trouvé")</f>
        <v>Non trouvé</v>
      </c>
    </row>
    <row r="1878" spans="1:10" x14ac:dyDescent="0.25">
      <c r="A1878" t="str">
        <f>IFERROR(VLOOKUP(Logs_reseau[[#This Row],[Cell_ID]],'[1]Registre_Maintenance_combine '!A:B,2,FALSE),"Non trouvé")</f>
        <v>Non trouvé</v>
      </c>
      <c r="B1878" t="s">
        <v>464</v>
      </c>
      <c r="C1878" s="3">
        <v>45224.288194444445</v>
      </c>
      <c r="D1878" s="11">
        <f>Logs_reseau[[#This Row],[Duree_Panne_Min]]/1440</f>
        <v>8.0555555555555561E-2</v>
      </c>
      <c r="E1878">
        <v>116</v>
      </c>
      <c r="F1878" t="s">
        <v>4</v>
      </c>
      <c r="G1878" t="str">
        <f>IFERROR(VLOOKUP(Logs_reseau[[#This Row],[Cell_ID]],'[1]Registre_Maintenance_combine '!A:C,3,FALSE),"Non trouvé")</f>
        <v>Non trouvé</v>
      </c>
      <c r="H1878" t="str">
        <f>IFERROR(VLOOKUP(Logs_reseau[[#This Row],[Cell_ID]],'[1]Registre_Maintenance_combine '!A:D,4,FALSE),"Non trouvé")</f>
        <v>Non trouvé</v>
      </c>
      <c r="I1878" t="str">
        <f>IFERROR(VLOOKUP(Logs_reseau[[#This Row],[Cell_ID]],'[1]Registre_Maintenance_combine '!A:E,5,FALSE),"Non trouvé")</f>
        <v>Non trouvé</v>
      </c>
      <c r="J1878" t="str">
        <f>IFERROR(VLOOKUP(Logs_reseau[[#This Row],[Cell_ID]],'[1]Registre_Maintenance_combine '!A:F,6,FALSE),"Non trouvé")</f>
        <v>Non trouvé</v>
      </c>
    </row>
    <row r="1879" spans="1:10" x14ac:dyDescent="0.25">
      <c r="A1879" t="str">
        <f>IFERROR(VLOOKUP(Logs_reseau[[#This Row],[Cell_ID]],'[1]Registre_Maintenance_combine '!A:B,2,FALSE),"Non trouvé")</f>
        <v>Non trouvé</v>
      </c>
      <c r="B1879" t="s">
        <v>365</v>
      </c>
      <c r="C1879" s="3">
        <v>45221.578472222223</v>
      </c>
      <c r="D1879" s="11">
        <f>Logs_reseau[[#This Row],[Duree_Panne_Min]]/1440</f>
        <v>5.2777777777777778E-2</v>
      </c>
      <c r="E1879">
        <v>76</v>
      </c>
      <c r="F1879" t="s">
        <v>4</v>
      </c>
      <c r="G1879" t="str">
        <f>IFERROR(VLOOKUP(Logs_reseau[[#This Row],[Cell_ID]],'[1]Registre_Maintenance_combine '!A:C,3,FALSE),"Non trouvé")</f>
        <v>Non trouvé</v>
      </c>
      <c r="H1879" t="str">
        <f>IFERROR(VLOOKUP(Logs_reseau[[#This Row],[Cell_ID]],'[1]Registre_Maintenance_combine '!A:D,4,FALSE),"Non trouvé")</f>
        <v>Non trouvé</v>
      </c>
      <c r="I1879" t="str">
        <f>IFERROR(VLOOKUP(Logs_reseau[[#This Row],[Cell_ID]],'[1]Registre_Maintenance_combine '!A:E,5,FALSE),"Non trouvé")</f>
        <v>Non trouvé</v>
      </c>
      <c r="J1879" t="str">
        <f>IFERROR(VLOOKUP(Logs_reseau[[#This Row],[Cell_ID]],'[1]Registre_Maintenance_combine '!A:F,6,FALSE),"Non trouvé")</f>
        <v>Non trouvé</v>
      </c>
    </row>
    <row r="1880" spans="1:10" x14ac:dyDescent="0.25">
      <c r="A1880" t="str">
        <f>IFERROR(VLOOKUP(Logs_reseau[[#This Row],[Cell_ID]],'[1]Registre_Maintenance_combine '!A:B,2,FALSE),"Non trouvé")</f>
        <v>Non trouvé</v>
      </c>
      <c r="B1880" t="s">
        <v>234</v>
      </c>
      <c r="C1880" s="3">
        <v>45203.273611111108</v>
      </c>
      <c r="D1880" s="11">
        <f>Logs_reseau[[#This Row],[Duree_Panne_Min]]/1440</f>
        <v>1.5972222222222221E-2</v>
      </c>
      <c r="E1880">
        <v>23</v>
      </c>
      <c r="F1880" t="s">
        <v>4</v>
      </c>
      <c r="G1880" t="str">
        <f>IFERROR(VLOOKUP(Logs_reseau[[#This Row],[Cell_ID]],'[1]Registre_Maintenance_combine '!A:C,3,FALSE),"Non trouvé")</f>
        <v>Non trouvé</v>
      </c>
      <c r="H1880" t="str">
        <f>IFERROR(VLOOKUP(Logs_reseau[[#This Row],[Cell_ID]],'[1]Registre_Maintenance_combine '!A:D,4,FALSE),"Non trouvé")</f>
        <v>Non trouvé</v>
      </c>
      <c r="I1880" t="str">
        <f>IFERROR(VLOOKUP(Logs_reseau[[#This Row],[Cell_ID]],'[1]Registre_Maintenance_combine '!A:E,5,FALSE),"Non trouvé")</f>
        <v>Non trouvé</v>
      </c>
      <c r="J1880" t="str">
        <f>IFERROR(VLOOKUP(Logs_reseau[[#This Row],[Cell_ID]],'[1]Registre_Maintenance_combine '!A:F,6,FALSE),"Non trouvé")</f>
        <v>Non trouvé</v>
      </c>
    </row>
    <row r="1881" spans="1:10" x14ac:dyDescent="0.25">
      <c r="A1881" t="str">
        <f>IFERROR(VLOOKUP(Logs_reseau[[#This Row],[Cell_ID]],'[1]Registre_Maintenance_combine '!A:B,2,FALSE),"Non trouvé")</f>
        <v>Non trouvé</v>
      </c>
      <c r="B1881" t="s">
        <v>718</v>
      </c>
      <c r="C1881" s="3">
        <v>45226.955555555556</v>
      </c>
      <c r="D1881" s="11">
        <f>Logs_reseau[[#This Row],[Duree_Panne_Min]]/1440</f>
        <v>1.3888888888888888E-2</v>
      </c>
      <c r="E1881">
        <v>20</v>
      </c>
      <c r="F1881" t="s">
        <v>2</v>
      </c>
      <c r="G1881" t="str">
        <f>IFERROR(VLOOKUP(Logs_reseau[[#This Row],[Cell_ID]],'[1]Registre_Maintenance_combine '!A:C,3,FALSE),"Non trouvé")</f>
        <v>Non trouvé</v>
      </c>
      <c r="H1881" t="str">
        <f>IFERROR(VLOOKUP(Logs_reseau[[#This Row],[Cell_ID]],'[1]Registre_Maintenance_combine '!A:D,4,FALSE),"Non trouvé")</f>
        <v>Non trouvé</v>
      </c>
      <c r="I1881" t="str">
        <f>IFERROR(VLOOKUP(Logs_reseau[[#This Row],[Cell_ID]],'[1]Registre_Maintenance_combine '!A:E,5,FALSE),"Non trouvé")</f>
        <v>Non trouvé</v>
      </c>
      <c r="J1881" t="str">
        <f>IFERROR(VLOOKUP(Logs_reseau[[#This Row],[Cell_ID]],'[1]Registre_Maintenance_combine '!A:F,6,FALSE),"Non trouvé")</f>
        <v>Non trouvé</v>
      </c>
    </row>
    <row r="1882" spans="1:10" x14ac:dyDescent="0.25">
      <c r="A1882" t="str">
        <f>IFERROR(VLOOKUP(Logs_reseau[[#This Row],[Cell_ID]],'[1]Registre_Maintenance_combine '!A:B,2,FALSE),"Non trouvé")</f>
        <v>Mai-Ndombe</v>
      </c>
      <c r="B1882" t="s">
        <v>57</v>
      </c>
      <c r="C1882" s="3">
        <v>45223.570138888892</v>
      </c>
      <c r="D1882" s="11">
        <f>Logs_reseau[[#This Row],[Duree_Panne_Min]]/1440</f>
        <v>6.9444444444444441E-3</v>
      </c>
      <c r="E1882">
        <v>10</v>
      </c>
      <c r="F1882" t="s">
        <v>2</v>
      </c>
      <c r="G1882">
        <f>IFERROR(VLOOKUP(Logs_reseau[[#This Row],[Cell_ID]],'[1]Registre_Maintenance_combine '!A:C,3,FALSE),"Non trouvé")</f>
        <v>-9.3652280000000001</v>
      </c>
      <c r="H1882">
        <f>IFERROR(VLOOKUP(Logs_reseau[[#This Row],[Cell_ID]],'[1]Registre_Maintenance_combine '!A:D,4,FALSE),"Non trouvé")</f>
        <v>18.674116000000001</v>
      </c>
      <c r="I1882" t="str">
        <f>IFERROR(VLOOKUP(Logs_reseau[[#This Row],[Cell_ID]],'[1]Registre_Maintenance_combine '!A:E,5,FALSE),"Non trouvé")</f>
        <v>4G</v>
      </c>
      <c r="J1882" t="str">
        <f>IFERROR(VLOOKUP(Logs_reseau[[#This Row],[Cell_ID]],'[1]Registre_Maintenance_combine '!A:F,6,FALSE),"Non trouvé")</f>
        <v>Huawei</v>
      </c>
    </row>
    <row r="1883" spans="1:10" x14ac:dyDescent="0.25">
      <c r="A1883" t="str">
        <f>IFERROR(VLOOKUP(Logs_reseau[[#This Row],[Cell_ID]],'[1]Registre_Maintenance_combine '!A:B,2,FALSE),"Non trouvé")</f>
        <v>Kasai-Oriental</v>
      </c>
      <c r="B1883" t="s">
        <v>454</v>
      </c>
      <c r="C1883" s="3">
        <v>45226.115972222222</v>
      </c>
      <c r="D1883" s="11">
        <f>Logs_reseau[[#This Row],[Duree_Panne_Min]]/1440</f>
        <v>3.472222222222222E-3</v>
      </c>
      <c r="E1883">
        <v>5</v>
      </c>
      <c r="F1883" t="s">
        <v>4</v>
      </c>
      <c r="G1883">
        <f>IFERROR(VLOOKUP(Logs_reseau[[#This Row],[Cell_ID]],'[1]Registre_Maintenance_combine '!A:C,3,FALSE),"Non trouvé")</f>
        <v>2.486888</v>
      </c>
      <c r="H1883">
        <f>IFERROR(VLOOKUP(Logs_reseau[[#This Row],[Cell_ID]],'[1]Registre_Maintenance_combine '!A:D,4,FALSE),"Non trouvé")</f>
        <v>23.798074</v>
      </c>
      <c r="I1883" t="str">
        <f>IFERROR(VLOOKUP(Logs_reseau[[#This Row],[Cell_ID]],'[1]Registre_Maintenance_combine '!A:E,5,FALSE),"Non trouvé")</f>
        <v>5G</v>
      </c>
      <c r="J1883" t="str">
        <f>IFERROR(VLOOKUP(Logs_reseau[[#This Row],[Cell_ID]],'[1]Registre_Maintenance_combine '!A:F,6,FALSE),"Non trouvé")</f>
        <v>ZTE</v>
      </c>
    </row>
    <row r="1884" spans="1:10" x14ac:dyDescent="0.25">
      <c r="A1884" t="str">
        <f>IFERROR(VLOOKUP(Logs_reseau[[#This Row],[Cell_ID]],'[1]Registre_Maintenance_combine '!A:B,2,FALSE),"Non trouvé")</f>
        <v>Kwilu</v>
      </c>
      <c r="B1884" t="s">
        <v>290</v>
      </c>
      <c r="C1884" s="3">
        <v>45221.167361111111</v>
      </c>
      <c r="D1884" s="11">
        <f>Logs_reseau[[#This Row],[Duree_Panne_Min]]/1440</f>
        <v>5.4166666666666669E-2</v>
      </c>
      <c r="E1884">
        <v>78</v>
      </c>
      <c r="F1884" t="s">
        <v>2</v>
      </c>
      <c r="G1884">
        <f>IFERROR(VLOOKUP(Logs_reseau[[#This Row],[Cell_ID]],'[1]Registre_Maintenance_combine '!A:C,3,FALSE),"Non trouvé")</f>
        <v>2.4741019999999998</v>
      </c>
      <c r="H1884">
        <f>IFERROR(VLOOKUP(Logs_reseau[[#This Row],[Cell_ID]],'[1]Registre_Maintenance_combine '!A:D,4,FALSE),"Non trouvé")</f>
        <v>29.297391000000001</v>
      </c>
      <c r="I1884" t="str">
        <f>IFERROR(VLOOKUP(Logs_reseau[[#This Row],[Cell_ID]],'[1]Registre_Maintenance_combine '!A:E,5,FALSE),"Non trouvé")</f>
        <v>4G</v>
      </c>
      <c r="J1884" t="str">
        <f>IFERROR(VLOOKUP(Logs_reseau[[#This Row],[Cell_ID]],'[1]Registre_Maintenance_combine '!A:F,6,FALSE),"Non trouvé")</f>
        <v>Ericsson</v>
      </c>
    </row>
    <row r="1885" spans="1:10" x14ac:dyDescent="0.25">
      <c r="A1885" t="str">
        <f>IFERROR(VLOOKUP(Logs_reseau[[#This Row],[Cell_ID]],'[1]Registre_Maintenance_combine '!A:B,2,FALSE),"Non trouvé")</f>
        <v>Non trouvé</v>
      </c>
      <c r="B1885" t="s">
        <v>562</v>
      </c>
      <c r="C1885" s="3">
        <v>45214.931250000001</v>
      </c>
      <c r="D1885" s="11">
        <f>Logs_reseau[[#This Row],[Duree_Panne_Min]]/1440</f>
        <v>5.6250000000000001E-2</v>
      </c>
      <c r="E1885">
        <v>81</v>
      </c>
      <c r="F1885" t="s">
        <v>2</v>
      </c>
      <c r="G1885" t="str">
        <f>IFERROR(VLOOKUP(Logs_reseau[[#This Row],[Cell_ID]],'[1]Registre_Maintenance_combine '!A:C,3,FALSE),"Non trouvé")</f>
        <v>Non trouvé</v>
      </c>
      <c r="H1885" t="str">
        <f>IFERROR(VLOOKUP(Logs_reseau[[#This Row],[Cell_ID]],'[1]Registre_Maintenance_combine '!A:D,4,FALSE),"Non trouvé")</f>
        <v>Non trouvé</v>
      </c>
      <c r="I1885" t="str">
        <f>IFERROR(VLOOKUP(Logs_reseau[[#This Row],[Cell_ID]],'[1]Registre_Maintenance_combine '!A:E,5,FALSE),"Non trouvé")</f>
        <v>Non trouvé</v>
      </c>
      <c r="J1885" t="str">
        <f>IFERROR(VLOOKUP(Logs_reseau[[#This Row],[Cell_ID]],'[1]Registre_Maintenance_combine '!A:F,6,FALSE),"Non trouvé")</f>
        <v>Non trouvé</v>
      </c>
    </row>
    <row r="1886" spans="1:10" x14ac:dyDescent="0.25">
      <c r="A1886" t="str">
        <f>IFERROR(VLOOKUP(Logs_reseau[[#This Row],[Cell_ID]],'[1]Registre_Maintenance_combine '!A:B,2,FALSE),"Non trouvé")</f>
        <v>Nord-Kivu</v>
      </c>
      <c r="B1886" t="s">
        <v>358</v>
      </c>
      <c r="C1886" s="3">
        <v>45201.086111111108</v>
      </c>
      <c r="D1886" s="11">
        <f>Logs_reseau[[#This Row],[Duree_Panne_Min]]/1440</f>
        <v>3.8194444444444448E-2</v>
      </c>
      <c r="E1886">
        <v>55</v>
      </c>
      <c r="F1886" t="s">
        <v>1</v>
      </c>
      <c r="G1886">
        <f>IFERROR(VLOOKUP(Logs_reseau[[#This Row],[Cell_ID]],'[1]Registre_Maintenance_combine '!A:C,3,FALSE),"Non trouvé")</f>
        <v>-1.8555980000000001</v>
      </c>
      <c r="H1886">
        <f>IFERROR(VLOOKUP(Logs_reseau[[#This Row],[Cell_ID]],'[1]Registre_Maintenance_combine '!A:D,4,FALSE),"Non trouvé")</f>
        <v>30.421918000000002</v>
      </c>
      <c r="I1886" t="str">
        <f>IFERROR(VLOOKUP(Logs_reseau[[#This Row],[Cell_ID]],'[1]Registre_Maintenance_combine '!A:E,5,FALSE),"Non trouvé")</f>
        <v>3G</v>
      </c>
      <c r="J1886" t="str">
        <f>IFERROR(VLOOKUP(Logs_reseau[[#This Row],[Cell_ID]],'[1]Registre_Maintenance_combine '!A:F,6,FALSE),"Non trouvé")</f>
        <v>ZTE</v>
      </c>
    </row>
    <row r="1887" spans="1:10" x14ac:dyDescent="0.25">
      <c r="A1887" t="str">
        <f>IFERROR(VLOOKUP(Logs_reseau[[#This Row],[Cell_ID]],'[1]Registre_Maintenance_combine '!A:B,2,FALSE),"Non trouvé")</f>
        <v>Non trouvé</v>
      </c>
      <c r="B1887" t="s">
        <v>436</v>
      </c>
      <c r="C1887" s="3">
        <v>45201.243055555555</v>
      </c>
      <c r="D1887" s="11">
        <f>Logs_reseau[[#This Row],[Duree_Panne_Min]]/1440</f>
        <v>5.0694444444444445E-2</v>
      </c>
      <c r="E1887">
        <v>73</v>
      </c>
      <c r="F1887" t="s">
        <v>2</v>
      </c>
      <c r="G1887" t="str">
        <f>IFERROR(VLOOKUP(Logs_reseau[[#This Row],[Cell_ID]],'[1]Registre_Maintenance_combine '!A:C,3,FALSE),"Non trouvé")</f>
        <v>Non trouvé</v>
      </c>
      <c r="H1887" t="str">
        <f>IFERROR(VLOOKUP(Logs_reseau[[#This Row],[Cell_ID]],'[1]Registre_Maintenance_combine '!A:D,4,FALSE),"Non trouvé")</f>
        <v>Non trouvé</v>
      </c>
      <c r="I1887" t="str">
        <f>IFERROR(VLOOKUP(Logs_reseau[[#This Row],[Cell_ID]],'[1]Registre_Maintenance_combine '!A:E,5,FALSE),"Non trouvé")</f>
        <v>Non trouvé</v>
      </c>
      <c r="J1887" t="str">
        <f>IFERROR(VLOOKUP(Logs_reseau[[#This Row],[Cell_ID]],'[1]Registre_Maintenance_combine '!A:F,6,FALSE),"Non trouvé")</f>
        <v>Non trouvé</v>
      </c>
    </row>
    <row r="1888" spans="1:10" x14ac:dyDescent="0.25">
      <c r="A1888" t="str">
        <f>IFERROR(VLOOKUP(Logs_reseau[[#This Row],[Cell_ID]],'[1]Registre_Maintenance_combine '!A:B,2,FALSE),"Non trouvé")</f>
        <v>Non trouvé</v>
      </c>
      <c r="B1888" t="s">
        <v>475</v>
      </c>
      <c r="C1888" s="3">
        <v>45208.711111111108</v>
      </c>
      <c r="D1888" s="11">
        <f>Logs_reseau[[#This Row],[Duree_Panne_Min]]/1440</f>
        <v>5.2083333333333336E-2</v>
      </c>
      <c r="E1888">
        <v>75</v>
      </c>
      <c r="F1888" t="s">
        <v>2</v>
      </c>
      <c r="G1888" t="str">
        <f>IFERROR(VLOOKUP(Logs_reseau[[#This Row],[Cell_ID]],'[1]Registre_Maintenance_combine '!A:C,3,FALSE),"Non trouvé")</f>
        <v>Non trouvé</v>
      </c>
      <c r="H1888" t="str">
        <f>IFERROR(VLOOKUP(Logs_reseau[[#This Row],[Cell_ID]],'[1]Registre_Maintenance_combine '!A:D,4,FALSE),"Non trouvé")</f>
        <v>Non trouvé</v>
      </c>
      <c r="I1888" t="str">
        <f>IFERROR(VLOOKUP(Logs_reseau[[#This Row],[Cell_ID]],'[1]Registre_Maintenance_combine '!A:E,5,FALSE),"Non trouvé")</f>
        <v>Non trouvé</v>
      </c>
      <c r="J1888" t="str">
        <f>IFERROR(VLOOKUP(Logs_reseau[[#This Row],[Cell_ID]],'[1]Registre_Maintenance_combine '!A:F,6,FALSE),"Non trouvé")</f>
        <v>Non trouvé</v>
      </c>
    </row>
    <row r="1889" spans="1:10" x14ac:dyDescent="0.25">
      <c r="A1889" t="str">
        <f>IFERROR(VLOOKUP(Logs_reseau[[#This Row],[Cell_ID]],'[1]Registre_Maintenance_combine '!A:B,2,FALSE),"Non trouvé")</f>
        <v>Nord-Kivu</v>
      </c>
      <c r="B1889" t="s">
        <v>358</v>
      </c>
      <c r="C1889" s="3">
        <v>45218.331944444442</v>
      </c>
      <c r="D1889" s="11">
        <f>Logs_reseau[[#This Row],[Duree_Panne_Min]]/1440</f>
        <v>1.0416666666666666E-2</v>
      </c>
      <c r="E1889">
        <v>15</v>
      </c>
      <c r="F1889" t="s">
        <v>4</v>
      </c>
      <c r="G1889">
        <f>IFERROR(VLOOKUP(Logs_reseau[[#This Row],[Cell_ID]],'[1]Registre_Maintenance_combine '!A:C,3,FALSE),"Non trouvé")</f>
        <v>-1.8555980000000001</v>
      </c>
      <c r="H1889">
        <f>IFERROR(VLOOKUP(Logs_reseau[[#This Row],[Cell_ID]],'[1]Registre_Maintenance_combine '!A:D,4,FALSE),"Non trouvé")</f>
        <v>30.421918000000002</v>
      </c>
      <c r="I1889" t="str">
        <f>IFERROR(VLOOKUP(Logs_reseau[[#This Row],[Cell_ID]],'[1]Registre_Maintenance_combine '!A:E,5,FALSE),"Non trouvé")</f>
        <v>3G</v>
      </c>
      <c r="J1889" t="str">
        <f>IFERROR(VLOOKUP(Logs_reseau[[#This Row],[Cell_ID]],'[1]Registre_Maintenance_combine '!A:F,6,FALSE),"Non trouvé")</f>
        <v>ZTE</v>
      </c>
    </row>
    <row r="1890" spans="1:10" x14ac:dyDescent="0.25">
      <c r="A1890" t="str">
        <f>IFERROR(VLOOKUP(Logs_reseau[[#This Row],[Cell_ID]],'[1]Registre_Maintenance_combine '!A:B,2,FALSE),"Non trouvé")</f>
        <v>Kasai-Central</v>
      </c>
      <c r="B1890" t="s">
        <v>76</v>
      </c>
      <c r="C1890" s="3">
        <v>45208.558333333334</v>
      </c>
      <c r="D1890" s="11">
        <f>Logs_reseau[[#This Row],[Duree_Panne_Min]]/1440</f>
        <v>3.0555555555555555E-2</v>
      </c>
      <c r="E1890">
        <v>44</v>
      </c>
      <c r="F1890" t="s">
        <v>4</v>
      </c>
      <c r="G1890">
        <f>IFERROR(VLOOKUP(Logs_reseau[[#This Row],[Cell_ID]],'[1]Registre_Maintenance_combine '!A:C,3,FALSE),"Non trouvé")</f>
        <v>-8.0800809999999998</v>
      </c>
      <c r="H1890">
        <f>IFERROR(VLOOKUP(Logs_reseau[[#This Row],[Cell_ID]],'[1]Registre_Maintenance_combine '!A:D,4,FALSE),"Non trouvé")</f>
        <v>30.147970999999998</v>
      </c>
      <c r="I1890" t="str">
        <f>IFERROR(VLOOKUP(Logs_reseau[[#This Row],[Cell_ID]],'[1]Registre_Maintenance_combine '!A:E,5,FALSE),"Non trouvé")</f>
        <v>5G</v>
      </c>
      <c r="J1890" t="str">
        <f>IFERROR(VLOOKUP(Logs_reseau[[#This Row],[Cell_ID]],'[1]Registre_Maintenance_combine '!A:F,6,FALSE),"Non trouvé")</f>
        <v>Huawei</v>
      </c>
    </row>
    <row r="1891" spans="1:10" x14ac:dyDescent="0.25">
      <c r="A1891" t="str">
        <f>IFERROR(VLOOKUP(Logs_reseau[[#This Row],[Cell_ID]],'[1]Registre_Maintenance_combine '!A:B,2,FALSE),"Non trouvé")</f>
        <v>Kasai-Oriental</v>
      </c>
      <c r="B1891" t="s">
        <v>476</v>
      </c>
      <c r="C1891" s="3">
        <v>45214.850694444445</v>
      </c>
      <c r="D1891" s="11">
        <f>Logs_reseau[[#This Row],[Duree_Panne_Min]]/1440</f>
        <v>2.1527777777777778E-2</v>
      </c>
      <c r="E1891">
        <v>31</v>
      </c>
      <c r="F1891" t="s">
        <v>4</v>
      </c>
      <c r="G1891">
        <f>IFERROR(VLOOKUP(Logs_reseau[[#This Row],[Cell_ID]],'[1]Registre_Maintenance_combine '!A:C,3,FALSE),"Non trouvé")</f>
        <v>-5.4073029999999997</v>
      </c>
      <c r="H1891">
        <f>IFERROR(VLOOKUP(Logs_reseau[[#This Row],[Cell_ID]],'[1]Registre_Maintenance_combine '!A:D,4,FALSE),"Non trouvé")</f>
        <v>29.762294000000001</v>
      </c>
      <c r="I1891" t="str">
        <f>IFERROR(VLOOKUP(Logs_reseau[[#This Row],[Cell_ID]],'[1]Registre_Maintenance_combine '!A:E,5,FALSE),"Non trouvé")</f>
        <v>3G</v>
      </c>
      <c r="J1891" t="str">
        <f>IFERROR(VLOOKUP(Logs_reseau[[#This Row],[Cell_ID]],'[1]Registre_Maintenance_combine '!A:F,6,FALSE),"Non trouvé")</f>
        <v>Ericsson</v>
      </c>
    </row>
    <row r="1892" spans="1:10" x14ac:dyDescent="0.25">
      <c r="A1892" t="str">
        <f>IFERROR(VLOOKUP(Logs_reseau[[#This Row],[Cell_ID]],'[1]Registre_Maintenance_combine '!A:B,2,FALSE),"Non trouvé")</f>
        <v>Non trouvé</v>
      </c>
      <c r="B1892" t="s">
        <v>464</v>
      </c>
      <c r="C1892" s="3">
        <v>45213.417361111111</v>
      </c>
      <c r="D1892" s="11">
        <f>Logs_reseau[[#This Row],[Duree_Panne_Min]]/1440</f>
        <v>6.9444444444444448E-2</v>
      </c>
      <c r="E1892">
        <v>100</v>
      </c>
      <c r="F1892" t="s">
        <v>1</v>
      </c>
      <c r="G1892" t="str">
        <f>IFERROR(VLOOKUP(Logs_reseau[[#This Row],[Cell_ID]],'[1]Registre_Maintenance_combine '!A:C,3,FALSE),"Non trouvé")</f>
        <v>Non trouvé</v>
      </c>
      <c r="H1892" t="str">
        <f>IFERROR(VLOOKUP(Logs_reseau[[#This Row],[Cell_ID]],'[1]Registre_Maintenance_combine '!A:D,4,FALSE),"Non trouvé")</f>
        <v>Non trouvé</v>
      </c>
      <c r="I1892" t="str">
        <f>IFERROR(VLOOKUP(Logs_reseau[[#This Row],[Cell_ID]],'[1]Registre_Maintenance_combine '!A:E,5,FALSE),"Non trouvé")</f>
        <v>Non trouvé</v>
      </c>
      <c r="J1892" t="str">
        <f>IFERROR(VLOOKUP(Logs_reseau[[#This Row],[Cell_ID]],'[1]Registre_Maintenance_combine '!A:F,6,FALSE),"Non trouvé")</f>
        <v>Non trouvé</v>
      </c>
    </row>
    <row r="1893" spans="1:10" x14ac:dyDescent="0.25">
      <c r="A1893" t="str">
        <f>IFERROR(VLOOKUP(Logs_reseau[[#This Row],[Cell_ID]],'[1]Registre_Maintenance_combine '!A:B,2,FALSE),"Non trouvé")</f>
        <v>Non trouvé</v>
      </c>
      <c r="B1893" t="s">
        <v>70</v>
      </c>
      <c r="C1893" s="3">
        <v>45212.879861111112</v>
      </c>
      <c r="D1893" s="11">
        <f>Logs_reseau[[#This Row],[Duree_Panne_Min]]/1440</f>
        <v>6.8750000000000006E-2</v>
      </c>
      <c r="E1893">
        <v>99</v>
      </c>
      <c r="F1893" t="s">
        <v>1</v>
      </c>
      <c r="G1893" t="str">
        <f>IFERROR(VLOOKUP(Logs_reseau[[#This Row],[Cell_ID]],'[1]Registre_Maintenance_combine '!A:C,3,FALSE),"Non trouvé")</f>
        <v>Non trouvé</v>
      </c>
      <c r="H1893" t="str">
        <f>IFERROR(VLOOKUP(Logs_reseau[[#This Row],[Cell_ID]],'[1]Registre_Maintenance_combine '!A:D,4,FALSE),"Non trouvé")</f>
        <v>Non trouvé</v>
      </c>
      <c r="I1893" t="str">
        <f>IFERROR(VLOOKUP(Logs_reseau[[#This Row],[Cell_ID]],'[1]Registre_Maintenance_combine '!A:E,5,FALSE),"Non trouvé")</f>
        <v>Non trouvé</v>
      </c>
      <c r="J1893" t="str">
        <f>IFERROR(VLOOKUP(Logs_reseau[[#This Row],[Cell_ID]],'[1]Registre_Maintenance_combine '!A:F,6,FALSE),"Non trouvé")</f>
        <v>Non trouvé</v>
      </c>
    </row>
    <row r="1894" spans="1:10" x14ac:dyDescent="0.25">
      <c r="A1894" t="str">
        <f>IFERROR(VLOOKUP(Logs_reseau[[#This Row],[Cell_ID]],'[1]Registre_Maintenance_combine '!A:B,2,FALSE),"Non trouvé")</f>
        <v>Sud-Kivu</v>
      </c>
      <c r="B1894" t="s">
        <v>446</v>
      </c>
      <c r="C1894" s="3">
        <v>45217.02847222222</v>
      </c>
      <c r="D1894" s="11">
        <f>Logs_reseau[[#This Row],[Duree_Panne_Min]]/1440</f>
        <v>8.3333333333333329E-2</v>
      </c>
      <c r="E1894">
        <v>120</v>
      </c>
      <c r="F1894" t="s">
        <v>4</v>
      </c>
      <c r="G1894">
        <f>IFERROR(VLOOKUP(Logs_reseau[[#This Row],[Cell_ID]],'[1]Registre_Maintenance_combine '!A:C,3,FALSE),"Non trouvé")</f>
        <v>-4.1694589999999998</v>
      </c>
      <c r="H1894">
        <f>IFERROR(VLOOKUP(Logs_reseau[[#This Row],[Cell_ID]],'[1]Registre_Maintenance_combine '!A:D,4,FALSE),"Non trouvé")</f>
        <v>23.376487000000001</v>
      </c>
      <c r="I1894" t="str">
        <f>IFERROR(VLOOKUP(Logs_reseau[[#This Row],[Cell_ID]],'[1]Registre_Maintenance_combine '!A:E,5,FALSE),"Non trouvé")</f>
        <v>3G</v>
      </c>
      <c r="J1894" t="str">
        <f>IFERROR(VLOOKUP(Logs_reseau[[#This Row],[Cell_ID]],'[1]Registre_Maintenance_combine '!A:F,6,FALSE),"Non trouvé")</f>
        <v>Nokia</v>
      </c>
    </row>
    <row r="1895" spans="1:10" x14ac:dyDescent="0.25">
      <c r="A1895" t="str">
        <f>IFERROR(VLOOKUP(Logs_reseau[[#This Row],[Cell_ID]],'[1]Registre_Maintenance_combine '!A:B,2,FALSE),"Non trouvé")</f>
        <v>Haut-Uele</v>
      </c>
      <c r="B1895" t="s">
        <v>102</v>
      </c>
      <c r="C1895" s="3">
        <v>45223.794444444444</v>
      </c>
      <c r="D1895" s="11">
        <f>Logs_reseau[[#This Row],[Duree_Panne_Min]]/1440</f>
        <v>6.7361111111111108E-2</v>
      </c>
      <c r="E1895">
        <v>97</v>
      </c>
      <c r="F1895" t="s">
        <v>1</v>
      </c>
      <c r="G1895">
        <f>IFERROR(VLOOKUP(Logs_reseau[[#This Row],[Cell_ID]],'[1]Registre_Maintenance_combine '!A:C,3,FALSE),"Non trouvé")</f>
        <v>1.0134879999999999</v>
      </c>
      <c r="H1895">
        <f>IFERROR(VLOOKUP(Logs_reseau[[#This Row],[Cell_ID]],'[1]Registre_Maintenance_combine '!A:D,4,FALSE),"Non trouvé")</f>
        <v>20.363515</v>
      </c>
      <c r="I1895" t="str">
        <f>IFERROR(VLOOKUP(Logs_reseau[[#This Row],[Cell_ID]],'[1]Registre_Maintenance_combine '!A:E,5,FALSE),"Non trouvé")</f>
        <v>4G</v>
      </c>
      <c r="J1895" t="str">
        <f>IFERROR(VLOOKUP(Logs_reseau[[#This Row],[Cell_ID]],'[1]Registre_Maintenance_combine '!A:F,6,FALSE),"Non trouvé")</f>
        <v>Nokia</v>
      </c>
    </row>
    <row r="1896" spans="1:10" x14ac:dyDescent="0.25">
      <c r="A1896" t="str">
        <f>IFERROR(VLOOKUP(Logs_reseau[[#This Row],[Cell_ID]],'[1]Registre_Maintenance_combine '!A:B,2,FALSE),"Non trouvé")</f>
        <v>Non trouvé</v>
      </c>
      <c r="B1896" t="s">
        <v>719</v>
      </c>
      <c r="C1896" s="3">
        <v>45224.984027777777</v>
      </c>
      <c r="D1896" s="11">
        <f>Logs_reseau[[#This Row],[Duree_Panne_Min]]/1440</f>
        <v>3.4027777777777775E-2</v>
      </c>
      <c r="E1896">
        <v>49</v>
      </c>
      <c r="F1896" t="s">
        <v>1</v>
      </c>
      <c r="G1896" t="str">
        <f>IFERROR(VLOOKUP(Logs_reseau[[#This Row],[Cell_ID]],'[1]Registre_Maintenance_combine '!A:C,3,FALSE),"Non trouvé")</f>
        <v>Non trouvé</v>
      </c>
      <c r="H1896" t="str">
        <f>IFERROR(VLOOKUP(Logs_reseau[[#This Row],[Cell_ID]],'[1]Registre_Maintenance_combine '!A:D,4,FALSE),"Non trouvé")</f>
        <v>Non trouvé</v>
      </c>
      <c r="I1896" t="str">
        <f>IFERROR(VLOOKUP(Logs_reseau[[#This Row],[Cell_ID]],'[1]Registre_Maintenance_combine '!A:E,5,FALSE),"Non trouvé")</f>
        <v>Non trouvé</v>
      </c>
      <c r="J1896" t="str">
        <f>IFERROR(VLOOKUP(Logs_reseau[[#This Row],[Cell_ID]],'[1]Registre_Maintenance_combine '!A:F,6,FALSE),"Non trouvé")</f>
        <v>Non trouvé</v>
      </c>
    </row>
    <row r="1897" spans="1:10" x14ac:dyDescent="0.25">
      <c r="A1897" t="str">
        <f>IFERROR(VLOOKUP(Logs_reseau[[#This Row],[Cell_ID]],'[1]Registre_Maintenance_combine '!A:B,2,FALSE),"Non trouvé")</f>
        <v>Non trouvé</v>
      </c>
      <c r="B1897" t="s">
        <v>720</v>
      </c>
      <c r="C1897" s="3">
        <v>45201.95416666667</v>
      </c>
      <c r="D1897" s="11">
        <f>Logs_reseau[[#This Row],[Duree_Panne_Min]]/1440</f>
        <v>2.2222222222222223E-2</v>
      </c>
      <c r="E1897">
        <v>32</v>
      </c>
      <c r="F1897" t="s">
        <v>2</v>
      </c>
      <c r="G1897" t="str">
        <f>IFERROR(VLOOKUP(Logs_reseau[[#This Row],[Cell_ID]],'[1]Registre_Maintenance_combine '!A:C,3,FALSE),"Non trouvé")</f>
        <v>Non trouvé</v>
      </c>
      <c r="H1897" t="str">
        <f>IFERROR(VLOOKUP(Logs_reseau[[#This Row],[Cell_ID]],'[1]Registre_Maintenance_combine '!A:D,4,FALSE),"Non trouvé")</f>
        <v>Non trouvé</v>
      </c>
      <c r="I1897" t="str">
        <f>IFERROR(VLOOKUP(Logs_reseau[[#This Row],[Cell_ID]],'[1]Registre_Maintenance_combine '!A:E,5,FALSE),"Non trouvé")</f>
        <v>Non trouvé</v>
      </c>
      <c r="J1897" t="str">
        <f>IFERROR(VLOOKUP(Logs_reseau[[#This Row],[Cell_ID]],'[1]Registre_Maintenance_combine '!A:F,6,FALSE),"Non trouvé")</f>
        <v>Non trouvé</v>
      </c>
    </row>
    <row r="1898" spans="1:10" x14ac:dyDescent="0.25">
      <c r="A1898" t="str">
        <f>IFERROR(VLOOKUP(Logs_reseau[[#This Row],[Cell_ID]],'[1]Registre_Maintenance_combine '!A:B,2,FALSE),"Non trouvé")</f>
        <v>Non trouvé</v>
      </c>
      <c r="B1898" t="s">
        <v>625</v>
      </c>
      <c r="C1898" s="3">
        <v>45202.499305555553</v>
      </c>
      <c r="D1898" s="11">
        <f>Logs_reseau[[#This Row],[Duree_Panne_Min]]/1440</f>
        <v>3.9583333333333331E-2</v>
      </c>
      <c r="E1898">
        <v>57</v>
      </c>
      <c r="F1898" t="s">
        <v>2</v>
      </c>
      <c r="G1898" t="str">
        <f>IFERROR(VLOOKUP(Logs_reseau[[#This Row],[Cell_ID]],'[1]Registre_Maintenance_combine '!A:C,3,FALSE),"Non trouvé")</f>
        <v>Non trouvé</v>
      </c>
      <c r="H1898" t="str">
        <f>IFERROR(VLOOKUP(Logs_reseau[[#This Row],[Cell_ID]],'[1]Registre_Maintenance_combine '!A:D,4,FALSE),"Non trouvé")</f>
        <v>Non trouvé</v>
      </c>
      <c r="I1898" t="str">
        <f>IFERROR(VLOOKUP(Logs_reseau[[#This Row],[Cell_ID]],'[1]Registre_Maintenance_combine '!A:E,5,FALSE),"Non trouvé")</f>
        <v>Non trouvé</v>
      </c>
      <c r="J1898" t="str">
        <f>IFERROR(VLOOKUP(Logs_reseau[[#This Row],[Cell_ID]],'[1]Registre_Maintenance_combine '!A:F,6,FALSE),"Non trouvé")</f>
        <v>Non trouvé</v>
      </c>
    </row>
    <row r="1899" spans="1:10" x14ac:dyDescent="0.25">
      <c r="A1899" t="str">
        <f>IFERROR(VLOOKUP(Logs_reseau[[#This Row],[Cell_ID]],'[1]Registre_Maintenance_combine '!A:B,2,FALSE),"Non trouvé")</f>
        <v>Mongala</v>
      </c>
      <c r="B1899" t="s">
        <v>721</v>
      </c>
      <c r="C1899" s="3">
        <v>45216.137499999997</v>
      </c>
      <c r="D1899" s="11">
        <f>Logs_reseau[[#This Row],[Duree_Panne_Min]]/1440</f>
        <v>8.3333333333333329E-2</v>
      </c>
      <c r="E1899">
        <v>120</v>
      </c>
      <c r="F1899" t="s">
        <v>2</v>
      </c>
      <c r="G1899">
        <f>IFERROR(VLOOKUP(Logs_reseau[[#This Row],[Cell_ID]],'[1]Registre_Maintenance_combine '!A:C,3,FALSE),"Non trouvé")</f>
        <v>-7.2267089999999996</v>
      </c>
      <c r="H1899">
        <f>IFERROR(VLOOKUP(Logs_reseau[[#This Row],[Cell_ID]],'[1]Registre_Maintenance_combine '!A:D,4,FALSE),"Non trouvé")</f>
        <v>28.421362999999999</v>
      </c>
      <c r="I1899" t="str">
        <f>IFERROR(VLOOKUP(Logs_reseau[[#This Row],[Cell_ID]],'[1]Registre_Maintenance_combine '!A:E,5,FALSE),"Non trouvé")</f>
        <v>5G</v>
      </c>
      <c r="J1899" t="str">
        <f>IFERROR(VLOOKUP(Logs_reseau[[#This Row],[Cell_ID]],'[1]Registre_Maintenance_combine '!A:F,6,FALSE),"Non trouvé")</f>
        <v>Ericsson</v>
      </c>
    </row>
    <row r="1900" spans="1:10" x14ac:dyDescent="0.25">
      <c r="A1900" t="str">
        <f>IFERROR(VLOOKUP(Logs_reseau[[#This Row],[Cell_ID]],'[1]Registre_Maintenance_combine '!A:B,2,FALSE),"Non trouvé")</f>
        <v>Haut-Lomami</v>
      </c>
      <c r="B1900" t="s">
        <v>722</v>
      </c>
      <c r="C1900" s="3">
        <v>45225.888194444444</v>
      </c>
      <c r="D1900" s="11">
        <f>Logs_reseau[[#This Row],[Duree_Panne_Min]]/1440</f>
        <v>6.0416666666666667E-2</v>
      </c>
      <c r="E1900">
        <v>87</v>
      </c>
      <c r="F1900" t="s">
        <v>4</v>
      </c>
      <c r="G1900">
        <f>IFERROR(VLOOKUP(Logs_reseau[[#This Row],[Cell_ID]],'[1]Registre_Maintenance_combine '!A:C,3,FALSE),"Non trouvé")</f>
        <v>-5.8145569999999998</v>
      </c>
      <c r="H1900">
        <f>IFERROR(VLOOKUP(Logs_reseau[[#This Row],[Cell_ID]],'[1]Registre_Maintenance_combine '!A:D,4,FALSE),"Non trouvé")</f>
        <v>21.942052</v>
      </c>
      <c r="I1900" t="str">
        <f>IFERROR(VLOOKUP(Logs_reseau[[#This Row],[Cell_ID]],'[1]Registre_Maintenance_combine '!A:E,5,FALSE),"Non trouvé")</f>
        <v>5G</v>
      </c>
      <c r="J1900" t="str">
        <f>IFERROR(VLOOKUP(Logs_reseau[[#This Row],[Cell_ID]],'[1]Registre_Maintenance_combine '!A:F,6,FALSE),"Non trouvé")</f>
        <v>Huawei</v>
      </c>
    </row>
    <row r="1901" spans="1:10" x14ac:dyDescent="0.25">
      <c r="A1901" t="str">
        <f>IFERROR(VLOOKUP(Logs_reseau[[#This Row],[Cell_ID]],'[1]Registre_Maintenance_combine '!A:B,2,FALSE),"Non trouvé")</f>
        <v>Bas-Uele</v>
      </c>
      <c r="B1901" t="s">
        <v>337</v>
      </c>
      <c r="C1901" s="3">
        <v>45219.095833333333</v>
      </c>
      <c r="D1901" s="11">
        <f>Logs_reseau[[#This Row],[Duree_Panne_Min]]/1440</f>
        <v>7.8472222222222221E-2</v>
      </c>
      <c r="E1901">
        <v>113</v>
      </c>
      <c r="F1901" t="s">
        <v>4</v>
      </c>
      <c r="G1901">
        <f>IFERROR(VLOOKUP(Logs_reseau[[#This Row],[Cell_ID]],'[1]Registre_Maintenance_combine '!A:C,3,FALSE),"Non trouvé")</f>
        <v>-3.6945459999999999</v>
      </c>
      <c r="H1901">
        <f>IFERROR(VLOOKUP(Logs_reseau[[#This Row],[Cell_ID]],'[1]Registre_Maintenance_combine '!A:D,4,FALSE),"Non trouvé")</f>
        <v>16.809108999999999</v>
      </c>
      <c r="I1901" t="str">
        <f>IFERROR(VLOOKUP(Logs_reseau[[#This Row],[Cell_ID]],'[1]Registre_Maintenance_combine '!A:E,5,FALSE),"Non trouvé")</f>
        <v>5G</v>
      </c>
      <c r="J1901" t="str">
        <f>IFERROR(VLOOKUP(Logs_reseau[[#This Row],[Cell_ID]],'[1]Registre_Maintenance_combine '!A:F,6,FALSE),"Non trouvé")</f>
        <v>ZTE</v>
      </c>
    </row>
    <row r="1902" spans="1:10" x14ac:dyDescent="0.25">
      <c r="A1902" t="str">
        <f>IFERROR(VLOOKUP(Logs_reseau[[#This Row],[Cell_ID]],'[1]Registre_Maintenance_combine '!A:B,2,FALSE),"Non trouvé")</f>
        <v>Non trouvé</v>
      </c>
      <c r="B1902" t="s">
        <v>723</v>
      </c>
      <c r="C1902" s="3">
        <v>45224.6</v>
      </c>
      <c r="D1902" s="11">
        <f>Logs_reseau[[#This Row],[Duree_Panne_Min]]/1440</f>
        <v>4.8611111111111112E-2</v>
      </c>
      <c r="E1902">
        <v>70</v>
      </c>
      <c r="F1902" t="s">
        <v>4</v>
      </c>
      <c r="G1902" t="str">
        <f>IFERROR(VLOOKUP(Logs_reseau[[#This Row],[Cell_ID]],'[1]Registre_Maintenance_combine '!A:C,3,FALSE),"Non trouvé")</f>
        <v>Non trouvé</v>
      </c>
      <c r="H1902" t="str">
        <f>IFERROR(VLOOKUP(Logs_reseau[[#This Row],[Cell_ID]],'[1]Registre_Maintenance_combine '!A:D,4,FALSE),"Non trouvé")</f>
        <v>Non trouvé</v>
      </c>
      <c r="I1902" t="str">
        <f>IFERROR(VLOOKUP(Logs_reseau[[#This Row],[Cell_ID]],'[1]Registre_Maintenance_combine '!A:E,5,FALSE),"Non trouvé")</f>
        <v>Non trouvé</v>
      </c>
      <c r="J1902" t="str">
        <f>IFERROR(VLOOKUP(Logs_reseau[[#This Row],[Cell_ID]],'[1]Registre_Maintenance_combine '!A:F,6,FALSE),"Non trouvé")</f>
        <v>Non trouvé</v>
      </c>
    </row>
    <row r="1903" spans="1:10" x14ac:dyDescent="0.25">
      <c r="A1903" t="str">
        <f>IFERROR(VLOOKUP(Logs_reseau[[#This Row],[Cell_ID]],'[1]Registre_Maintenance_combine '!A:B,2,FALSE),"Non trouvé")</f>
        <v>Kwilu</v>
      </c>
      <c r="B1903" t="s">
        <v>133</v>
      </c>
      <c r="C1903" s="3">
        <v>45212.875694444447</v>
      </c>
      <c r="D1903" s="11">
        <f>Logs_reseau[[#This Row],[Duree_Panne_Min]]/1440</f>
        <v>1.5972222222222221E-2</v>
      </c>
      <c r="E1903">
        <v>23</v>
      </c>
      <c r="F1903" t="s">
        <v>1</v>
      </c>
      <c r="G1903">
        <f>IFERROR(VLOOKUP(Logs_reseau[[#This Row],[Cell_ID]],'[1]Registre_Maintenance_combine '!A:C,3,FALSE),"Non trouvé")</f>
        <v>1.2691650000000001</v>
      </c>
      <c r="H1903">
        <f>IFERROR(VLOOKUP(Logs_reseau[[#This Row],[Cell_ID]],'[1]Registre_Maintenance_combine '!A:D,4,FALSE),"Non trouvé")</f>
        <v>18.789956</v>
      </c>
      <c r="I1903" t="str">
        <f>IFERROR(VLOOKUP(Logs_reseau[[#This Row],[Cell_ID]],'[1]Registre_Maintenance_combine '!A:E,5,FALSE),"Non trouvé")</f>
        <v>3G</v>
      </c>
      <c r="J1903" t="str">
        <f>IFERROR(VLOOKUP(Logs_reseau[[#This Row],[Cell_ID]],'[1]Registre_Maintenance_combine '!A:F,6,FALSE),"Non trouvé")</f>
        <v>Nokia</v>
      </c>
    </row>
    <row r="1904" spans="1:10" x14ac:dyDescent="0.25">
      <c r="A1904" t="str">
        <f>IFERROR(VLOOKUP(Logs_reseau[[#This Row],[Cell_ID]],'[1]Registre_Maintenance_combine '!A:B,2,FALSE),"Non trouvé")</f>
        <v>Non trouvé</v>
      </c>
      <c r="B1904" t="s">
        <v>464</v>
      </c>
      <c r="C1904" s="3">
        <v>45215.231944444444</v>
      </c>
      <c r="D1904" s="11">
        <f>Logs_reseau[[#This Row],[Duree_Panne_Min]]/1440</f>
        <v>1.7361111111111112E-2</v>
      </c>
      <c r="E1904">
        <v>25</v>
      </c>
      <c r="F1904" t="s">
        <v>2</v>
      </c>
      <c r="G1904" t="str">
        <f>IFERROR(VLOOKUP(Logs_reseau[[#This Row],[Cell_ID]],'[1]Registre_Maintenance_combine '!A:C,3,FALSE),"Non trouvé")</f>
        <v>Non trouvé</v>
      </c>
      <c r="H1904" t="str">
        <f>IFERROR(VLOOKUP(Logs_reseau[[#This Row],[Cell_ID]],'[1]Registre_Maintenance_combine '!A:D,4,FALSE),"Non trouvé")</f>
        <v>Non trouvé</v>
      </c>
      <c r="I1904" t="str">
        <f>IFERROR(VLOOKUP(Logs_reseau[[#This Row],[Cell_ID]],'[1]Registre_Maintenance_combine '!A:E,5,FALSE),"Non trouvé")</f>
        <v>Non trouvé</v>
      </c>
      <c r="J1904" t="str">
        <f>IFERROR(VLOOKUP(Logs_reseau[[#This Row],[Cell_ID]],'[1]Registre_Maintenance_combine '!A:F,6,FALSE),"Non trouvé")</f>
        <v>Non trouvé</v>
      </c>
    </row>
    <row r="1905" spans="1:10" x14ac:dyDescent="0.25">
      <c r="A1905" t="str">
        <f>IFERROR(VLOOKUP(Logs_reseau[[#This Row],[Cell_ID]],'[1]Registre_Maintenance_combine '!A:B,2,FALSE),"Non trouvé")</f>
        <v>Non trouvé</v>
      </c>
      <c r="B1905" t="s">
        <v>674</v>
      </c>
      <c r="C1905" s="3">
        <v>45207.199305555558</v>
      </c>
      <c r="D1905" s="11">
        <f>Logs_reseau[[#This Row],[Duree_Panne_Min]]/1440</f>
        <v>1.9444444444444445E-2</v>
      </c>
      <c r="E1905">
        <v>28</v>
      </c>
      <c r="F1905" t="s">
        <v>2</v>
      </c>
      <c r="G1905" t="str">
        <f>IFERROR(VLOOKUP(Logs_reseau[[#This Row],[Cell_ID]],'[1]Registre_Maintenance_combine '!A:C,3,FALSE),"Non trouvé")</f>
        <v>Non trouvé</v>
      </c>
      <c r="H1905" t="str">
        <f>IFERROR(VLOOKUP(Logs_reseau[[#This Row],[Cell_ID]],'[1]Registre_Maintenance_combine '!A:D,4,FALSE),"Non trouvé")</f>
        <v>Non trouvé</v>
      </c>
      <c r="I1905" t="str">
        <f>IFERROR(VLOOKUP(Logs_reseau[[#This Row],[Cell_ID]],'[1]Registre_Maintenance_combine '!A:E,5,FALSE),"Non trouvé")</f>
        <v>Non trouvé</v>
      </c>
      <c r="J1905" t="str">
        <f>IFERROR(VLOOKUP(Logs_reseau[[#This Row],[Cell_ID]],'[1]Registre_Maintenance_combine '!A:F,6,FALSE),"Non trouvé")</f>
        <v>Non trouvé</v>
      </c>
    </row>
    <row r="1906" spans="1:10" x14ac:dyDescent="0.25">
      <c r="A1906" t="str">
        <f>IFERROR(VLOOKUP(Logs_reseau[[#This Row],[Cell_ID]],'[1]Registre_Maintenance_combine '!A:B,2,FALSE),"Non trouvé")</f>
        <v>Tshuapa</v>
      </c>
      <c r="B1906" t="s">
        <v>724</v>
      </c>
      <c r="C1906" s="3">
        <v>45212.720833333333</v>
      </c>
      <c r="D1906" s="11">
        <f>Logs_reseau[[#This Row],[Duree_Panne_Min]]/1440</f>
        <v>2.2916666666666665E-2</v>
      </c>
      <c r="E1906">
        <v>33</v>
      </c>
      <c r="F1906" t="s">
        <v>4</v>
      </c>
      <c r="G1906">
        <f>IFERROR(VLOOKUP(Logs_reseau[[#This Row],[Cell_ID]],'[1]Registre_Maintenance_combine '!A:C,3,FALSE),"Non trouvé")</f>
        <v>-5.7957599999999996</v>
      </c>
      <c r="H1906">
        <f>IFERROR(VLOOKUP(Logs_reseau[[#This Row],[Cell_ID]],'[1]Registre_Maintenance_combine '!A:D,4,FALSE),"Non trouvé")</f>
        <v>14.078258</v>
      </c>
      <c r="I1906" t="str">
        <f>IFERROR(VLOOKUP(Logs_reseau[[#This Row],[Cell_ID]],'[1]Registre_Maintenance_combine '!A:E,5,FALSE),"Non trouvé")</f>
        <v>5G</v>
      </c>
      <c r="J1906" t="str">
        <f>IFERROR(VLOOKUP(Logs_reseau[[#This Row],[Cell_ID]],'[1]Registre_Maintenance_combine '!A:F,6,FALSE),"Non trouvé")</f>
        <v>Ericsson</v>
      </c>
    </row>
    <row r="1907" spans="1:10" x14ac:dyDescent="0.25">
      <c r="A1907" t="str">
        <f>IFERROR(VLOOKUP(Logs_reseau[[#This Row],[Cell_ID]],'[1]Registre_Maintenance_combine '!A:B,2,FALSE),"Non trouvé")</f>
        <v>Equateur</v>
      </c>
      <c r="B1907" t="s">
        <v>104</v>
      </c>
      <c r="C1907" s="3">
        <v>45230.839583333334</v>
      </c>
      <c r="D1907" s="11">
        <f>Logs_reseau[[#This Row],[Duree_Panne_Min]]/1440</f>
        <v>5.7638888888888892E-2</v>
      </c>
      <c r="E1907">
        <v>83</v>
      </c>
      <c r="F1907" t="s">
        <v>4</v>
      </c>
      <c r="G1907">
        <f>IFERROR(VLOOKUP(Logs_reseau[[#This Row],[Cell_ID]],'[1]Registre_Maintenance_combine '!A:C,3,FALSE),"Non trouvé")</f>
        <v>-0.79459900000000006</v>
      </c>
      <c r="H1907">
        <f>IFERROR(VLOOKUP(Logs_reseau[[#This Row],[Cell_ID]],'[1]Registre_Maintenance_combine '!A:D,4,FALSE),"Non trouvé")</f>
        <v>26.775570999999999</v>
      </c>
      <c r="I1907" t="str">
        <f>IFERROR(VLOOKUP(Logs_reseau[[#This Row],[Cell_ID]],'[1]Registre_Maintenance_combine '!A:E,5,FALSE),"Non trouvé")</f>
        <v>5G</v>
      </c>
      <c r="J1907" t="str">
        <f>IFERROR(VLOOKUP(Logs_reseau[[#This Row],[Cell_ID]],'[1]Registre_Maintenance_combine '!A:F,6,FALSE),"Non trouvé")</f>
        <v>Huawei</v>
      </c>
    </row>
    <row r="1908" spans="1:10" x14ac:dyDescent="0.25">
      <c r="A1908" t="str">
        <f>IFERROR(VLOOKUP(Logs_reseau[[#This Row],[Cell_ID]],'[1]Registre_Maintenance_combine '!A:B,2,FALSE),"Non trouvé")</f>
        <v>Bas-Uele</v>
      </c>
      <c r="B1908" t="s">
        <v>455</v>
      </c>
      <c r="C1908" s="3">
        <v>45209.913888888892</v>
      </c>
      <c r="D1908" s="11">
        <f>Logs_reseau[[#This Row],[Duree_Panne_Min]]/1440</f>
        <v>7.7083333333333337E-2</v>
      </c>
      <c r="E1908">
        <v>111</v>
      </c>
      <c r="F1908" t="s">
        <v>4</v>
      </c>
      <c r="G1908">
        <f>IFERROR(VLOOKUP(Logs_reseau[[#This Row],[Cell_ID]],'[1]Registre_Maintenance_combine '!A:C,3,FALSE),"Non trouvé")</f>
        <v>-6.4197189999999997</v>
      </c>
      <c r="H1908">
        <f>IFERROR(VLOOKUP(Logs_reseau[[#This Row],[Cell_ID]],'[1]Registre_Maintenance_combine '!A:D,4,FALSE),"Non trouvé")</f>
        <v>22.287264</v>
      </c>
      <c r="I1908" t="str">
        <f>IFERROR(VLOOKUP(Logs_reseau[[#This Row],[Cell_ID]],'[1]Registre_Maintenance_combine '!A:E,5,FALSE),"Non trouvé")</f>
        <v>3G</v>
      </c>
      <c r="J1908" t="str">
        <f>IFERROR(VLOOKUP(Logs_reseau[[#This Row],[Cell_ID]],'[1]Registre_Maintenance_combine '!A:F,6,FALSE),"Non trouvé")</f>
        <v>Ericsson</v>
      </c>
    </row>
    <row r="1909" spans="1:10" x14ac:dyDescent="0.25">
      <c r="A1909" t="str">
        <f>IFERROR(VLOOKUP(Logs_reseau[[#This Row],[Cell_ID]],'[1]Registre_Maintenance_combine '!A:B,2,FALSE),"Non trouvé")</f>
        <v>Non trouvé</v>
      </c>
      <c r="B1909" t="s">
        <v>545</v>
      </c>
      <c r="C1909" s="3">
        <v>45229.986805555556</v>
      </c>
      <c r="D1909" s="11">
        <f>Logs_reseau[[#This Row],[Duree_Panne_Min]]/1440</f>
        <v>2.5694444444444443E-2</v>
      </c>
      <c r="E1909">
        <v>37</v>
      </c>
      <c r="F1909" t="s">
        <v>4</v>
      </c>
      <c r="G1909" t="str">
        <f>IFERROR(VLOOKUP(Logs_reseau[[#This Row],[Cell_ID]],'[1]Registre_Maintenance_combine '!A:C,3,FALSE),"Non trouvé")</f>
        <v>Non trouvé</v>
      </c>
      <c r="H1909" t="str">
        <f>IFERROR(VLOOKUP(Logs_reseau[[#This Row],[Cell_ID]],'[1]Registre_Maintenance_combine '!A:D,4,FALSE),"Non trouvé")</f>
        <v>Non trouvé</v>
      </c>
      <c r="I1909" t="str">
        <f>IFERROR(VLOOKUP(Logs_reseau[[#This Row],[Cell_ID]],'[1]Registre_Maintenance_combine '!A:E,5,FALSE),"Non trouvé")</f>
        <v>Non trouvé</v>
      </c>
      <c r="J1909" t="str">
        <f>IFERROR(VLOOKUP(Logs_reseau[[#This Row],[Cell_ID]],'[1]Registre_Maintenance_combine '!A:F,6,FALSE),"Non trouvé")</f>
        <v>Non trouvé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F3F2-499E-4898-9CE1-F7BD75F21D79}">
  <sheetPr>
    <tabColor rgb="FF00B050"/>
  </sheetPr>
  <dimension ref="A12:H76"/>
  <sheetViews>
    <sheetView topLeftCell="A54" zoomScaleNormal="100" workbookViewId="0">
      <selection activeCell="G15" sqref="G15"/>
    </sheetView>
  </sheetViews>
  <sheetFormatPr baseColWidth="10" defaultRowHeight="13.3" x14ac:dyDescent="0.25"/>
  <cols>
    <col min="1" max="1" width="21.07421875" bestFit="1" customWidth="1"/>
    <col min="2" max="2" width="21.4609375" bestFit="1" customWidth="1"/>
    <col min="3" max="3" width="19.23046875" bestFit="1" customWidth="1"/>
    <col min="4" max="4" width="5.15234375" bestFit="1" customWidth="1"/>
    <col min="5" max="5" width="11" customWidth="1"/>
    <col min="6" max="6" width="12.69140625" customWidth="1"/>
    <col min="10" max="10" width="21.07421875" bestFit="1" customWidth="1"/>
    <col min="11" max="11" width="14.23046875" bestFit="1" customWidth="1"/>
  </cols>
  <sheetData>
    <row r="12" spans="1:6" x14ac:dyDescent="0.25">
      <c r="A12" s="12" t="s">
        <v>1525</v>
      </c>
      <c r="B12" s="12" t="s">
        <v>1526</v>
      </c>
    </row>
    <row r="13" spans="1:6" x14ac:dyDescent="0.25">
      <c r="A13" s="12" t="s">
        <v>1522</v>
      </c>
      <c r="B13" t="s">
        <v>1527</v>
      </c>
      <c r="C13" t="s">
        <v>1528</v>
      </c>
      <c r="D13" t="s">
        <v>1529</v>
      </c>
      <c r="E13" t="s">
        <v>1523</v>
      </c>
      <c r="F13" t="s">
        <v>1524</v>
      </c>
    </row>
    <row r="14" spans="1:6" x14ac:dyDescent="0.25">
      <c r="A14" s="15" t="s">
        <v>1523</v>
      </c>
      <c r="B14" s="16"/>
      <c r="C14" s="16"/>
      <c r="D14" s="16"/>
      <c r="E14" s="16">
        <v>996</v>
      </c>
      <c r="F14" s="16">
        <v>996</v>
      </c>
    </row>
    <row r="15" spans="1:6" x14ac:dyDescent="0.25">
      <c r="A15" s="15" t="s">
        <v>768</v>
      </c>
      <c r="B15" s="16">
        <v>21</v>
      </c>
      <c r="C15" s="16">
        <v>12</v>
      </c>
      <c r="D15" s="16">
        <v>30</v>
      </c>
      <c r="E15" s="16"/>
      <c r="F15" s="16">
        <v>63</v>
      </c>
    </row>
    <row r="16" spans="1:6" x14ac:dyDescent="0.25">
      <c r="A16" s="15" t="s">
        <v>774</v>
      </c>
      <c r="B16" s="16">
        <v>37</v>
      </c>
      <c r="C16" s="16">
        <v>4</v>
      </c>
      <c r="D16" s="16">
        <v>12</v>
      </c>
      <c r="E16" s="16"/>
      <c r="F16" s="16">
        <v>53</v>
      </c>
    </row>
    <row r="17" spans="1:6" x14ac:dyDescent="0.25">
      <c r="A17" s="15" t="s">
        <v>751</v>
      </c>
      <c r="B17" s="16">
        <v>4</v>
      </c>
      <c r="C17" s="16">
        <v>14</v>
      </c>
      <c r="D17" s="16">
        <v>32</v>
      </c>
      <c r="E17" s="16"/>
      <c r="F17" s="16">
        <v>50</v>
      </c>
    </row>
    <row r="18" spans="1:6" x14ac:dyDescent="0.25">
      <c r="A18" s="13" t="s">
        <v>785</v>
      </c>
      <c r="B18">
        <v>14</v>
      </c>
      <c r="C18">
        <v>4</v>
      </c>
      <c r="D18">
        <v>30</v>
      </c>
      <c r="F18">
        <v>48</v>
      </c>
    </row>
    <row r="19" spans="1:6" x14ac:dyDescent="0.25">
      <c r="A19" s="13" t="s">
        <v>809</v>
      </c>
      <c r="B19">
        <v>11</v>
      </c>
      <c r="C19">
        <v>14</v>
      </c>
      <c r="D19">
        <v>17</v>
      </c>
      <c r="F19">
        <v>42</v>
      </c>
    </row>
    <row r="20" spans="1:6" x14ac:dyDescent="0.25">
      <c r="A20" s="13" t="s">
        <v>758</v>
      </c>
      <c r="B20">
        <v>11</v>
      </c>
      <c r="C20">
        <v>17</v>
      </c>
      <c r="D20">
        <v>13</v>
      </c>
      <c r="F20">
        <v>41</v>
      </c>
    </row>
    <row r="21" spans="1:6" x14ac:dyDescent="0.25">
      <c r="A21" s="13" t="s">
        <v>742</v>
      </c>
      <c r="B21">
        <v>8</v>
      </c>
      <c r="C21">
        <v>16</v>
      </c>
      <c r="D21">
        <v>16</v>
      </c>
      <c r="F21">
        <v>40</v>
      </c>
    </row>
    <row r="22" spans="1:6" x14ac:dyDescent="0.25">
      <c r="A22" s="13" t="s">
        <v>802</v>
      </c>
      <c r="B22">
        <v>10</v>
      </c>
      <c r="C22">
        <v>14</v>
      </c>
      <c r="D22">
        <v>16</v>
      </c>
      <c r="F22">
        <v>40</v>
      </c>
    </row>
    <row r="23" spans="1:6" x14ac:dyDescent="0.25">
      <c r="A23" s="13" t="s">
        <v>764</v>
      </c>
      <c r="C23">
        <v>31</v>
      </c>
      <c r="D23">
        <v>9</v>
      </c>
      <c r="F23">
        <v>40</v>
      </c>
    </row>
    <row r="24" spans="1:6" x14ac:dyDescent="0.25">
      <c r="A24" s="13" t="s">
        <v>776</v>
      </c>
      <c r="B24">
        <v>6</v>
      </c>
      <c r="C24">
        <v>12</v>
      </c>
      <c r="D24">
        <v>21</v>
      </c>
      <c r="F24">
        <v>39</v>
      </c>
    </row>
    <row r="25" spans="1:6" x14ac:dyDescent="0.25">
      <c r="A25" s="13" t="s">
        <v>893</v>
      </c>
      <c r="B25">
        <v>8</v>
      </c>
      <c r="C25">
        <v>26</v>
      </c>
      <c r="D25">
        <v>4</v>
      </c>
      <c r="F25">
        <v>38</v>
      </c>
    </row>
    <row r="26" spans="1:6" x14ac:dyDescent="0.25">
      <c r="A26" s="13" t="s">
        <v>796</v>
      </c>
      <c r="B26">
        <v>14</v>
      </c>
      <c r="C26">
        <v>8</v>
      </c>
      <c r="D26">
        <v>14</v>
      </c>
      <c r="F26">
        <v>36</v>
      </c>
    </row>
    <row r="27" spans="1:6" x14ac:dyDescent="0.25">
      <c r="A27" s="13" t="s">
        <v>780</v>
      </c>
      <c r="B27">
        <v>15</v>
      </c>
      <c r="C27">
        <v>10</v>
      </c>
      <c r="D27">
        <v>10</v>
      </c>
      <c r="F27">
        <v>35</v>
      </c>
    </row>
    <row r="28" spans="1:6" x14ac:dyDescent="0.25">
      <c r="A28" s="13" t="s">
        <v>782</v>
      </c>
      <c r="B28">
        <v>16</v>
      </c>
      <c r="C28">
        <v>9</v>
      </c>
      <c r="D28">
        <v>9</v>
      </c>
      <c r="F28">
        <v>34</v>
      </c>
    </row>
    <row r="29" spans="1:6" x14ac:dyDescent="0.25">
      <c r="A29" s="13" t="s">
        <v>754</v>
      </c>
      <c r="B29">
        <v>7</v>
      </c>
      <c r="C29">
        <v>23</v>
      </c>
      <c r="D29">
        <v>3</v>
      </c>
      <c r="F29">
        <v>33</v>
      </c>
    </row>
    <row r="30" spans="1:6" x14ac:dyDescent="0.25">
      <c r="A30" s="13" t="s">
        <v>766</v>
      </c>
      <c r="B30">
        <v>12</v>
      </c>
      <c r="C30">
        <v>9</v>
      </c>
      <c r="D30">
        <v>11</v>
      </c>
      <c r="F30">
        <v>32</v>
      </c>
    </row>
    <row r="31" spans="1:6" x14ac:dyDescent="0.25">
      <c r="A31" s="13" t="s">
        <v>745</v>
      </c>
      <c r="B31">
        <v>12</v>
      </c>
      <c r="C31">
        <v>17</v>
      </c>
      <c r="D31">
        <v>2</v>
      </c>
      <c r="F31">
        <v>31</v>
      </c>
    </row>
    <row r="32" spans="1:6" x14ac:dyDescent="0.25">
      <c r="A32" s="13" t="s">
        <v>834</v>
      </c>
      <c r="B32">
        <v>11</v>
      </c>
      <c r="C32">
        <v>3</v>
      </c>
      <c r="D32">
        <v>16</v>
      </c>
      <c r="F32">
        <v>30</v>
      </c>
    </row>
    <row r="33" spans="1:8" x14ac:dyDescent="0.25">
      <c r="A33" s="13" t="s">
        <v>778</v>
      </c>
      <c r="B33">
        <v>5</v>
      </c>
      <c r="C33">
        <v>10</v>
      </c>
      <c r="D33">
        <v>15</v>
      </c>
      <c r="F33">
        <v>30</v>
      </c>
    </row>
    <row r="34" spans="1:8" x14ac:dyDescent="0.25">
      <c r="A34" s="13" t="s">
        <v>760</v>
      </c>
      <c r="B34">
        <v>7</v>
      </c>
      <c r="C34">
        <v>10</v>
      </c>
      <c r="D34">
        <v>10</v>
      </c>
      <c r="F34">
        <v>27</v>
      </c>
    </row>
    <row r="35" spans="1:8" x14ac:dyDescent="0.25">
      <c r="A35" s="13" t="s">
        <v>794</v>
      </c>
      <c r="B35">
        <v>2</v>
      </c>
      <c r="C35">
        <v>21</v>
      </c>
      <c r="D35">
        <v>2</v>
      </c>
      <c r="F35">
        <v>25</v>
      </c>
    </row>
    <row r="36" spans="1:8" x14ac:dyDescent="0.25">
      <c r="A36" s="13" t="s">
        <v>799</v>
      </c>
      <c r="B36">
        <v>3</v>
      </c>
      <c r="C36">
        <v>12</v>
      </c>
      <c r="D36">
        <v>10</v>
      </c>
      <c r="F36">
        <v>25</v>
      </c>
    </row>
    <row r="37" spans="1:8" x14ac:dyDescent="0.25">
      <c r="A37" s="13" t="s">
        <v>842</v>
      </c>
      <c r="B37">
        <v>8</v>
      </c>
      <c r="C37">
        <v>9</v>
      </c>
      <c r="D37">
        <v>7</v>
      </c>
      <c r="F37">
        <v>24</v>
      </c>
    </row>
    <row r="38" spans="1:8" x14ac:dyDescent="0.25">
      <c r="A38" s="13" t="s">
        <v>748</v>
      </c>
      <c r="B38">
        <v>10</v>
      </c>
      <c r="C38">
        <v>3</v>
      </c>
      <c r="D38">
        <v>9</v>
      </c>
      <c r="F38">
        <v>22</v>
      </c>
    </row>
    <row r="39" spans="1:8" x14ac:dyDescent="0.25">
      <c r="A39" s="13" t="s">
        <v>770</v>
      </c>
      <c r="B39">
        <v>9</v>
      </c>
      <c r="C39">
        <v>5</v>
      </c>
      <c r="D39">
        <v>4</v>
      </c>
      <c r="F39">
        <v>18</v>
      </c>
    </row>
    <row r="40" spans="1:8" x14ac:dyDescent="0.25">
      <c r="A40" s="13" t="s">
        <v>806</v>
      </c>
      <c r="B40">
        <v>3</v>
      </c>
      <c r="C40">
        <v>4</v>
      </c>
      <c r="D40">
        <v>9</v>
      </c>
      <c r="F40">
        <v>16</v>
      </c>
    </row>
    <row r="41" spans="1:8" ht="18.45" x14ac:dyDescent="0.5">
      <c r="A41" s="17" t="s">
        <v>1524</v>
      </c>
      <c r="B41" s="18">
        <v>264</v>
      </c>
      <c r="C41" s="18">
        <v>317</v>
      </c>
      <c r="D41" s="18">
        <v>331</v>
      </c>
      <c r="E41" s="18">
        <v>996</v>
      </c>
      <c r="F41" s="18">
        <v>1908</v>
      </c>
    </row>
    <row r="42" spans="1:8" x14ac:dyDescent="0.25">
      <c r="H42" s="14"/>
    </row>
    <row r="48" spans="1:8" ht="18.45" x14ac:dyDescent="0.3">
      <c r="A48" s="19"/>
      <c r="B48" s="12" t="s">
        <v>1522</v>
      </c>
      <c r="C48" t="s">
        <v>1531</v>
      </c>
    </row>
    <row r="49" spans="2:3" x14ac:dyDescent="0.25">
      <c r="B49" s="13" t="s">
        <v>758</v>
      </c>
      <c r="C49">
        <v>33</v>
      </c>
    </row>
    <row r="50" spans="2:3" x14ac:dyDescent="0.25">
      <c r="B50" s="13" t="s">
        <v>796</v>
      </c>
      <c r="C50">
        <v>24</v>
      </c>
    </row>
    <row r="51" spans="2:3" x14ac:dyDescent="0.25">
      <c r="B51" s="13" t="s">
        <v>780</v>
      </c>
      <c r="C51">
        <v>38</v>
      </c>
    </row>
    <row r="52" spans="2:3" x14ac:dyDescent="0.25">
      <c r="B52" s="13" t="s">
        <v>754</v>
      </c>
      <c r="C52">
        <v>33</v>
      </c>
    </row>
    <row r="53" spans="2:3" x14ac:dyDescent="0.25">
      <c r="B53" s="13" t="s">
        <v>776</v>
      </c>
      <c r="C53">
        <v>15</v>
      </c>
    </row>
    <row r="54" spans="2:3" x14ac:dyDescent="0.25">
      <c r="B54" s="13" t="s">
        <v>766</v>
      </c>
      <c r="C54">
        <v>37</v>
      </c>
    </row>
    <row r="55" spans="2:3" x14ac:dyDescent="0.25">
      <c r="B55" s="13" t="s">
        <v>778</v>
      </c>
      <c r="C55">
        <v>27</v>
      </c>
    </row>
    <row r="56" spans="2:3" x14ac:dyDescent="0.25">
      <c r="B56" s="13" t="s">
        <v>782</v>
      </c>
      <c r="C56">
        <v>27</v>
      </c>
    </row>
    <row r="57" spans="2:3" x14ac:dyDescent="0.25">
      <c r="B57" s="13" t="s">
        <v>806</v>
      </c>
      <c r="C57">
        <v>29</v>
      </c>
    </row>
    <row r="58" spans="2:3" x14ac:dyDescent="0.25">
      <c r="B58" s="13" t="s">
        <v>834</v>
      </c>
      <c r="C58">
        <v>26</v>
      </c>
    </row>
    <row r="59" spans="2:3" x14ac:dyDescent="0.25">
      <c r="B59" s="13" t="s">
        <v>751</v>
      </c>
      <c r="C59">
        <v>23</v>
      </c>
    </row>
    <row r="60" spans="2:3" x14ac:dyDescent="0.25">
      <c r="B60" s="13" t="s">
        <v>799</v>
      </c>
      <c r="C60">
        <v>29</v>
      </c>
    </row>
    <row r="61" spans="2:3" x14ac:dyDescent="0.25">
      <c r="B61" s="13" t="s">
        <v>745</v>
      </c>
      <c r="C61">
        <v>39</v>
      </c>
    </row>
    <row r="62" spans="2:3" x14ac:dyDescent="0.25">
      <c r="B62" s="13" t="s">
        <v>770</v>
      </c>
      <c r="C62">
        <v>24</v>
      </c>
    </row>
    <row r="63" spans="2:3" x14ac:dyDescent="0.25">
      <c r="B63" s="13" t="s">
        <v>893</v>
      </c>
      <c r="C63">
        <v>20</v>
      </c>
    </row>
    <row r="64" spans="2:3" x14ac:dyDescent="0.25">
      <c r="B64" s="13" t="s">
        <v>794</v>
      </c>
      <c r="C64">
        <v>33</v>
      </c>
    </row>
    <row r="65" spans="2:3" x14ac:dyDescent="0.25">
      <c r="B65" s="13" t="s">
        <v>764</v>
      </c>
      <c r="C65">
        <v>26</v>
      </c>
    </row>
    <row r="66" spans="2:3" x14ac:dyDescent="0.25">
      <c r="B66" s="13" t="s">
        <v>748</v>
      </c>
      <c r="C66">
        <v>29</v>
      </c>
    </row>
    <row r="67" spans="2:3" x14ac:dyDescent="0.25">
      <c r="B67" s="13" t="s">
        <v>768</v>
      </c>
      <c r="C67">
        <v>33</v>
      </c>
    </row>
    <row r="68" spans="2:3" x14ac:dyDescent="0.25">
      <c r="B68" s="13" t="s">
        <v>809</v>
      </c>
      <c r="C68">
        <v>28</v>
      </c>
    </row>
    <row r="69" spans="2:3" x14ac:dyDescent="0.25">
      <c r="B69" s="13" t="s">
        <v>842</v>
      </c>
      <c r="C69">
        <v>32</v>
      </c>
    </row>
    <row r="70" spans="2:3" x14ac:dyDescent="0.25">
      <c r="B70" s="13" t="s">
        <v>774</v>
      </c>
      <c r="C70">
        <v>26</v>
      </c>
    </row>
    <row r="71" spans="2:3" x14ac:dyDescent="0.25">
      <c r="B71" s="13" t="s">
        <v>785</v>
      </c>
      <c r="C71">
        <v>32</v>
      </c>
    </row>
    <row r="72" spans="2:3" x14ac:dyDescent="0.25">
      <c r="B72" s="13" t="s">
        <v>742</v>
      </c>
      <c r="C72">
        <v>30</v>
      </c>
    </row>
    <row r="73" spans="2:3" x14ac:dyDescent="0.25">
      <c r="B73" s="13" t="s">
        <v>802</v>
      </c>
      <c r="C73">
        <v>26</v>
      </c>
    </row>
    <row r="74" spans="2:3" x14ac:dyDescent="0.25">
      <c r="B74" s="13" t="s">
        <v>760</v>
      </c>
      <c r="C74">
        <v>27</v>
      </c>
    </row>
    <row r="75" spans="2:3" x14ac:dyDescent="0.25">
      <c r="B75" s="13" t="s">
        <v>1524</v>
      </c>
      <c r="C75">
        <v>746</v>
      </c>
    </row>
    <row r="76" spans="2:3" ht="18.45" x14ac:dyDescent="0.5">
      <c r="B76" s="20" t="s">
        <v>1532</v>
      </c>
      <c r="C76" s="21">
        <f>AVERAGE(C49:C74)</f>
        <v>28.692307692307693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76F985-5CF0-487B-9F37-F19B96EEF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CLIENT_CHURN</vt:lpstr>
      <vt:lpstr>REGISTRE VS LOGS </vt:lpstr>
      <vt:lpstr>TCD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 Kamanda</dc:creator>
  <cp:lastModifiedBy>Elie Kamanda</cp:lastModifiedBy>
  <dcterms:created xsi:type="dcterms:W3CDTF">2026-03-22T09:29:39Z</dcterms:created>
  <dcterms:modified xsi:type="dcterms:W3CDTF">2026-03-31T22:05:02Z</dcterms:modified>
</cp:coreProperties>
</file>